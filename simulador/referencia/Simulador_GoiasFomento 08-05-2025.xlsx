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goiasfomento-my.sharepoint.com/personal/paulo_paiva_goiasfomento_com/Documents/Área de Trabalho/Desktop 2025-2026/"/>
    </mc:Choice>
  </mc:AlternateContent>
  <xr:revisionPtr revIDLastSave="86" documentId="8_{35A02385-7F47-4B7D-AB41-5F3FFC53B38E}" xr6:coauthVersionLast="47" xr6:coauthVersionMax="47" xr10:uidLastSave="{5EC104C2-8CC5-4C6B-A681-D7FC9620D4D8}"/>
  <bookViews>
    <workbookView xWindow="-120" yWindow="-120" windowWidth="29040" windowHeight="15720" tabRatio="849" activeTab="1" xr2:uid="{00000000-000D-0000-FFFF-FFFF00000000}"/>
  </bookViews>
  <sheets>
    <sheet name="Linhas Investimento" sheetId="11" r:id="rId1"/>
    <sheet name="Linhas Giro Puro" sheetId="3" r:id="rId2"/>
    <sheet name="Fator K - FGI" sheetId="23" state="hidden" r:id="rId3"/>
    <sheet name="Mais Crédito" sheetId="22" r:id="rId4"/>
    <sheet name="Mais Crédito (2)" sheetId="24" state="hidden" r:id="rId5"/>
    <sheet name="Linhas Transportes" sheetId="18" r:id="rId6"/>
    <sheet name="Linhas Fungetur" sheetId="6" r:id="rId7"/>
    <sheet name="Linhas FINEP" sheetId="13" r:id="rId8"/>
    <sheet name="FCO Empresarial" sheetId="15" r:id="rId9"/>
    <sheet name="FCO Rural" sheetId="17" r:id="rId10"/>
    <sheet name="Produtor Empreendedor" sheetId="20" r:id="rId11"/>
    <sheet name="Tabela de Encargos" sheetId="16" state="hidden" r:id="rId12"/>
  </sheets>
  <definedNames>
    <definedName name="_xlnm._FilterDatabase" localSheetId="8" hidden="1">'FCO Empresarial'!$A$5:$G$13</definedName>
    <definedName name="_xlnm._FilterDatabase" localSheetId="9" hidden="1">'FCO Rural'!$A$5:$G$13</definedName>
    <definedName name="_xlnm._FilterDatabase" localSheetId="1" hidden="1">'Linhas Giro Puro'!$A$5:$G$12</definedName>
    <definedName name="_xlnm._FilterDatabase" localSheetId="0" hidden="1">'Linhas Investimento'!$A$5:$G$13</definedName>
    <definedName name="_xlnm._FilterDatabase" localSheetId="5" hidden="1">'Linhas Transportes'!$A$5:$G$13</definedName>
    <definedName name="_xlnm._FilterDatabase" localSheetId="3" hidden="1">'Mais Crédito'!$A$5:$G$12</definedName>
    <definedName name="_xlnm._FilterDatabase" localSheetId="4" hidden="1">'Mais Crédito (2)'!$A$5:$G$12</definedName>
    <definedName name="_xlnm._FilterDatabase" localSheetId="10" hidden="1">'Produtor Empreendedor'!$A$5:$G$13</definedName>
    <definedName name="_xlnm.Print_Area" localSheetId="8">'FCO Empresarial'!$A$1:$G$83</definedName>
    <definedName name="_xlnm.Print_Area" localSheetId="9">'FCO Rural'!$A$1:$G$83</definedName>
    <definedName name="_xlnm.Print_Area" localSheetId="7">'Linhas FINEP'!$A$1:$G$145</definedName>
    <definedName name="_xlnm.Print_Area" localSheetId="6">'Linhas Fungetur'!$A$1:$G$263</definedName>
    <definedName name="_xlnm.Print_Area" localSheetId="1">'Linhas Giro Puro'!$A$1:$G$71</definedName>
    <definedName name="_xlnm.Print_Area" localSheetId="0">'Linhas Investimento'!$A$1:$G$83</definedName>
    <definedName name="_xlnm.Print_Area" localSheetId="5">'Linhas Transportes'!$A$1:$G$83</definedName>
    <definedName name="_xlnm.Print_Area" localSheetId="3">'Mais Crédito'!$A$1:$G$71</definedName>
    <definedName name="_xlnm.Print_Area" localSheetId="4">'Mais Crédito (2)'!$A$1:$G$71</definedName>
    <definedName name="_xlnm.Print_Area" localSheetId="10">'Produtor Empreendedor'!$A$1:$DG$71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R8" i="3"/>
  <c r="Q12" i="11"/>
  <c r="R12" i="11" s="1"/>
  <c r="Q11" i="11"/>
  <c r="R11" i="11" s="1"/>
  <c r="Q10" i="11"/>
  <c r="Q9" i="11"/>
  <c r="R9" i="11" s="1"/>
  <c r="R10" i="11" s="1"/>
  <c r="Q8" i="11"/>
  <c r="Q7" i="11"/>
  <c r="Q6" i="11"/>
  <c r="R6" i="11" s="1"/>
  <c r="Q5" i="11"/>
  <c r="D17" i="11"/>
  <c r="P6" i="18"/>
  <c r="P7" i="18" s="1"/>
  <c r="P8" i="18" s="1"/>
  <c r="P9" i="18" s="1"/>
  <c r="O6" i="18"/>
  <c r="O7" i="18" s="1"/>
  <c r="O8" i="18" s="1"/>
  <c r="O9" i="18" s="1"/>
  <c r="R9" i="3"/>
  <c r="Q9" i="3"/>
  <c r="O9" i="3"/>
  <c r="R7" i="3"/>
  <c r="R6" i="3"/>
  <c r="R5" i="3"/>
  <c r="R8" i="11"/>
  <c r="R7" i="11"/>
  <c r="R5" i="11"/>
  <c r="AY38" i="3" l="1"/>
  <c r="AY37" i="3"/>
  <c r="AX38" i="3"/>
  <c r="AX36" i="3"/>
  <c r="AX21" i="3"/>
  <c r="C68" i="16"/>
  <c r="C65" i="16"/>
  <c r="C67" i="16"/>
  <c r="C66" i="16"/>
  <c r="U7" i="15"/>
  <c r="T7" i="15"/>
  <c r="S7" i="15"/>
  <c r="P7" i="15"/>
  <c r="O7" i="15"/>
  <c r="P6" i="15"/>
  <c r="P12" i="15" s="1"/>
  <c r="P8" i="15"/>
  <c r="P9" i="15"/>
  <c r="P10" i="15"/>
  <c r="P11" i="15"/>
  <c r="P5" i="15"/>
  <c r="O9" i="15"/>
  <c r="O10" i="15"/>
  <c r="O11" i="15"/>
  <c r="O8" i="15"/>
  <c r="O6" i="15"/>
  <c r="O12" i="15" s="1"/>
  <c r="O5" i="15"/>
  <c r="AO23" i="3" l="1"/>
  <c r="BB24" i="15"/>
  <c r="BC16" i="15"/>
  <c r="AJ19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K86" i="11"/>
  <c r="AJ86" i="11"/>
  <c r="AK85" i="11"/>
  <c r="AJ85" i="11"/>
  <c r="AK84" i="11"/>
  <c r="AJ84" i="11"/>
  <c r="AJ23" i="11"/>
  <c r="AK23" i="11" s="1"/>
  <c r="O5" i="13"/>
  <c r="O4" i="13"/>
  <c r="O6" i="13"/>
  <c r="D15" i="24"/>
  <c r="AG437" i="24"/>
  <c r="AG436" i="24"/>
  <c r="AG435" i="24"/>
  <c r="AG434" i="24"/>
  <c r="AG433" i="24"/>
  <c r="AG432" i="24"/>
  <c r="AG431" i="24"/>
  <c r="AG430" i="24"/>
  <c r="AG429" i="24"/>
  <c r="AG428" i="24"/>
  <c r="AD420" i="24"/>
  <c r="AD419" i="24"/>
  <c r="AD418" i="24"/>
  <c r="AD417" i="24"/>
  <c r="AD416" i="24"/>
  <c r="AD415" i="24"/>
  <c r="AD414" i="24"/>
  <c r="AD413" i="24"/>
  <c r="AD412" i="24"/>
  <c r="AD411" i="24"/>
  <c r="AD410" i="24"/>
  <c r="AD409" i="24"/>
  <c r="AD408" i="24"/>
  <c r="AD407" i="24"/>
  <c r="AD406" i="24"/>
  <c r="AD405" i="24"/>
  <c r="AD404" i="24"/>
  <c r="AD403" i="24"/>
  <c r="AD402" i="24"/>
  <c r="AD401" i="24"/>
  <c r="AD400" i="24"/>
  <c r="AD399" i="24"/>
  <c r="AD398" i="24"/>
  <c r="AD397" i="24"/>
  <c r="AD396" i="24"/>
  <c r="AD395" i="24"/>
  <c r="AD394" i="24"/>
  <c r="AD393" i="24"/>
  <c r="AD392" i="24"/>
  <c r="AD391" i="24"/>
  <c r="AD390" i="24"/>
  <c r="AD389" i="24"/>
  <c r="AD388" i="24"/>
  <c r="AD387" i="24"/>
  <c r="AD386" i="24"/>
  <c r="AD385" i="24"/>
  <c r="AD384" i="24"/>
  <c r="AD383" i="24"/>
  <c r="AD382" i="24"/>
  <c r="AD381" i="24"/>
  <c r="AD380" i="24"/>
  <c r="AD379" i="24"/>
  <c r="AD378" i="24"/>
  <c r="AD377" i="24"/>
  <c r="AD376" i="24"/>
  <c r="AD375" i="24"/>
  <c r="AD374" i="24"/>
  <c r="AD373" i="24"/>
  <c r="AD372" i="24"/>
  <c r="AD371" i="24"/>
  <c r="AD370" i="24"/>
  <c r="AD369" i="24"/>
  <c r="AD368" i="24"/>
  <c r="AD367" i="24"/>
  <c r="AD366" i="24"/>
  <c r="AD365" i="24"/>
  <c r="AD364" i="24"/>
  <c r="AD363" i="24"/>
  <c r="AD362" i="24"/>
  <c r="AD361" i="24"/>
  <c r="AD360" i="24"/>
  <c r="AD359" i="24"/>
  <c r="AD358" i="24"/>
  <c r="AD357" i="24"/>
  <c r="AD356" i="24"/>
  <c r="AD355" i="24"/>
  <c r="AD354" i="24"/>
  <c r="AG353" i="24"/>
  <c r="AD353" i="24"/>
  <c r="AG352" i="24"/>
  <c r="AD352" i="24"/>
  <c r="AG351" i="24"/>
  <c r="AD351" i="24"/>
  <c r="AG350" i="24"/>
  <c r="AD350" i="24"/>
  <c r="AG349" i="24"/>
  <c r="AD349" i="24"/>
  <c r="AG348" i="24"/>
  <c r="AD348" i="24"/>
  <c r="AG347" i="24"/>
  <c r="AD347" i="24"/>
  <c r="AG346" i="24"/>
  <c r="AD346" i="24"/>
  <c r="AG345" i="24"/>
  <c r="AD345" i="24"/>
  <c r="AG344" i="24"/>
  <c r="AD344" i="24"/>
  <c r="AG343" i="24"/>
  <c r="AD343" i="24"/>
  <c r="AG342" i="24"/>
  <c r="AD342" i="24"/>
  <c r="AG341" i="24"/>
  <c r="AD341" i="24"/>
  <c r="AG340" i="24"/>
  <c r="AD340" i="24"/>
  <c r="AG339" i="24"/>
  <c r="AD339" i="24"/>
  <c r="AG338" i="24"/>
  <c r="AD338" i="24"/>
  <c r="AG337" i="24"/>
  <c r="AD337" i="24"/>
  <c r="AG336" i="24"/>
  <c r="AD336" i="24"/>
  <c r="AG335" i="24"/>
  <c r="AD335" i="24"/>
  <c r="AG334" i="24"/>
  <c r="AD334" i="24"/>
  <c r="AG333" i="24"/>
  <c r="AD333" i="24"/>
  <c r="AG332" i="24"/>
  <c r="AD332" i="24"/>
  <c r="AG331" i="24"/>
  <c r="AD331" i="24"/>
  <c r="AG330" i="24"/>
  <c r="AD330" i="24"/>
  <c r="AG329" i="24"/>
  <c r="AD329" i="24"/>
  <c r="AG328" i="24"/>
  <c r="AD328" i="24"/>
  <c r="AG327" i="24"/>
  <c r="AD327" i="24"/>
  <c r="AG326" i="24"/>
  <c r="AD326" i="24"/>
  <c r="AG325" i="24"/>
  <c r="AD325" i="24"/>
  <c r="AG324" i="24"/>
  <c r="AD324" i="24"/>
  <c r="AG323" i="24"/>
  <c r="AD323" i="24"/>
  <c r="AG322" i="24"/>
  <c r="AD322" i="24"/>
  <c r="AG321" i="24"/>
  <c r="AD321" i="24"/>
  <c r="AG320" i="24"/>
  <c r="AD320" i="24"/>
  <c r="AG319" i="24"/>
  <c r="AD319" i="24"/>
  <c r="AG318" i="24"/>
  <c r="AD318" i="24"/>
  <c r="AG317" i="24"/>
  <c r="AD317" i="24"/>
  <c r="AG316" i="24"/>
  <c r="AD316" i="24"/>
  <c r="AG315" i="24"/>
  <c r="AD315" i="24"/>
  <c r="AG314" i="24"/>
  <c r="AD314" i="24"/>
  <c r="AG313" i="24"/>
  <c r="AD313" i="24"/>
  <c r="AG312" i="24"/>
  <c r="AD312" i="24"/>
  <c r="AG311" i="24"/>
  <c r="AD311" i="24"/>
  <c r="AH310" i="24"/>
  <c r="AG310" i="24"/>
  <c r="AD310" i="24"/>
  <c r="AH309" i="24"/>
  <c r="AG309" i="24"/>
  <c r="AD309" i="24"/>
  <c r="AH308" i="24"/>
  <c r="AG308" i="24"/>
  <c r="AD308" i="24"/>
  <c r="AH307" i="24"/>
  <c r="AG307" i="24"/>
  <c r="AD307" i="24"/>
  <c r="AH306" i="24"/>
  <c r="AG306" i="24"/>
  <c r="AD306" i="24"/>
  <c r="AH305" i="24"/>
  <c r="AG305" i="24"/>
  <c r="AD305" i="24"/>
  <c r="AH304" i="24"/>
  <c r="AG304" i="24"/>
  <c r="AD304" i="24"/>
  <c r="AH303" i="24"/>
  <c r="AG303" i="24"/>
  <c r="AD303" i="24"/>
  <c r="AH302" i="24"/>
  <c r="AG302" i="24"/>
  <c r="AD302" i="24"/>
  <c r="AH301" i="24"/>
  <c r="AG301" i="24"/>
  <c r="AD301" i="24"/>
  <c r="AH300" i="24"/>
  <c r="AG300" i="24"/>
  <c r="AD300" i="24"/>
  <c r="AH299" i="24"/>
  <c r="AG299" i="24"/>
  <c r="AD299" i="24"/>
  <c r="AH298" i="24"/>
  <c r="AG298" i="24"/>
  <c r="AD298" i="24"/>
  <c r="AH297" i="24"/>
  <c r="AG297" i="24"/>
  <c r="AD297" i="24"/>
  <c r="AH296" i="24"/>
  <c r="AG296" i="24"/>
  <c r="AD296" i="24"/>
  <c r="AH295" i="24"/>
  <c r="AG295" i="24"/>
  <c r="AD295" i="24"/>
  <c r="AH294" i="24"/>
  <c r="AG294" i="24"/>
  <c r="AD294" i="24"/>
  <c r="AH293" i="24"/>
  <c r="AG293" i="24"/>
  <c r="AD293" i="24"/>
  <c r="AH292" i="24"/>
  <c r="AG292" i="24"/>
  <c r="AD292" i="24"/>
  <c r="AH291" i="24"/>
  <c r="AG291" i="24"/>
  <c r="AD291" i="24"/>
  <c r="AH290" i="24"/>
  <c r="AG290" i="24"/>
  <c r="AD290" i="24"/>
  <c r="AH289" i="24"/>
  <c r="AG289" i="24"/>
  <c r="AD289" i="24"/>
  <c r="AH288" i="24"/>
  <c r="AG288" i="24"/>
  <c r="AD288" i="24"/>
  <c r="AH287" i="24"/>
  <c r="AG287" i="24"/>
  <c r="AD287" i="24"/>
  <c r="AH286" i="24"/>
  <c r="AG286" i="24"/>
  <c r="AD286" i="24"/>
  <c r="AH285" i="24"/>
  <c r="AG285" i="24"/>
  <c r="AD285" i="24"/>
  <c r="AH284" i="24"/>
  <c r="AG284" i="24"/>
  <c r="AD284" i="24"/>
  <c r="AH283" i="24"/>
  <c r="AG283" i="24"/>
  <c r="AD283" i="24"/>
  <c r="AH282" i="24"/>
  <c r="AG282" i="24"/>
  <c r="AD282" i="24"/>
  <c r="AH281" i="24"/>
  <c r="AG281" i="24"/>
  <c r="AD281" i="24"/>
  <c r="AH280" i="24"/>
  <c r="AG280" i="24"/>
  <c r="AD280" i="24"/>
  <c r="AH279" i="24"/>
  <c r="AG279" i="24"/>
  <c r="AD279" i="24"/>
  <c r="AH278" i="24"/>
  <c r="AG278" i="24"/>
  <c r="AD278" i="24"/>
  <c r="AH277" i="24"/>
  <c r="AG277" i="24"/>
  <c r="AD277" i="24"/>
  <c r="AH276" i="24"/>
  <c r="AG276" i="24"/>
  <c r="AD276" i="24"/>
  <c r="AH275" i="24"/>
  <c r="AG275" i="24"/>
  <c r="AD275" i="24"/>
  <c r="AH274" i="24"/>
  <c r="AG274" i="24"/>
  <c r="AD274" i="24"/>
  <c r="AH273" i="24"/>
  <c r="AG273" i="24"/>
  <c r="AD273" i="24"/>
  <c r="AH272" i="24"/>
  <c r="AG272" i="24"/>
  <c r="AD272" i="24"/>
  <c r="AH271" i="24"/>
  <c r="AG271" i="24"/>
  <c r="AD271" i="24"/>
  <c r="AH270" i="24"/>
  <c r="AG270" i="24"/>
  <c r="AD270" i="24"/>
  <c r="AH269" i="24"/>
  <c r="AG269" i="24"/>
  <c r="AD269" i="24"/>
  <c r="AH268" i="24"/>
  <c r="AG268" i="24"/>
  <c r="AD268" i="24"/>
  <c r="AH267" i="24"/>
  <c r="AG267" i="24"/>
  <c r="AD267" i="24"/>
  <c r="AH266" i="24"/>
  <c r="AG266" i="24"/>
  <c r="AD266" i="24"/>
  <c r="AH265" i="24"/>
  <c r="AG265" i="24"/>
  <c r="AD265" i="24"/>
  <c r="AH264" i="24"/>
  <c r="AG264" i="24"/>
  <c r="AD264" i="24"/>
  <c r="AH263" i="24"/>
  <c r="AG263" i="24"/>
  <c r="AD263" i="24"/>
  <c r="AH262" i="24"/>
  <c r="AG262" i="24"/>
  <c r="AD262" i="24"/>
  <c r="AH261" i="24"/>
  <c r="AG261" i="24"/>
  <c r="AD261" i="24"/>
  <c r="AH260" i="24"/>
  <c r="AG260" i="24"/>
  <c r="AD260" i="24"/>
  <c r="AH259" i="24"/>
  <c r="AG259" i="24"/>
  <c r="AD259" i="24"/>
  <c r="AH258" i="24"/>
  <c r="AG258" i="24"/>
  <c r="AD258" i="24"/>
  <c r="AH257" i="24"/>
  <c r="AG257" i="24"/>
  <c r="AD257" i="24"/>
  <c r="AH256" i="24"/>
  <c r="AG256" i="24"/>
  <c r="AD256" i="24"/>
  <c r="AH255" i="24"/>
  <c r="AG255" i="24"/>
  <c r="AD255" i="24"/>
  <c r="AH254" i="24"/>
  <c r="AG254" i="24"/>
  <c r="AD254" i="24"/>
  <c r="AH253" i="24"/>
  <c r="AG253" i="24"/>
  <c r="AD253" i="24"/>
  <c r="AH252" i="24"/>
  <c r="AG252" i="24"/>
  <c r="AD252" i="24"/>
  <c r="AH251" i="24"/>
  <c r="AG251" i="24"/>
  <c r="AD251" i="24"/>
  <c r="AH250" i="24"/>
  <c r="AG250" i="24"/>
  <c r="AD250" i="24"/>
  <c r="AH249" i="24"/>
  <c r="AG249" i="24"/>
  <c r="AD249" i="24"/>
  <c r="AH248" i="24"/>
  <c r="AG248" i="24"/>
  <c r="AD248" i="24"/>
  <c r="AH247" i="24"/>
  <c r="AG247" i="24"/>
  <c r="AD247" i="24"/>
  <c r="AH246" i="24"/>
  <c r="AG246" i="24"/>
  <c r="AD246" i="24"/>
  <c r="AH245" i="24"/>
  <c r="AG245" i="24"/>
  <c r="AH244" i="24"/>
  <c r="AG244" i="24"/>
  <c r="AC244" i="24"/>
  <c r="AH243" i="24"/>
  <c r="AG243" i="24"/>
  <c r="AC243" i="24"/>
  <c r="AH242" i="24"/>
  <c r="AG242" i="24"/>
  <c r="AC242" i="24"/>
  <c r="AH241" i="24"/>
  <c r="AG241" i="24"/>
  <c r="AC241" i="24"/>
  <c r="AH240" i="24"/>
  <c r="AG240" i="24"/>
  <c r="AC240" i="24"/>
  <c r="AH239" i="24"/>
  <c r="AG239" i="24"/>
  <c r="AC239" i="24"/>
  <c r="AH238" i="24"/>
  <c r="AG238" i="24"/>
  <c r="AC238" i="24"/>
  <c r="AH237" i="24"/>
  <c r="AG237" i="24"/>
  <c r="AC237" i="24"/>
  <c r="AH236" i="24"/>
  <c r="AG236" i="24"/>
  <c r="AC236" i="24"/>
  <c r="AH235" i="24"/>
  <c r="AG235" i="24"/>
  <c r="AC235" i="24"/>
  <c r="AH234" i="24"/>
  <c r="AG234" i="24"/>
  <c r="AC234" i="24"/>
  <c r="AH233" i="24"/>
  <c r="AG233" i="24"/>
  <c r="AC233" i="24"/>
  <c r="AH232" i="24"/>
  <c r="AG232" i="24"/>
  <c r="AC232" i="24"/>
  <c r="AH231" i="24"/>
  <c r="AG231" i="24"/>
  <c r="AC231" i="24"/>
  <c r="AH230" i="24"/>
  <c r="AG230" i="24"/>
  <c r="AC230" i="24"/>
  <c r="AF229" i="24"/>
  <c r="AC229" i="24"/>
  <c r="AH228" i="24"/>
  <c r="AF228" i="24"/>
  <c r="AG228" i="24" s="1"/>
  <c r="AC228" i="24"/>
  <c r="AF227" i="24"/>
  <c r="AC227" i="24"/>
  <c r="AH226" i="24"/>
  <c r="AF226" i="24"/>
  <c r="AG226" i="24" s="1"/>
  <c r="AC226" i="24"/>
  <c r="AF225" i="24"/>
  <c r="AC225" i="24"/>
  <c r="AH224" i="24"/>
  <c r="AF224" i="24"/>
  <c r="AG224" i="24" s="1"/>
  <c r="AC224" i="24"/>
  <c r="AF223" i="24"/>
  <c r="AC223" i="24"/>
  <c r="AH222" i="24"/>
  <c r="AF222" i="24"/>
  <c r="AG222" i="24" s="1"/>
  <c r="AC222" i="24"/>
  <c r="AF221" i="24"/>
  <c r="AC221" i="24"/>
  <c r="AH220" i="24"/>
  <c r="AF220" i="24"/>
  <c r="AG220" i="24" s="1"/>
  <c r="AC220" i="24"/>
  <c r="AF219" i="24"/>
  <c r="AC219" i="24"/>
  <c r="AH218" i="24"/>
  <c r="AF218" i="24"/>
  <c r="AG218" i="24" s="1"/>
  <c r="AC218" i="24"/>
  <c r="AF217" i="24"/>
  <c r="AC217" i="24"/>
  <c r="AH216" i="24"/>
  <c r="AF216" i="24"/>
  <c r="AG216" i="24" s="1"/>
  <c r="AC216" i="24"/>
  <c r="AF215" i="24"/>
  <c r="AG215" i="24" s="1"/>
  <c r="AC215" i="24"/>
  <c r="AH214" i="24"/>
  <c r="AF214" i="24"/>
  <c r="AG214" i="24" s="1"/>
  <c r="AC214" i="24"/>
  <c r="AF213" i="24"/>
  <c r="AC213" i="24"/>
  <c r="AH212" i="24"/>
  <c r="AF212" i="24"/>
  <c r="AG212" i="24" s="1"/>
  <c r="AC212" i="24"/>
  <c r="AF211" i="24"/>
  <c r="AG211" i="24" s="1"/>
  <c r="AC211" i="24"/>
  <c r="AH210" i="24"/>
  <c r="AF210" i="24"/>
  <c r="AG210" i="24" s="1"/>
  <c r="AC210" i="24"/>
  <c r="AF209" i="24"/>
  <c r="AC209" i="24"/>
  <c r="AH208" i="24"/>
  <c r="AF208" i="24"/>
  <c r="AG208" i="24" s="1"/>
  <c r="AC208" i="24"/>
  <c r="AF207" i="24"/>
  <c r="AG207" i="24" s="1"/>
  <c r="AC207" i="24"/>
  <c r="AH206" i="24"/>
  <c r="AF206" i="24"/>
  <c r="AG206" i="24" s="1"/>
  <c r="AC206" i="24"/>
  <c r="AF205" i="24"/>
  <c r="AC205" i="24"/>
  <c r="AH204" i="24"/>
  <c r="AF204" i="24"/>
  <c r="AG204" i="24" s="1"/>
  <c r="AC204" i="24"/>
  <c r="AF203" i="24"/>
  <c r="AG203" i="24" s="1"/>
  <c r="AC203" i="24"/>
  <c r="AH202" i="24"/>
  <c r="AF202" i="24"/>
  <c r="AG202" i="24" s="1"/>
  <c r="AC202" i="24"/>
  <c r="AF201" i="24"/>
  <c r="AC201" i="24"/>
  <c r="AH200" i="24"/>
  <c r="AF200" i="24"/>
  <c r="AG200" i="24" s="1"/>
  <c r="AC200" i="24"/>
  <c r="AF199" i="24"/>
  <c r="AG199" i="24" s="1"/>
  <c r="AC199" i="24"/>
  <c r="AH198" i="24"/>
  <c r="AF198" i="24"/>
  <c r="AG198" i="24" s="1"/>
  <c r="AC198" i="24"/>
  <c r="AF197" i="24"/>
  <c r="AC197" i="24"/>
  <c r="AH196" i="24"/>
  <c r="AF196" i="24"/>
  <c r="AG196" i="24" s="1"/>
  <c r="AC196" i="24"/>
  <c r="AF195" i="24"/>
  <c r="AC195" i="24"/>
  <c r="AH194" i="24"/>
  <c r="AF194" i="24"/>
  <c r="AG194" i="24" s="1"/>
  <c r="AC194" i="24"/>
  <c r="AF193" i="24"/>
  <c r="AC193" i="24"/>
  <c r="AH192" i="24"/>
  <c r="AF192" i="24"/>
  <c r="AG192" i="24" s="1"/>
  <c r="AC192" i="24"/>
  <c r="AF191" i="24"/>
  <c r="AC191" i="24"/>
  <c r="AH190" i="24"/>
  <c r="AF190" i="24"/>
  <c r="AG190" i="24" s="1"/>
  <c r="AC190" i="24"/>
  <c r="AF189" i="24"/>
  <c r="AC189" i="24"/>
  <c r="AH188" i="24"/>
  <c r="AF188" i="24"/>
  <c r="AG188" i="24" s="1"/>
  <c r="AC188" i="24"/>
  <c r="AF187" i="24"/>
  <c r="AC187" i="24"/>
  <c r="AH186" i="24"/>
  <c r="AF186" i="24"/>
  <c r="AG186" i="24" s="1"/>
  <c r="AC186" i="24"/>
  <c r="AF185" i="24"/>
  <c r="AC185" i="24"/>
  <c r="AH184" i="24"/>
  <c r="AF184" i="24"/>
  <c r="AG184" i="24" s="1"/>
  <c r="AC184" i="24"/>
  <c r="AF183" i="24"/>
  <c r="AC183" i="24"/>
  <c r="AH182" i="24"/>
  <c r="AF182" i="24"/>
  <c r="AG182" i="24" s="1"/>
  <c r="AC182" i="24"/>
  <c r="AF181" i="24"/>
  <c r="AC181" i="24"/>
  <c r="AH180" i="24"/>
  <c r="AF180" i="24"/>
  <c r="AG180" i="24" s="1"/>
  <c r="AC180" i="24"/>
  <c r="AF179" i="24"/>
  <c r="AC179" i="24"/>
  <c r="AF178" i="24"/>
  <c r="AG178" i="24" s="1"/>
  <c r="AC178" i="24"/>
  <c r="AH177" i="24"/>
  <c r="AF177" i="24"/>
  <c r="AG177" i="24" s="1"/>
  <c r="AC177" i="24"/>
  <c r="AF176" i="24"/>
  <c r="AG176" i="24" s="1"/>
  <c r="AC176" i="24"/>
  <c r="AH175" i="24"/>
  <c r="AF175" i="24"/>
  <c r="AG175" i="24" s="1"/>
  <c r="AC175" i="24"/>
  <c r="AF174" i="24"/>
  <c r="AG174" i="24" s="1"/>
  <c r="AC174" i="24"/>
  <c r="AH173" i="24"/>
  <c r="AF173" i="24"/>
  <c r="AG173" i="24" s="1"/>
  <c r="AC173" i="24"/>
  <c r="AF172" i="24"/>
  <c r="AG172" i="24" s="1"/>
  <c r="AC172" i="24"/>
  <c r="AH171" i="24"/>
  <c r="AF171" i="24"/>
  <c r="AG171" i="24" s="1"/>
  <c r="AC171" i="24"/>
  <c r="AF170" i="24"/>
  <c r="AG170" i="24" s="1"/>
  <c r="AC170" i="24"/>
  <c r="AH169" i="24"/>
  <c r="AF169" i="24"/>
  <c r="AG169" i="24" s="1"/>
  <c r="AC169" i="24"/>
  <c r="AF168" i="24"/>
  <c r="AG168" i="24" s="1"/>
  <c r="AC168" i="24"/>
  <c r="AH167" i="24"/>
  <c r="AF167" i="24"/>
  <c r="AG167" i="24" s="1"/>
  <c r="AC167" i="24"/>
  <c r="AF166" i="24"/>
  <c r="AG166" i="24" s="1"/>
  <c r="AC166" i="24"/>
  <c r="AH165" i="24"/>
  <c r="AF165" i="24"/>
  <c r="AG165" i="24" s="1"/>
  <c r="AC165" i="24"/>
  <c r="AF164" i="24"/>
  <c r="AG164" i="24" s="1"/>
  <c r="AC164" i="24"/>
  <c r="AH163" i="24"/>
  <c r="AF163" i="24"/>
  <c r="AG163" i="24" s="1"/>
  <c r="AC163" i="24"/>
  <c r="AF162" i="24"/>
  <c r="AG162" i="24" s="1"/>
  <c r="AC162" i="24"/>
  <c r="AH161" i="24"/>
  <c r="AF161" i="24"/>
  <c r="AG161" i="24" s="1"/>
  <c r="AC161" i="24"/>
  <c r="AF160" i="24"/>
  <c r="AG160" i="24" s="1"/>
  <c r="AC160" i="24"/>
  <c r="AH159" i="24"/>
  <c r="AF159" i="24"/>
  <c r="AG159" i="24" s="1"/>
  <c r="AC159" i="24"/>
  <c r="AF158" i="24"/>
  <c r="AG158" i="24" s="1"/>
  <c r="AC158" i="24"/>
  <c r="AH157" i="24"/>
  <c r="AF157" i="24"/>
  <c r="AG157" i="24" s="1"/>
  <c r="AC157" i="24"/>
  <c r="AF156" i="24"/>
  <c r="AG156" i="24" s="1"/>
  <c r="AC156" i="24"/>
  <c r="AH155" i="24"/>
  <c r="AF155" i="24"/>
  <c r="AG155" i="24" s="1"/>
  <c r="AC155" i="24"/>
  <c r="AF154" i="24"/>
  <c r="AG154" i="24" s="1"/>
  <c r="AC154" i="24"/>
  <c r="AH153" i="24"/>
  <c r="AF153" i="24"/>
  <c r="AG153" i="24" s="1"/>
  <c r="AC153" i="24"/>
  <c r="AF152" i="24"/>
  <c r="AC152" i="24"/>
  <c r="AH151" i="24"/>
  <c r="AF151" i="24"/>
  <c r="AG151" i="24" s="1"/>
  <c r="AC151" i="24"/>
  <c r="AF150" i="24"/>
  <c r="AG150" i="24" s="1"/>
  <c r="AC150" i="24"/>
  <c r="AH149" i="24"/>
  <c r="AF149" i="24"/>
  <c r="AG149" i="24" s="1"/>
  <c r="AC149" i="24"/>
  <c r="AF148" i="24"/>
  <c r="AC148" i="24"/>
  <c r="AH147" i="24"/>
  <c r="AF147" i="24"/>
  <c r="AG147" i="24" s="1"/>
  <c r="AC147" i="24"/>
  <c r="AF146" i="24"/>
  <c r="AG146" i="24" s="1"/>
  <c r="AC146" i="24"/>
  <c r="AH145" i="24"/>
  <c r="AF145" i="24"/>
  <c r="AG145" i="24" s="1"/>
  <c r="AC145" i="24"/>
  <c r="AF144" i="24"/>
  <c r="AC144" i="24"/>
  <c r="AH143" i="24"/>
  <c r="AF143" i="24"/>
  <c r="AG143" i="24" s="1"/>
  <c r="AC143" i="24"/>
  <c r="AF142" i="24"/>
  <c r="AG142" i="24" s="1"/>
  <c r="AC142" i="24"/>
  <c r="AH141" i="24"/>
  <c r="AF141" i="24"/>
  <c r="AG141" i="24" s="1"/>
  <c r="AC141" i="24"/>
  <c r="AF140" i="24"/>
  <c r="AC140" i="24"/>
  <c r="AH139" i="24"/>
  <c r="AF139" i="24"/>
  <c r="AG139" i="24" s="1"/>
  <c r="AC139" i="24"/>
  <c r="AF138" i="24"/>
  <c r="AG138" i="24" s="1"/>
  <c r="AC138" i="24"/>
  <c r="AH137" i="24"/>
  <c r="AF137" i="24"/>
  <c r="AG137" i="24" s="1"/>
  <c r="AC137" i="24"/>
  <c r="AF136" i="24"/>
  <c r="AC136" i="24"/>
  <c r="AH135" i="24"/>
  <c r="AF135" i="24"/>
  <c r="AG135" i="24" s="1"/>
  <c r="AC135" i="24"/>
  <c r="AF134" i="24"/>
  <c r="AG134" i="24" s="1"/>
  <c r="AC134" i="24"/>
  <c r="AH133" i="24"/>
  <c r="AF133" i="24"/>
  <c r="AG133" i="24" s="1"/>
  <c r="AC133" i="24"/>
  <c r="AF132" i="24"/>
  <c r="AC132" i="24"/>
  <c r="AH131" i="24"/>
  <c r="AF131" i="24"/>
  <c r="AG131" i="24" s="1"/>
  <c r="AC131" i="24"/>
  <c r="AF130" i="24"/>
  <c r="AG130" i="24" s="1"/>
  <c r="AC130" i="24"/>
  <c r="AH129" i="24"/>
  <c r="AF129" i="24"/>
  <c r="AG129" i="24" s="1"/>
  <c r="AC129" i="24"/>
  <c r="AF128" i="24"/>
  <c r="AC128" i="24"/>
  <c r="AH127" i="24"/>
  <c r="AF127" i="24"/>
  <c r="AG127" i="24" s="1"/>
  <c r="AC127" i="24"/>
  <c r="AF126" i="24"/>
  <c r="AG126" i="24" s="1"/>
  <c r="AC126" i="24"/>
  <c r="AH125" i="24"/>
  <c r="AF125" i="24"/>
  <c r="AG125" i="24" s="1"/>
  <c r="AC125" i="24"/>
  <c r="AF124" i="24"/>
  <c r="AC124" i="24"/>
  <c r="AH123" i="24"/>
  <c r="AF123" i="24"/>
  <c r="AG123" i="24" s="1"/>
  <c r="AC123" i="24"/>
  <c r="AF122" i="24"/>
  <c r="AG122" i="24" s="1"/>
  <c r="AC122" i="24"/>
  <c r="AH121" i="24"/>
  <c r="AF121" i="24"/>
  <c r="AG121" i="24" s="1"/>
  <c r="AC121" i="24"/>
  <c r="AF120" i="24"/>
  <c r="AC120" i="24"/>
  <c r="AH119" i="24"/>
  <c r="AF119" i="24"/>
  <c r="AG119" i="24" s="1"/>
  <c r="AC119" i="24"/>
  <c r="AF118" i="24"/>
  <c r="AG118" i="24" s="1"/>
  <c r="AC118" i="24"/>
  <c r="AH117" i="24"/>
  <c r="AF117" i="24"/>
  <c r="AG117" i="24" s="1"/>
  <c r="AC117" i="24"/>
  <c r="AF116" i="24"/>
  <c r="AC116" i="24"/>
  <c r="AH115" i="24"/>
  <c r="AF115" i="24"/>
  <c r="AG115" i="24" s="1"/>
  <c r="AC115" i="24"/>
  <c r="AF114" i="24"/>
  <c r="AG114" i="24" s="1"/>
  <c r="AC114" i="24"/>
  <c r="AH113" i="24"/>
  <c r="AF113" i="24"/>
  <c r="AG113" i="24" s="1"/>
  <c r="AC113" i="24"/>
  <c r="AF112" i="24"/>
  <c r="AC112" i="24"/>
  <c r="AH111" i="24"/>
  <c r="AF111" i="24"/>
  <c r="AG111" i="24" s="1"/>
  <c r="AC111" i="24"/>
  <c r="AF110" i="24"/>
  <c r="AG110" i="24" s="1"/>
  <c r="AC110" i="24"/>
  <c r="AH109" i="24"/>
  <c r="AF109" i="24"/>
  <c r="AG109" i="24" s="1"/>
  <c r="AC109" i="24"/>
  <c r="AF108" i="24"/>
  <c r="AC108" i="24"/>
  <c r="AH107" i="24"/>
  <c r="AF107" i="24"/>
  <c r="AG107" i="24" s="1"/>
  <c r="AC107" i="24"/>
  <c r="AF106" i="24"/>
  <c r="AG106" i="24" s="1"/>
  <c r="AC106" i="24"/>
  <c r="AH105" i="24"/>
  <c r="AF105" i="24"/>
  <c r="AG105" i="24" s="1"/>
  <c r="AC105" i="24"/>
  <c r="AF104" i="24"/>
  <c r="AC104" i="24"/>
  <c r="AH103" i="24"/>
  <c r="AF103" i="24"/>
  <c r="AG103" i="24" s="1"/>
  <c r="AC103" i="24"/>
  <c r="AF102" i="24"/>
  <c r="AG102" i="24" s="1"/>
  <c r="AC102" i="24"/>
  <c r="AH101" i="24"/>
  <c r="AF101" i="24"/>
  <c r="AG101" i="24" s="1"/>
  <c r="AC101" i="24"/>
  <c r="AF100" i="24"/>
  <c r="AC100" i="24"/>
  <c r="AH99" i="24"/>
  <c r="AF99" i="24"/>
  <c r="AG99" i="24" s="1"/>
  <c r="AC99" i="24"/>
  <c r="AF98" i="24"/>
  <c r="AG98" i="24" s="1"/>
  <c r="AC98" i="24"/>
  <c r="AH97" i="24"/>
  <c r="AF97" i="24"/>
  <c r="AG97" i="24" s="1"/>
  <c r="AC97" i="24"/>
  <c r="AF96" i="24"/>
  <c r="AC96" i="24"/>
  <c r="AH95" i="24"/>
  <c r="AF95" i="24"/>
  <c r="AG95" i="24" s="1"/>
  <c r="AC95" i="24"/>
  <c r="AF94" i="24"/>
  <c r="AG94" i="24" s="1"/>
  <c r="AC94" i="24"/>
  <c r="AH93" i="24"/>
  <c r="AF93" i="24"/>
  <c r="AG93" i="24" s="1"/>
  <c r="AC93" i="24"/>
  <c r="AF92" i="24"/>
  <c r="AC92" i="24"/>
  <c r="AH91" i="24"/>
  <c r="AF91" i="24"/>
  <c r="AG91" i="24" s="1"/>
  <c r="AC91" i="24"/>
  <c r="AF90" i="24"/>
  <c r="AG90" i="24" s="1"/>
  <c r="AC90" i="24"/>
  <c r="AH89" i="24"/>
  <c r="AF89" i="24"/>
  <c r="AG89" i="24" s="1"/>
  <c r="AC89" i="24"/>
  <c r="AF88" i="24"/>
  <c r="AC88" i="24"/>
  <c r="AH87" i="24"/>
  <c r="AF87" i="24"/>
  <c r="AG87" i="24" s="1"/>
  <c r="AC87" i="24"/>
  <c r="AF86" i="24"/>
  <c r="AG86" i="24" s="1"/>
  <c r="AC86" i="24"/>
  <c r="AH85" i="24"/>
  <c r="AF85" i="24"/>
  <c r="AG85" i="24" s="1"/>
  <c r="AC85" i="24"/>
  <c r="AF84" i="24"/>
  <c r="AC84" i="24"/>
  <c r="AH83" i="24"/>
  <c r="AF83" i="24"/>
  <c r="AG83" i="24" s="1"/>
  <c r="AC83" i="24"/>
  <c r="AF82" i="24"/>
  <c r="AG82" i="24" s="1"/>
  <c r="AC82" i="24"/>
  <c r="AH81" i="24"/>
  <c r="AF81" i="24"/>
  <c r="AG81" i="24" s="1"/>
  <c r="AC81" i="24"/>
  <c r="AF80" i="24"/>
  <c r="AC80" i="24"/>
  <c r="AH79" i="24"/>
  <c r="AF79" i="24"/>
  <c r="AG79" i="24" s="1"/>
  <c r="AC79" i="24"/>
  <c r="AF78" i="24"/>
  <c r="AG78" i="24" s="1"/>
  <c r="AC78" i="24"/>
  <c r="AU31" i="24"/>
  <c r="AD30" i="24"/>
  <c r="AA30" i="24"/>
  <c r="AA31" i="24" s="1"/>
  <c r="AD29" i="24"/>
  <c r="AU28" i="24"/>
  <c r="AC27" i="24"/>
  <c r="AE24" i="24" s="1"/>
  <c r="AC26" i="24"/>
  <c r="A25" i="24"/>
  <c r="A26" i="24" s="1"/>
  <c r="B24" i="24"/>
  <c r="A24" i="24"/>
  <c r="AM23" i="24"/>
  <c r="E23" i="24"/>
  <c r="F17" i="24"/>
  <c r="F19" i="24" s="1"/>
  <c r="D19" i="24" s="1"/>
  <c r="D17" i="24"/>
  <c r="AB29" i="24" s="1"/>
  <c r="I16" i="24"/>
  <c r="D16" i="24"/>
  <c r="C23" i="24" s="1"/>
  <c r="I15" i="24"/>
  <c r="F15" i="24"/>
  <c r="I14" i="24"/>
  <c r="C12" i="24"/>
  <c r="R11" i="24"/>
  <c r="C11" i="24"/>
  <c r="R10" i="24"/>
  <c r="C10" i="24"/>
  <c r="R9" i="24"/>
  <c r="C9" i="24"/>
  <c r="R8" i="24"/>
  <c r="C8" i="24"/>
  <c r="C7" i="24"/>
  <c r="C6" i="24"/>
  <c r="R5" i="24"/>
  <c r="AC29" i="24" l="1"/>
  <c r="C24" i="24"/>
  <c r="D24" i="24" s="1"/>
  <c r="F24" i="24" s="1"/>
  <c r="AB30" i="24"/>
  <c r="B26" i="24"/>
  <c r="A27" i="24"/>
  <c r="AA32" i="24"/>
  <c r="AD31" i="24"/>
  <c r="B25" i="24"/>
  <c r="AG84" i="24"/>
  <c r="AH84" i="24"/>
  <c r="AG92" i="24"/>
  <c r="AH92" i="24"/>
  <c r="AG100" i="24"/>
  <c r="AH100" i="24"/>
  <c r="AG108" i="24"/>
  <c r="AH108" i="24"/>
  <c r="AG116" i="24"/>
  <c r="AH116" i="24"/>
  <c r="AG124" i="24"/>
  <c r="AH124" i="24"/>
  <c r="AG132" i="24"/>
  <c r="AH132" i="24"/>
  <c r="AG140" i="24"/>
  <c r="AH140" i="24"/>
  <c r="AG148" i="24"/>
  <c r="AH148" i="24"/>
  <c r="AG80" i="24"/>
  <c r="AH80" i="24"/>
  <c r="AG88" i="24"/>
  <c r="AH88" i="24"/>
  <c r="AG96" i="24"/>
  <c r="AH96" i="24"/>
  <c r="AG104" i="24"/>
  <c r="AH104" i="24"/>
  <c r="AG112" i="24"/>
  <c r="AH112" i="24"/>
  <c r="AG120" i="24"/>
  <c r="AH120" i="24"/>
  <c r="AG128" i="24"/>
  <c r="AH128" i="24"/>
  <c r="AG136" i="24"/>
  <c r="AH136" i="24"/>
  <c r="AG144" i="24"/>
  <c r="AH144" i="24"/>
  <c r="AG152" i="24"/>
  <c r="AH152" i="24"/>
  <c r="AG193" i="24"/>
  <c r="AH193" i="24"/>
  <c r="AG201" i="24"/>
  <c r="AH201" i="24"/>
  <c r="AG185" i="24"/>
  <c r="AH185" i="24"/>
  <c r="AG209" i="24"/>
  <c r="AH209" i="24"/>
  <c r="AG217" i="24"/>
  <c r="AH217" i="24"/>
  <c r="AH156" i="24"/>
  <c r="AH160" i="24"/>
  <c r="AH164" i="24"/>
  <c r="AH168" i="24"/>
  <c r="AH172" i="24"/>
  <c r="AH176" i="24"/>
  <c r="AG179" i="24"/>
  <c r="AH179" i="24"/>
  <c r="AG187" i="24"/>
  <c r="AH187" i="24"/>
  <c r="AG195" i="24"/>
  <c r="AH195" i="24"/>
  <c r="AG181" i="24"/>
  <c r="AH181" i="24"/>
  <c r="AG189" i="24"/>
  <c r="AH189" i="24"/>
  <c r="AG197" i="24"/>
  <c r="AH197" i="24"/>
  <c r="AG205" i="24"/>
  <c r="AH205" i="24"/>
  <c r="AG213" i="24"/>
  <c r="AH213" i="24"/>
  <c r="AH78" i="24"/>
  <c r="AH82" i="24"/>
  <c r="AH86" i="24"/>
  <c r="AH90" i="24"/>
  <c r="AH94" i="24"/>
  <c r="AH98" i="24"/>
  <c r="AH102" i="24"/>
  <c r="AH106" i="24"/>
  <c r="AH110" i="24"/>
  <c r="AH114" i="24"/>
  <c r="AH118" i="24"/>
  <c r="AH122" i="24"/>
  <c r="AH126" i="24"/>
  <c r="AH130" i="24"/>
  <c r="AH134" i="24"/>
  <c r="AH138" i="24"/>
  <c r="AH142" i="24"/>
  <c r="AH146" i="24"/>
  <c r="AH150" i="24"/>
  <c r="AH154" i="24"/>
  <c r="AH158" i="24"/>
  <c r="AH162" i="24"/>
  <c r="AH166" i="24"/>
  <c r="AH170" i="24"/>
  <c r="AH174" i="24"/>
  <c r="AH178" i="24"/>
  <c r="AG183" i="24"/>
  <c r="AH183" i="24"/>
  <c r="AG191" i="24"/>
  <c r="AH191" i="24"/>
  <c r="AH223" i="24"/>
  <c r="AG223" i="24"/>
  <c r="AH225" i="24"/>
  <c r="AG225" i="24"/>
  <c r="AH219" i="24"/>
  <c r="AG219" i="24"/>
  <c r="AH227" i="24"/>
  <c r="AG227" i="24"/>
  <c r="AH199" i="24"/>
  <c r="AH203" i="24"/>
  <c r="AH207" i="24"/>
  <c r="AH211" i="24"/>
  <c r="AH215" i="24"/>
  <c r="AH221" i="24"/>
  <c r="AG221" i="24"/>
  <c r="AH229" i="24"/>
  <c r="AG229" i="24"/>
  <c r="AU28" i="22"/>
  <c r="AU31" i="22" s="1"/>
  <c r="BG21" i="20"/>
  <c r="AM23" i="22"/>
  <c r="F17" i="22"/>
  <c r="F19" i="22" s="1"/>
  <c r="D19" i="22" s="1"/>
  <c r="D16" i="22"/>
  <c r="I14" i="22"/>
  <c r="F19" i="3"/>
  <c r="E72" i="3"/>
  <c r="E73" i="3"/>
  <c r="E74" i="3"/>
  <c r="E75" i="3"/>
  <c r="E76" i="3"/>
  <c r="E77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23" i="3"/>
  <c r="AK23" i="3" s="1"/>
  <c r="F15" i="3"/>
  <c r="AM18" i="3" s="1"/>
  <c r="I15" i="3"/>
  <c r="G5" i="23"/>
  <c r="G4" i="23"/>
  <c r="I28" i="23" s="1"/>
  <c r="I25" i="23" s="1"/>
  <c r="M23" i="3"/>
  <c r="M21" i="3"/>
  <c r="C11" i="23"/>
  <c r="C13" i="23" s="1"/>
  <c r="C6" i="22"/>
  <c r="AG437" i="22"/>
  <c r="AG436" i="22"/>
  <c r="AG435" i="22"/>
  <c r="AG434" i="22"/>
  <c r="AG433" i="22"/>
  <c r="AG432" i="22"/>
  <c r="AG431" i="22"/>
  <c r="AG430" i="22"/>
  <c r="AG429" i="22"/>
  <c r="AG428" i="22"/>
  <c r="AD420" i="22"/>
  <c r="AD419" i="22"/>
  <c r="AD418" i="22"/>
  <c r="AD417" i="22"/>
  <c r="AD416" i="22"/>
  <c r="AD415" i="22"/>
  <c r="AD414" i="22"/>
  <c r="AD413" i="22"/>
  <c r="AD412" i="22"/>
  <c r="AD411" i="22"/>
  <c r="AD410" i="22"/>
  <c r="AD409" i="22"/>
  <c r="AD408" i="22"/>
  <c r="AD407" i="22"/>
  <c r="AD406" i="22"/>
  <c r="AD405" i="22"/>
  <c r="AD404" i="22"/>
  <c r="AD403" i="22"/>
  <c r="AD402" i="22"/>
  <c r="AD401" i="22"/>
  <c r="AD400" i="22"/>
  <c r="AD399" i="22"/>
  <c r="AD398" i="22"/>
  <c r="AD397" i="22"/>
  <c r="AD396" i="22"/>
  <c r="AD395" i="22"/>
  <c r="AD394" i="22"/>
  <c r="AD393" i="22"/>
  <c r="AD392" i="22"/>
  <c r="AD391" i="22"/>
  <c r="AD390" i="22"/>
  <c r="AD389" i="22"/>
  <c r="AD388" i="22"/>
  <c r="AD387" i="22"/>
  <c r="AD386" i="22"/>
  <c r="AD385" i="22"/>
  <c r="AD384" i="22"/>
  <c r="AD383" i="22"/>
  <c r="AD382" i="22"/>
  <c r="AD381" i="22"/>
  <c r="AD380" i="22"/>
  <c r="AD379" i="22"/>
  <c r="AD378" i="22"/>
  <c r="AD377" i="22"/>
  <c r="AD376" i="22"/>
  <c r="AD375" i="22"/>
  <c r="AD374" i="22"/>
  <c r="AD373" i="22"/>
  <c r="AD372" i="22"/>
  <c r="AD371" i="22"/>
  <c r="AD370" i="22"/>
  <c r="AD369" i="22"/>
  <c r="AD368" i="22"/>
  <c r="AD367" i="22"/>
  <c r="AD366" i="22"/>
  <c r="AD365" i="22"/>
  <c r="AD364" i="22"/>
  <c r="AD363" i="22"/>
  <c r="AD362" i="22"/>
  <c r="AD361" i="22"/>
  <c r="AD360" i="22"/>
  <c r="AD359" i="22"/>
  <c r="AD358" i="22"/>
  <c r="AD357" i="22"/>
  <c r="AD356" i="22"/>
  <c r="AD355" i="22"/>
  <c r="AD354" i="22"/>
  <c r="AG353" i="22"/>
  <c r="AD353" i="22"/>
  <c r="AG352" i="22"/>
  <c r="AD352" i="22"/>
  <c r="AG351" i="22"/>
  <c r="AD351" i="22"/>
  <c r="AG350" i="22"/>
  <c r="AD350" i="22"/>
  <c r="AG349" i="22"/>
  <c r="AD349" i="22"/>
  <c r="AG348" i="22"/>
  <c r="AD348" i="22"/>
  <c r="AG347" i="22"/>
  <c r="AD347" i="22"/>
  <c r="AG346" i="22"/>
  <c r="AD346" i="22"/>
  <c r="AG345" i="22"/>
  <c r="AD345" i="22"/>
  <c r="AG344" i="22"/>
  <c r="AD344" i="22"/>
  <c r="AG343" i="22"/>
  <c r="AD343" i="22"/>
  <c r="AG342" i="22"/>
  <c r="AD342" i="22"/>
  <c r="AG341" i="22"/>
  <c r="AD341" i="22"/>
  <c r="AG340" i="22"/>
  <c r="AD340" i="22"/>
  <c r="AG339" i="22"/>
  <c r="AD339" i="22"/>
  <c r="AG338" i="22"/>
  <c r="AD338" i="22"/>
  <c r="AG337" i="22"/>
  <c r="AD337" i="22"/>
  <c r="AG336" i="22"/>
  <c r="AD336" i="22"/>
  <c r="AG335" i="22"/>
  <c r="AD335" i="22"/>
  <c r="AG334" i="22"/>
  <c r="AD334" i="22"/>
  <c r="AG333" i="22"/>
  <c r="AD333" i="22"/>
  <c r="AG332" i="22"/>
  <c r="AD332" i="22"/>
  <c r="AG331" i="22"/>
  <c r="AD331" i="22"/>
  <c r="AG330" i="22"/>
  <c r="AD330" i="22"/>
  <c r="AG329" i="22"/>
  <c r="AD329" i="22"/>
  <c r="AG328" i="22"/>
  <c r="AD328" i="22"/>
  <c r="AG327" i="22"/>
  <c r="AD327" i="22"/>
  <c r="AG326" i="22"/>
  <c r="AD326" i="22"/>
  <c r="AG325" i="22"/>
  <c r="AD325" i="22"/>
  <c r="AG324" i="22"/>
  <c r="AD324" i="22"/>
  <c r="AG323" i="22"/>
  <c r="AD323" i="22"/>
  <c r="AG322" i="22"/>
  <c r="AD322" i="22"/>
  <c r="AG321" i="22"/>
  <c r="AD321" i="22"/>
  <c r="AG320" i="22"/>
  <c r="AD320" i="22"/>
  <c r="AG319" i="22"/>
  <c r="AD319" i="22"/>
  <c r="AG318" i="22"/>
  <c r="AD318" i="22"/>
  <c r="AG317" i="22"/>
  <c r="AD317" i="22"/>
  <c r="AG316" i="22"/>
  <c r="AD316" i="22"/>
  <c r="AG315" i="22"/>
  <c r="AD315" i="22"/>
  <c r="AG314" i="22"/>
  <c r="AD314" i="22"/>
  <c r="AG313" i="22"/>
  <c r="AD313" i="22"/>
  <c r="AG312" i="22"/>
  <c r="AD312" i="22"/>
  <c r="AG311" i="22"/>
  <c r="AD311" i="22"/>
  <c r="AH310" i="22"/>
  <c r="AG310" i="22"/>
  <c r="AD310" i="22"/>
  <c r="AH309" i="22"/>
  <c r="AG309" i="22"/>
  <c r="AD309" i="22"/>
  <c r="AH308" i="22"/>
  <c r="AG308" i="22"/>
  <c r="AD308" i="22"/>
  <c r="AH307" i="22"/>
  <c r="AG307" i="22"/>
  <c r="AD307" i="22"/>
  <c r="AH306" i="22"/>
  <c r="AG306" i="22"/>
  <c r="AD306" i="22"/>
  <c r="AH305" i="22"/>
  <c r="AG305" i="22"/>
  <c r="AD305" i="22"/>
  <c r="AH304" i="22"/>
  <c r="AG304" i="22"/>
  <c r="AD304" i="22"/>
  <c r="AH303" i="22"/>
  <c r="AG303" i="22"/>
  <c r="AD303" i="22"/>
  <c r="AH302" i="22"/>
  <c r="AG302" i="22"/>
  <c r="AD302" i="22"/>
  <c r="AH301" i="22"/>
  <c r="AG301" i="22"/>
  <c r="AD301" i="22"/>
  <c r="AH300" i="22"/>
  <c r="AG300" i="22"/>
  <c r="AD300" i="22"/>
  <c r="AH299" i="22"/>
  <c r="AG299" i="22"/>
  <c r="AD299" i="22"/>
  <c r="AH298" i="22"/>
  <c r="AG298" i="22"/>
  <c r="AD298" i="22"/>
  <c r="AH297" i="22"/>
  <c r="AG297" i="22"/>
  <c r="AD297" i="22"/>
  <c r="AH296" i="22"/>
  <c r="AG296" i="22"/>
  <c r="AD296" i="22"/>
  <c r="AH295" i="22"/>
  <c r="AG295" i="22"/>
  <c r="AD295" i="22"/>
  <c r="AH294" i="22"/>
  <c r="AG294" i="22"/>
  <c r="AD294" i="22"/>
  <c r="AH293" i="22"/>
  <c r="AG293" i="22"/>
  <c r="AD293" i="22"/>
  <c r="AH292" i="22"/>
  <c r="AG292" i="22"/>
  <c r="AD292" i="22"/>
  <c r="AH291" i="22"/>
  <c r="AG291" i="22"/>
  <c r="AD291" i="22"/>
  <c r="AH290" i="22"/>
  <c r="AG290" i="22"/>
  <c r="AD290" i="22"/>
  <c r="AH289" i="22"/>
  <c r="AG289" i="22"/>
  <c r="AD289" i="22"/>
  <c r="AH288" i="22"/>
  <c r="AG288" i="22"/>
  <c r="AD288" i="22"/>
  <c r="AH287" i="22"/>
  <c r="AG287" i="22"/>
  <c r="AD287" i="22"/>
  <c r="AH286" i="22"/>
  <c r="AG286" i="22"/>
  <c r="AD286" i="22"/>
  <c r="AH285" i="22"/>
  <c r="AG285" i="22"/>
  <c r="AD285" i="22"/>
  <c r="AH284" i="22"/>
  <c r="AG284" i="22"/>
  <c r="AD284" i="22"/>
  <c r="AH283" i="22"/>
  <c r="AG283" i="22"/>
  <c r="AD283" i="22"/>
  <c r="AH282" i="22"/>
  <c r="AG282" i="22"/>
  <c r="AD282" i="22"/>
  <c r="AH281" i="22"/>
  <c r="AG281" i="22"/>
  <c r="AD281" i="22"/>
  <c r="AH280" i="22"/>
  <c r="AG280" i="22"/>
  <c r="AD280" i="22"/>
  <c r="AH279" i="22"/>
  <c r="AG279" i="22"/>
  <c r="AD279" i="22"/>
  <c r="AH278" i="22"/>
  <c r="AG278" i="22"/>
  <c r="AD278" i="22"/>
  <c r="AH277" i="22"/>
  <c r="AG277" i="22"/>
  <c r="AD277" i="22"/>
  <c r="AH276" i="22"/>
  <c r="AG276" i="22"/>
  <c r="AD276" i="22"/>
  <c r="AH275" i="22"/>
  <c r="AG275" i="22"/>
  <c r="AD275" i="22"/>
  <c r="AH274" i="22"/>
  <c r="AG274" i="22"/>
  <c r="AD274" i="22"/>
  <c r="AH273" i="22"/>
  <c r="AG273" i="22"/>
  <c r="AD273" i="22"/>
  <c r="AH272" i="22"/>
  <c r="AG272" i="22"/>
  <c r="AD272" i="22"/>
  <c r="AH271" i="22"/>
  <c r="AG271" i="22"/>
  <c r="AD271" i="22"/>
  <c r="AH270" i="22"/>
  <c r="AG270" i="22"/>
  <c r="AD270" i="22"/>
  <c r="AH269" i="22"/>
  <c r="AG269" i="22"/>
  <c r="AD269" i="22"/>
  <c r="AH268" i="22"/>
  <c r="AG268" i="22"/>
  <c r="AD268" i="22"/>
  <c r="AH267" i="22"/>
  <c r="AG267" i="22"/>
  <c r="AD267" i="22"/>
  <c r="AH266" i="22"/>
  <c r="AG266" i="22"/>
  <c r="AD266" i="22"/>
  <c r="AH265" i="22"/>
  <c r="AG265" i="22"/>
  <c r="AD265" i="22"/>
  <c r="AH264" i="22"/>
  <c r="AG264" i="22"/>
  <c r="AD264" i="22"/>
  <c r="AH263" i="22"/>
  <c r="AG263" i="22"/>
  <c r="AD263" i="22"/>
  <c r="AH262" i="22"/>
  <c r="AG262" i="22"/>
  <c r="AD262" i="22"/>
  <c r="AH261" i="22"/>
  <c r="AG261" i="22"/>
  <c r="AD261" i="22"/>
  <c r="AH260" i="22"/>
  <c r="AG260" i="22"/>
  <c r="AD260" i="22"/>
  <c r="AH259" i="22"/>
  <c r="AG259" i="22"/>
  <c r="AD259" i="22"/>
  <c r="AH258" i="22"/>
  <c r="AG258" i="22"/>
  <c r="AD258" i="22"/>
  <c r="AH257" i="22"/>
  <c r="AG257" i="22"/>
  <c r="AD257" i="22"/>
  <c r="AH256" i="22"/>
  <c r="AG256" i="22"/>
  <c r="AD256" i="22"/>
  <c r="AH255" i="22"/>
  <c r="AG255" i="22"/>
  <c r="AD255" i="22"/>
  <c r="AH254" i="22"/>
  <c r="AG254" i="22"/>
  <c r="AD254" i="22"/>
  <c r="AH253" i="22"/>
  <c r="AG253" i="22"/>
  <c r="AD253" i="22"/>
  <c r="AH252" i="22"/>
  <c r="AG252" i="22"/>
  <c r="AD252" i="22"/>
  <c r="AH251" i="22"/>
  <c r="AG251" i="22"/>
  <c r="AD251" i="22"/>
  <c r="AH250" i="22"/>
  <c r="AG250" i="22"/>
  <c r="AD250" i="22"/>
  <c r="AH249" i="22"/>
  <c r="AG249" i="22"/>
  <c r="AD249" i="22"/>
  <c r="AH248" i="22"/>
  <c r="AG248" i="22"/>
  <c r="AD248" i="22"/>
  <c r="AH247" i="22"/>
  <c r="AG247" i="22"/>
  <c r="AD247" i="22"/>
  <c r="AH246" i="22"/>
  <c r="AG246" i="22"/>
  <c r="AD246" i="22"/>
  <c r="AH245" i="22"/>
  <c r="AG245" i="22"/>
  <c r="AH244" i="22"/>
  <c r="AG244" i="22"/>
  <c r="AC244" i="22"/>
  <c r="AH243" i="22"/>
  <c r="AG243" i="22"/>
  <c r="AC243" i="22"/>
  <c r="AH242" i="22"/>
  <c r="AG242" i="22"/>
  <c r="AC242" i="22"/>
  <c r="AH241" i="22"/>
  <c r="AG241" i="22"/>
  <c r="AC241" i="22"/>
  <c r="AH240" i="22"/>
  <c r="AG240" i="22"/>
  <c r="AC240" i="22"/>
  <c r="AH239" i="22"/>
  <c r="AG239" i="22"/>
  <c r="AC239" i="22"/>
  <c r="AH238" i="22"/>
  <c r="AG238" i="22"/>
  <c r="AC238" i="22"/>
  <c r="AH237" i="22"/>
  <c r="AG237" i="22"/>
  <c r="AC237" i="22"/>
  <c r="AH236" i="22"/>
  <c r="AG236" i="22"/>
  <c r="AC236" i="22"/>
  <c r="AH235" i="22"/>
  <c r="AG235" i="22"/>
  <c r="AC235" i="22"/>
  <c r="AH234" i="22"/>
  <c r="AG234" i="22"/>
  <c r="AC234" i="22"/>
  <c r="AH233" i="22"/>
  <c r="AG233" i="22"/>
  <c r="AC233" i="22"/>
  <c r="AH232" i="22"/>
  <c r="AG232" i="22"/>
  <c r="AC232" i="22"/>
  <c r="AH231" i="22"/>
  <c r="AG231" i="22"/>
  <c r="AC231" i="22"/>
  <c r="AH230" i="22"/>
  <c r="AG230" i="22"/>
  <c r="AC230" i="22"/>
  <c r="AF229" i="22"/>
  <c r="AG229" i="22" s="1"/>
  <c r="AC229" i="22"/>
  <c r="AF228" i="22"/>
  <c r="AC228" i="22"/>
  <c r="AF227" i="22"/>
  <c r="AG227" i="22" s="1"/>
  <c r="AC227" i="22"/>
  <c r="AF226" i="22"/>
  <c r="AG226" i="22" s="1"/>
  <c r="AC226" i="22"/>
  <c r="AF225" i="22"/>
  <c r="AG225" i="22" s="1"/>
  <c r="AC225" i="22"/>
  <c r="AF224" i="22"/>
  <c r="AC224" i="22"/>
  <c r="AF223" i="22"/>
  <c r="AG223" i="22" s="1"/>
  <c r="AC223" i="22"/>
  <c r="AF222" i="22"/>
  <c r="AG222" i="22" s="1"/>
  <c r="AC222" i="22"/>
  <c r="AF221" i="22"/>
  <c r="AG221" i="22" s="1"/>
  <c r="AC221" i="22"/>
  <c r="AF220" i="22"/>
  <c r="AC220" i="22"/>
  <c r="AF219" i="22"/>
  <c r="AG219" i="22" s="1"/>
  <c r="AC219" i="22"/>
  <c r="AF218" i="22"/>
  <c r="AG218" i="22" s="1"/>
  <c r="AC218" i="22"/>
  <c r="AH217" i="22"/>
  <c r="AF217" i="22"/>
  <c r="AG217" i="22" s="1"/>
  <c r="AC217" i="22"/>
  <c r="AF216" i="22"/>
  <c r="AC216" i="22"/>
  <c r="AF215" i="22"/>
  <c r="AG215" i="22" s="1"/>
  <c r="AC215" i="22"/>
  <c r="AF214" i="22"/>
  <c r="AG214" i="22" s="1"/>
  <c r="AC214" i="22"/>
  <c r="AF213" i="22"/>
  <c r="AG213" i="22" s="1"/>
  <c r="AC213" i="22"/>
  <c r="AF212" i="22"/>
  <c r="AC212" i="22"/>
  <c r="AF211" i="22"/>
  <c r="AG211" i="22" s="1"/>
  <c r="AC211" i="22"/>
  <c r="AF210" i="22"/>
  <c r="AG210" i="22" s="1"/>
  <c r="AC210" i="22"/>
  <c r="AF209" i="22"/>
  <c r="AG209" i="22" s="1"/>
  <c r="AC209" i="22"/>
  <c r="AF208" i="22"/>
  <c r="AC208" i="22"/>
  <c r="AF207" i="22"/>
  <c r="AG207" i="22" s="1"/>
  <c r="AC207" i="22"/>
  <c r="AF206" i="22"/>
  <c r="AG206" i="22" s="1"/>
  <c r="AC206" i="22"/>
  <c r="AF205" i="22"/>
  <c r="AG205" i="22" s="1"/>
  <c r="AC205" i="22"/>
  <c r="AF204" i="22"/>
  <c r="AC204" i="22"/>
  <c r="AF203" i="22"/>
  <c r="AG203" i="22" s="1"/>
  <c r="AC203" i="22"/>
  <c r="AF202" i="22"/>
  <c r="AG202" i="22" s="1"/>
  <c r="AC202" i="22"/>
  <c r="AF201" i="22"/>
  <c r="AG201" i="22" s="1"/>
  <c r="AC201" i="22"/>
  <c r="AF200" i="22"/>
  <c r="AC200" i="22"/>
  <c r="AF199" i="22"/>
  <c r="AG199" i="22" s="1"/>
  <c r="AC199" i="22"/>
  <c r="AF198" i="22"/>
  <c r="AG198" i="22" s="1"/>
  <c r="AC198" i="22"/>
  <c r="AF197" i="22"/>
  <c r="AG197" i="22" s="1"/>
  <c r="AC197" i="22"/>
  <c r="AF196" i="22"/>
  <c r="AC196" i="22"/>
  <c r="AF195" i="22"/>
  <c r="AG195" i="22" s="1"/>
  <c r="AC195" i="22"/>
  <c r="AF194" i="22"/>
  <c r="AG194" i="22" s="1"/>
  <c r="AC194" i="22"/>
  <c r="AF193" i="22"/>
  <c r="AG193" i="22" s="1"/>
  <c r="AC193" i="22"/>
  <c r="AF192" i="22"/>
  <c r="AC192" i="22"/>
  <c r="AF191" i="22"/>
  <c r="AG191" i="22" s="1"/>
  <c r="AC191" i="22"/>
  <c r="AF190" i="22"/>
  <c r="AG190" i="22" s="1"/>
  <c r="AC190" i="22"/>
  <c r="AF189" i="22"/>
  <c r="AG189" i="22" s="1"/>
  <c r="AC189" i="22"/>
  <c r="AF188" i="22"/>
  <c r="AC188" i="22"/>
  <c r="AF187" i="22"/>
  <c r="AG187" i="22" s="1"/>
  <c r="AC187" i="22"/>
  <c r="AF186" i="22"/>
  <c r="AG186" i="22" s="1"/>
  <c r="AC186" i="22"/>
  <c r="AF185" i="22"/>
  <c r="AG185" i="22" s="1"/>
  <c r="AC185" i="22"/>
  <c r="AF184" i="22"/>
  <c r="AC184" i="22"/>
  <c r="AF183" i="22"/>
  <c r="AG183" i="22" s="1"/>
  <c r="AC183" i="22"/>
  <c r="AF182" i="22"/>
  <c r="AG182" i="22" s="1"/>
  <c r="AC182" i="22"/>
  <c r="AF181" i="22"/>
  <c r="AG181" i="22" s="1"/>
  <c r="AC181" i="22"/>
  <c r="AF180" i="22"/>
  <c r="AC180" i="22"/>
  <c r="AF179" i="22"/>
  <c r="AG179" i="22" s="1"/>
  <c r="AC179" i="22"/>
  <c r="AF178" i="22"/>
  <c r="AC178" i="22"/>
  <c r="AF177" i="22"/>
  <c r="AH177" i="22" s="1"/>
  <c r="AC177" i="22"/>
  <c r="AF176" i="22"/>
  <c r="AC176" i="22"/>
  <c r="AH175" i="22"/>
  <c r="AF175" i="22"/>
  <c r="AG175" i="22" s="1"/>
  <c r="AC175" i="22"/>
  <c r="AF174" i="22"/>
  <c r="AC174" i="22"/>
  <c r="AF173" i="22"/>
  <c r="AH173" i="22" s="1"/>
  <c r="AC173" i="22"/>
  <c r="AF172" i="22"/>
  <c r="AC172" i="22"/>
  <c r="AF171" i="22"/>
  <c r="AG171" i="22" s="1"/>
  <c r="AC171" i="22"/>
  <c r="AF170" i="22"/>
  <c r="AC170" i="22"/>
  <c r="AF169" i="22"/>
  <c r="AH169" i="22" s="1"/>
  <c r="AC169" i="22"/>
  <c r="AF168" i="22"/>
  <c r="AC168" i="22"/>
  <c r="AF167" i="22"/>
  <c r="AG167" i="22" s="1"/>
  <c r="AC167" i="22"/>
  <c r="AF166" i="22"/>
  <c r="AC166" i="22"/>
  <c r="AF165" i="22"/>
  <c r="AH165" i="22" s="1"/>
  <c r="AC165" i="22"/>
  <c r="AF164" i="22"/>
  <c r="AC164" i="22"/>
  <c r="AF163" i="22"/>
  <c r="AG163" i="22" s="1"/>
  <c r="AC163" i="22"/>
  <c r="AF162" i="22"/>
  <c r="AC162" i="22"/>
  <c r="AF161" i="22"/>
  <c r="AH161" i="22" s="1"/>
  <c r="AC161" i="22"/>
  <c r="AF160" i="22"/>
  <c r="AC160" i="22"/>
  <c r="AH159" i="22"/>
  <c r="AF159" i="22"/>
  <c r="AG159" i="22" s="1"/>
  <c r="AC159" i="22"/>
  <c r="AF158" i="22"/>
  <c r="AC158" i="22"/>
  <c r="AF157" i="22"/>
  <c r="AH157" i="22" s="1"/>
  <c r="AC157" i="22"/>
  <c r="AF156" i="22"/>
  <c r="AC156" i="22"/>
  <c r="AF155" i="22"/>
  <c r="AG155" i="22" s="1"/>
  <c r="AC155" i="22"/>
  <c r="AF154" i="22"/>
  <c r="AC154" i="22"/>
  <c r="AF153" i="22"/>
  <c r="AH153" i="22" s="1"/>
  <c r="AC153" i="22"/>
  <c r="AF152" i="22"/>
  <c r="AC152" i="22"/>
  <c r="AF151" i="22"/>
  <c r="AG151" i="22" s="1"/>
  <c r="AC151" i="22"/>
  <c r="AF150" i="22"/>
  <c r="AC150" i="22"/>
  <c r="AF149" i="22"/>
  <c r="AH149" i="22" s="1"/>
  <c r="AC149" i="22"/>
  <c r="AF148" i="22"/>
  <c r="AG148" i="22" s="1"/>
  <c r="AC148" i="22"/>
  <c r="AF147" i="22"/>
  <c r="AG147" i="22" s="1"/>
  <c r="AC147" i="22"/>
  <c r="AF146" i="22"/>
  <c r="AG146" i="22" s="1"/>
  <c r="AC146" i="22"/>
  <c r="AF145" i="22"/>
  <c r="AH145" i="22" s="1"/>
  <c r="AC145" i="22"/>
  <c r="AF144" i="22"/>
  <c r="AG144" i="22" s="1"/>
  <c r="AC144" i="22"/>
  <c r="AF143" i="22"/>
  <c r="AC143" i="22"/>
  <c r="AF142" i="22"/>
  <c r="AC142" i="22"/>
  <c r="AF141" i="22"/>
  <c r="AG141" i="22" s="1"/>
  <c r="AC141" i="22"/>
  <c r="AF140" i="22"/>
  <c r="AG140" i="22" s="1"/>
  <c r="AC140" i="22"/>
  <c r="AF139" i="22"/>
  <c r="AG139" i="22" s="1"/>
  <c r="AC139" i="22"/>
  <c r="AF138" i="22"/>
  <c r="AG138" i="22" s="1"/>
  <c r="AC138" i="22"/>
  <c r="AG137" i="22"/>
  <c r="AF137" i="22"/>
  <c r="AH137" i="22" s="1"/>
  <c r="AC137" i="22"/>
  <c r="AF136" i="22"/>
  <c r="AG136" i="22" s="1"/>
  <c r="AC136" i="22"/>
  <c r="AF135" i="22"/>
  <c r="AC135" i="22"/>
  <c r="AF134" i="22"/>
  <c r="AG134" i="22" s="1"/>
  <c r="AC134" i="22"/>
  <c r="AF133" i="22"/>
  <c r="AC133" i="22"/>
  <c r="AF132" i="22"/>
  <c r="AG132" i="22" s="1"/>
  <c r="AC132" i="22"/>
  <c r="AF131" i="22"/>
  <c r="AC131" i="22"/>
  <c r="AF130" i="22"/>
  <c r="AG130" i="22" s="1"/>
  <c r="AC130" i="22"/>
  <c r="AF129" i="22"/>
  <c r="AC129" i="22"/>
  <c r="AF128" i="22"/>
  <c r="AG128" i="22" s="1"/>
  <c r="AC128" i="22"/>
  <c r="AF127" i="22"/>
  <c r="AG127" i="22" s="1"/>
  <c r="AC127" i="22"/>
  <c r="AH126" i="22"/>
  <c r="AF126" i="22"/>
  <c r="AG126" i="22" s="1"/>
  <c r="AC126" i="22"/>
  <c r="AF125" i="22"/>
  <c r="AC125" i="22"/>
  <c r="AF124" i="22"/>
  <c r="AG124" i="22" s="1"/>
  <c r="AC124" i="22"/>
  <c r="AF123" i="22"/>
  <c r="AG123" i="22" s="1"/>
  <c r="AC123" i="22"/>
  <c r="AF122" i="22"/>
  <c r="AG122" i="22" s="1"/>
  <c r="AC122" i="22"/>
  <c r="AF121" i="22"/>
  <c r="AC121" i="22"/>
  <c r="AF120" i="22"/>
  <c r="AG120" i="22" s="1"/>
  <c r="AC120" i="22"/>
  <c r="AF119" i="22"/>
  <c r="AG119" i="22" s="1"/>
  <c r="AC119" i="22"/>
  <c r="AF118" i="22"/>
  <c r="AG118" i="22" s="1"/>
  <c r="AC118" i="22"/>
  <c r="AF117" i="22"/>
  <c r="AC117" i="22"/>
  <c r="AF116" i="22"/>
  <c r="AG116" i="22" s="1"/>
  <c r="AC116" i="22"/>
  <c r="AF115" i="22"/>
  <c r="AG115" i="22" s="1"/>
  <c r="AC115" i="22"/>
  <c r="AF114" i="22"/>
  <c r="AG114" i="22" s="1"/>
  <c r="AC114" i="22"/>
  <c r="AF113" i="22"/>
  <c r="AC113" i="22"/>
  <c r="AF112" i="22"/>
  <c r="AG112" i="22" s="1"/>
  <c r="AC112" i="22"/>
  <c r="AF111" i="22"/>
  <c r="AG111" i="22" s="1"/>
  <c r="AC111" i="22"/>
  <c r="AH110" i="22"/>
  <c r="AF110" i="22"/>
  <c r="AG110" i="22" s="1"/>
  <c r="AC110" i="22"/>
  <c r="AF109" i="22"/>
  <c r="AC109" i="22"/>
  <c r="AF108" i="22"/>
  <c r="AG108" i="22" s="1"/>
  <c r="AC108" i="22"/>
  <c r="AF107" i="22"/>
  <c r="AG107" i="22" s="1"/>
  <c r="AC107" i="22"/>
  <c r="AF106" i="22"/>
  <c r="AG106" i="22" s="1"/>
  <c r="AC106" i="22"/>
  <c r="AF105" i="22"/>
  <c r="AC105" i="22"/>
  <c r="AF104" i="22"/>
  <c r="AG104" i="22" s="1"/>
  <c r="AC104" i="22"/>
  <c r="AF103" i="22"/>
  <c r="AG103" i="22" s="1"/>
  <c r="AC103" i="22"/>
  <c r="AF102" i="22"/>
  <c r="AG102" i="22" s="1"/>
  <c r="AC102" i="22"/>
  <c r="AF101" i="22"/>
  <c r="AC101" i="22"/>
  <c r="AF100" i="22"/>
  <c r="AG100" i="22" s="1"/>
  <c r="AC100" i="22"/>
  <c r="AF99" i="22"/>
  <c r="AG99" i="22" s="1"/>
  <c r="AC99" i="22"/>
  <c r="AF98" i="22"/>
  <c r="AG98" i="22" s="1"/>
  <c r="AC98" i="22"/>
  <c r="AF97" i="22"/>
  <c r="AC97" i="22"/>
  <c r="AF96" i="22"/>
  <c r="AG96" i="22" s="1"/>
  <c r="AC96" i="22"/>
  <c r="AF95" i="22"/>
  <c r="AG95" i="22" s="1"/>
  <c r="AC95" i="22"/>
  <c r="AH94" i="22"/>
  <c r="AF94" i="22"/>
  <c r="AG94" i="22" s="1"/>
  <c r="AC94" i="22"/>
  <c r="AF93" i="22"/>
  <c r="AC93" i="22"/>
  <c r="AF92" i="22"/>
  <c r="AG92" i="22" s="1"/>
  <c r="AC92" i="22"/>
  <c r="AF91" i="22"/>
  <c r="AG91" i="22" s="1"/>
  <c r="AC91" i="22"/>
  <c r="AF90" i="22"/>
  <c r="AG90" i="22" s="1"/>
  <c r="AC90" i="22"/>
  <c r="AF89" i="22"/>
  <c r="AC89" i="22"/>
  <c r="AF88" i="22"/>
  <c r="AG88" i="22" s="1"/>
  <c r="AC88" i="22"/>
  <c r="AF87" i="22"/>
  <c r="AC87" i="22"/>
  <c r="AF86" i="22"/>
  <c r="AG86" i="22" s="1"/>
  <c r="AC86" i="22"/>
  <c r="AF85" i="22"/>
  <c r="AC85" i="22"/>
  <c r="AF84" i="22"/>
  <c r="AG84" i="22" s="1"/>
  <c r="AC84" i="22"/>
  <c r="AF83" i="22"/>
  <c r="AC83" i="22"/>
  <c r="AF82" i="22"/>
  <c r="AG82" i="22" s="1"/>
  <c r="AC82" i="22"/>
  <c r="AF81" i="22"/>
  <c r="AC81" i="22"/>
  <c r="AF80" i="22"/>
  <c r="AG80" i="22" s="1"/>
  <c r="AC80" i="22"/>
  <c r="AF79" i="22"/>
  <c r="AG79" i="22" s="1"/>
  <c r="AC79" i="22"/>
  <c r="AF78" i="22"/>
  <c r="AC78" i="22"/>
  <c r="AA30" i="22"/>
  <c r="AD29" i="22"/>
  <c r="AC27" i="22"/>
  <c r="AE24" i="22" s="1"/>
  <c r="AC26" i="22"/>
  <c r="A24" i="22"/>
  <c r="A25" i="22" s="1"/>
  <c r="B25" i="22" s="1"/>
  <c r="D17" i="22"/>
  <c r="AB29" i="22" s="1"/>
  <c r="I16" i="22"/>
  <c r="I15" i="22"/>
  <c r="F15" i="22"/>
  <c r="D15" i="22"/>
  <c r="C12" i="22"/>
  <c r="R11" i="22"/>
  <c r="C11" i="22"/>
  <c r="R10" i="22"/>
  <c r="C10" i="22"/>
  <c r="R9" i="22"/>
  <c r="C9" i="22"/>
  <c r="R8" i="22"/>
  <c r="C8" i="22"/>
  <c r="C7" i="22"/>
  <c r="R5" i="22"/>
  <c r="AC30" i="24" l="1"/>
  <c r="AB31" i="24"/>
  <c r="AE30" i="24"/>
  <c r="AF30" i="24" s="1"/>
  <c r="AG30" i="24" s="1"/>
  <c r="AA33" i="24"/>
  <c r="AD32" i="24"/>
  <c r="A28" i="24"/>
  <c r="B27" i="24"/>
  <c r="AM24" i="24"/>
  <c r="E24" i="24"/>
  <c r="C25" i="24" s="1"/>
  <c r="AH84" i="22"/>
  <c r="AH116" i="22"/>
  <c r="AH171" i="22"/>
  <c r="AH100" i="22"/>
  <c r="AH134" i="22"/>
  <c r="AH155" i="22"/>
  <c r="AH201" i="22"/>
  <c r="AH86" i="22"/>
  <c r="AH102" i="22"/>
  <c r="AH118" i="22"/>
  <c r="AH141" i="22"/>
  <c r="AH163" i="22"/>
  <c r="AH185" i="22"/>
  <c r="AH92" i="22"/>
  <c r="AH108" i="22"/>
  <c r="AH124" i="22"/>
  <c r="AH140" i="22"/>
  <c r="AH151" i="22"/>
  <c r="AH167" i="22"/>
  <c r="AC29" i="22"/>
  <c r="AH80" i="22"/>
  <c r="AH88" i="22"/>
  <c r="AH96" i="22"/>
  <c r="AH104" i="22"/>
  <c r="AH112" i="22"/>
  <c r="AH120" i="22"/>
  <c r="AH128" i="22"/>
  <c r="AH139" i="22"/>
  <c r="AG149" i="22"/>
  <c r="AG153" i="22"/>
  <c r="AG157" i="22"/>
  <c r="AG161" i="22"/>
  <c r="AG165" i="22"/>
  <c r="AG169" i="22"/>
  <c r="AG173" i="22"/>
  <c r="AG177" i="22"/>
  <c r="AH221" i="22"/>
  <c r="AH79" i="22"/>
  <c r="AH82" i="22"/>
  <c r="AH90" i="22"/>
  <c r="AH98" i="22"/>
  <c r="AH106" i="22"/>
  <c r="AH114" i="22"/>
  <c r="AH122" i="22"/>
  <c r="AH130" i="22"/>
  <c r="AG145" i="22"/>
  <c r="AH148" i="22"/>
  <c r="AH193" i="22"/>
  <c r="AH209" i="22"/>
  <c r="AH225" i="22"/>
  <c r="AH136" i="22"/>
  <c r="AH189" i="22"/>
  <c r="AH205" i="22"/>
  <c r="AH132" i="22"/>
  <c r="AH144" i="22"/>
  <c r="AH147" i="22"/>
  <c r="AH181" i="22"/>
  <c r="AH197" i="22"/>
  <c r="AH213" i="22"/>
  <c r="AH229" i="22"/>
  <c r="C23" i="22"/>
  <c r="AD30" i="22"/>
  <c r="AB30" i="22"/>
  <c r="AG78" i="22"/>
  <c r="AH78" i="22"/>
  <c r="AG93" i="22"/>
  <c r="AH93" i="22"/>
  <c r="A26" i="22"/>
  <c r="AG87" i="22"/>
  <c r="AH87" i="22"/>
  <c r="AH135" i="22"/>
  <c r="AG135" i="22"/>
  <c r="AH152" i="22"/>
  <c r="AG152" i="22"/>
  <c r="AH156" i="22"/>
  <c r="AG156" i="22"/>
  <c r="AH160" i="22"/>
  <c r="AG160" i="22"/>
  <c r="AH164" i="22"/>
  <c r="AG164" i="22"/>
  <c r="AH168" i="22"/>
  <c r="AG168" i="22"/>
  <c r="AH172" i="22"/>
  <c r="AG172" i="22"/>
  <c r="AH176" i="22"/>
  <c r="AG176" i="22"/>
  <c r="AG85" i="22"/>
  <c r="AH85" i="22"/>
  <c r="AG101" i="22"/>
  <c r="AH101" i="22"/>
  <c r="AG109" i="22"/>
  <c r="AH109" i="22"/>
  <c r="AG117" i="22"/>
  <c r="AH117" i="22"/>
  <c r="AG125" i="22"/>
  <c r="AH125" i="22"/>
  <c r="B24" i="22"/>
  <c r="AG81" i="22"/>
  <c r="AH81" i="22"/>
  <c r="AG89" i="22"/>
  <c r="AH89" i="22"/>
  <c r="AG97" i="22"/>
  <c r="AH97" i="22"/>
  <c r="AG105" i="22"/>
  <c r="AH105" i="22"/>
  <c r="AG113" i="22"/>
  <c r="AH113" i="22"/>
  <c r="AG121" i="22"/>
  <c r="AH121" i="22"/>
  <c r="AG129" i="22"/>
  <c r="AH129" i="22"/>
  <c r="AA31" i="22"/>
  <c r="AG83" i="22"/>
  <c r="AH83" i="22"/>
  <c r="AH143" i="22"/>
  <c r="AG143" i="22"/>
  <c r="AH131" i="22"/>
  <c r="AG131" i="22"/>
  <c r="AG142" i="22"/>
  <c r="AH142" i="22"/>
  <c r="AH150" i="22"/>
  <c r="AG150" i="22"/>
  <c r="AH154" i="22"/>
  <c r="AG154" i="22"/>
  <c r="AH158" i="22"/>
  <c r="AG158" i="22"/>
  <c r="AH162" i="22"/>
  <c r="AG162" i="22"/>
  <c r="AH166" i="22"/>
  <c r="AG166" i="22"/>
  <c r="AH170" i="22"/>
  <c r="AG170" i="22"/>
  <c r="AH174" i="22"/>
  <c r="AG174" i="22"/>
  <c r="AH178" i="22"/>
  <c r="AG178" i="22"/>
  <c r="AG180" i="22"/>
  <c r="AH180" i="22"/>
  <c r="AG196" i="22"/>
  <c r="AH196" i="22"/>
  <c r="AG212" i="22"/>
  <c r="AH212" i="22"/>
  <c r="AG228" i="22"/>
  <c r="AH228" i="22"/>
  <c r="AH91" i="22"/>
  <c r="AH95" i="22"/>
  <c r="AH99" i="22"/>
  <c r="AH103" i="22"/>
  <c r="AH107" i="22"/>
  <c r="AH111" i="22"/>
  <c r="AH115" i="22"/>
  <c r="AH119" i="22"/>
  <c r="AH123" i="22"/>
  <c r="AH127" i="22"/>
  <c r="AH133" i="22"/>
  <c r="AG133" i="22"/>
  <c r="AG184" i="22"/>
  <c r="AH184" i="22"/>
  <c r="AG200" i="22"/>
  <c r="AH200" i="22"/>
  <c r="AG216" i="22"/>
  <c r="AH216" i="22"/>
  <c r="AG188" i="22"/>
  <c r="AH188" i="22"/>
  <c r="AG204" i="22"/>
  <c r="AH204" i="22"/>
  <c r="AG220" i="22"/>
  <c r="AH220" i="22"/>
  <c r="AH138" i="22"/>
  <c r="AH146" i="22"/>
  <c r="AG192" i="22"/>
  <c r="AH192" i="22"/>
  <c r="AG208" i="22"/>
  <c r="AH208" i="22"/>
  <c r="AG224" i="22"/>
  <c r="AH224" i="22"/>
  <c r="AH179" i="22"/>
  <c r="AH183" i="22"/>
  <c r="AH187" i="22"/>
  <c r="AH191" i="22"/>
  <c r="AH195" i="22"/>
  <c r="AH199" i="22"/>
  <c r="AH203" i="22"/>
  <c r="AH207" i="22"/>
  <c r="AH211" i="22"/>
  <c r="AH215" i="22"/>
  <c r="AH219" i="22"/>
  <c r="AH223" i="22"/>
  <c r="AH227" i="22"/>
  <c r="AH182" i="22"/>
  <c r="AH186" i="22"/>
  <c r="AH190" i="22"/>
  <c r="AH194" i="22"/>
  <c r="AH198" i="22"/>
  <c r="AH202" i="22"/>
  <c r="AH206" i="22"/>
  <c r="AH210" i="22"/>
  <c r="AH214" i="22"/>
  <c r="AH218" i="22"/>
  <c r="AH222" i="22"/>
  <c r="AH226" i="22"/>
  <c r="D17" i="20"/>
  <c r="AB29" i="20" s="1"/>
  <c r="R10" i="3"/>
  <c r="R11" i="3"/>
  <c r="A87" i="17"/>
  <c r="B87" i="17" s="1"/>
  <c r="A88" i="17"/>
  <c r="B88" i="17" s="1"/>
  <c r="D23" i="6"/>
  <c r="D19" i="20"/>
  <c r="E15" i="20"/>
  <c r="C23" i="20"/>
  <c r="Q6" i="20"/>
  <c r="R6" i="20" s="1"/>
  <c r="Q5" i="20"/>
  <c r="C6" i="20" s="1"/>
  <c r="D19" i="13"/>
  <c r="AA30" i="20"/>
  <c r="AA31" i="20" s="1"/>
  <c r="AD31" i="20" s="1"/>
  <c r="AD29" i="20"/>
  <c r="AC27" i="20"/>
  <c r="AC26" i="20"/>
  <c r="A24" i="20"/>
  <c r="B24" i="20" s="1"/>
  <c r="P20" i="20"/>
  <c r="O20" i="20"/>
  <c r="P19" i="20"/>
  <c r="O19" i="20"/>
  <c r="P18" i="20"/>
  <c r="O18" i="20"/>
  <c r="AK17" i="20"/>
  <c r="P17" i="20"/>
  <c r="O17" i="20"/>
  <c r="AK16" i="20"/>
  <c r="AL16" i="20" s="1"/>
  <c r="AL21" i="20" s="1"/>
  <c r="P16" i="20"/>
  <c r="O16" i="20"/>
  <c r="G15" i="20"/>
  <c r="C13" i="20"/>
  <c r="C12" i="20"/>
  <c r="C11" i="20"/>
  <c r="U10" i="20"/>
  <c r="T10" i="20"/>
  <c r="S10" i="20"/>
  <c r="P10" i="20"/>
  <c r="O10" i="20"/>
  <c r="C10" i="20"/>
  <c r="U9" i="20"/>
  <c r="T9" i="20"/>
  <c r="S9" i="20"/>
  <c r="P9" i="20"/>
  <c r="O9" i="20"/>
  <c r="C9" i="20"/>
  <c r="U8" i="20"/>
  <c r="T8" i="20"/>
  <c r="S8" i="20"/>
  <c r="P8" i="20"/>
  <c r="O8" i="20"/>
  <c r="C8" i="20"/>
  <c r="T7" i="20"/>
  <c r="S7" i="20"/>
  <c r="P7" i="20"/>
  <c r="O7" i="20"/>
  <c r="C7" i="20"/>
  <c r="U6" i="20"/>
  <c r="T6" i="20"/>
  <c r="S6" i="20"/>
  <c r="U5" i="20"/>
  <c r="T5" i="20"/>
  <c r="S5" i="20"/>
  <c r="D19" i="17"/>
  <c r="D19" i="15"/>
  <c r="D15" i="11"/>
  <c r="Q10" i="18"/>
  <c r="R10" i="18" s="1"/>
  <c r="Q11" i="18"/>
  <c r="R11" i="18" s="1"/>
  <c r="Q12" i="18"/>
  <c r="R12" i="18" s="1"/>
  <c r="Q5" i="18"/>
  <c r="D15" i="18"/>
  <c r="AG437" i="18"/>
  <c r="AG436" i="18"/>
  <c r="AG435" i="18"/>
  <c r="AG434" i="18"/>
  <c r="AG433" i="18"/>
  <c r="AG432" i="18"/>
  <c r="AG431" i="18"/>
  <c r="AG430" i="18"/>
  <c r="AG429" i="18"/>
  <c r="AG428" i="18"/>
  <c r="AD420" i="18"/>
  <c r="AD419" i="18"/>
  <c r="AD418" i="18"/>
  <c r="AD417" i="18"/>
  <c r="AD416" i="18"/>
  <c r="AD415" i="18"/>
  <c r="AD414" i="18"/>
  <c r="AD413" i="18"/>
  <c r="AD412" i="18"/>
  <c r="AD411" i="18"/>
  <c r="AD410" i="18"/>
  <c r="AD409" i="18"/>
  <c r="AD408" i="18"/>
  <c r="AD407" i="18"/>
  <c r="AD406" i="18"/>
  <c r="AD405" i="18"/>
  <c r="AD404" i="18"/>
  <c r="AD403" i="18"/>
  <c r="AD402" i="18"/>
  <c r="AD401" i="18"/>
  <c r="AD400" i="18"/>
  <c r="AD399" i="18"/>
  <c r="AD398" i="18"/>
  <c r="AD397" i="18"/>
  <c r="AD396" i="18"/>
  <c r="AD395" i="18"/>
  <c r="AD394" i="18"/>
  <c r="AD393" i="18"/>
  <c r="AD392" i="18"/>
  <c r="AD391" i="18"/>
  <c r="AD390" i="18"/>
  <c r="AD389" i="18"/>
  <c r="AD388" i="18"/>
  <c r="AD387" i="18"/>
  <c r="AD386" i="18"/>
  <c r="AD385" i="18"/>
  <c r="AD384" i="18"/>
  <c r="AD383" i="18"/>
  <c r="AD382" i="18"/>
  <c r="AD381" i="18"/>
  <c r="AD380" i="18"/>
  <c r="AD379" i="18"/>
  <c r="AD378" i="18"/>
  <c r="AD377" i="18"/>
  <c r="AD376" i="18"/>
  <c r="AD375" i="18"/>
  <c r="AD374" i="18"/>
  <c r="AD373" i="18"/>
  <c r="AD372" i="18"/>
  <c r="AD371" i="18"/>
  <c r="AD370" i="18"/>
  <c r="AD369" i="18"/>
  <c r="AD368" i="18"/>
  <c r="AD367" i="18"/>
  <c r="AD366" i="18"/>
  <c r="AD365" i="18"/>
  <c r="AD364" i="18"/>
  <c r="AD363" i="18"/>
  <c r="AD362" i="18"/>
  <c r="AD361" i="18"/>
  <c r="AD360" i="18"/>
  <c r="AD359" i="18"/>
  <c r="AD358" i="18"/>
  <c r="AD357" i="18"/>
  <c r="AD356" i="18"/>
  <c r="AD355" i="18"/>
  <c r="AD354" i="18"/>
  <c r="AG353" i="18"/>
  <c r="AD353" i="18"/>
  <c r="AG352" i="18"/>
  <c r="AD352" i="18"/>
  <c r="AG351" i="18"/>
  <c r="AD351" i="18"/>
  <c r="AG350" i="18"/>
  <c r="AD350" i="18"/>
  <c r="AG349" i="18"/>
  <c r="AD349" i="18"/>
  <c r="AG348" i="18"/>
  <c r="AD348" i="18"/>
  <c r="AG347" i="18"/>
  <c r="AD347" i="18"/>
  <c r="AG346" i="18"/>
  <c r="AD346" i="18"/>
  <c r="AG345" i="18"/>
  <c r="AD345" i="18"/>
  <c r="AG344" i="18"/>
  <c r="AD344" i="18"/>
  <c r="AG343" i="18"/>
  <c r="AD343" i="18"/>
  <c r="AG342" i="18"/>
  <c r="AD342" i="18"/>
  <c r="AG341" i="18"/>
  <c r="AD341" i="18"/>
  <c r="AG340" i="18"/>
  <c r="AD340" i="18"/>
  <c r="AG339" i="18"/>
  <c r="AD339" i="18"/>
  <c r="AG338" i="18"/>
  <c r="AD338" i="18"/>
  <c r="AG337" i="18"/>
  <c r="AD337" i="18"/>
  <c r="AG336" i="18"/>
  <c r="AD336" i="18"/>
  <c r="AG335" i="18"/>
  <c r="AD335" i="18"/>
  <c r="AG334" i="18"/>
  <c r="AD334" i="18"/>
  <c r="AG333" i="18"/>
  <c r="AD333" i="18"/>
  <c r="AG332" i="18"/>
  <c r="AD332" i="18"/>
  <c r="AG331" i="18"/>
  <c r="AD331" i="18"/>
  <c r="AG330" i="18"/>
  <c r="AD330" i="18"/>
  <c r="AG329" i="18"/>
  <c r="AD329" i="18"/>
  <c r="AG328" i="18"/>
  <c r="AD328" i="18"/>
  <c r="AG327" i="18"/>
  <c r="AD327" i="18"/>
  <c r="AG326" i="18"/>
  <c r="AD326" i="18"/>
  <c r="AG325" i="18"/>
  <c r="AD325" i="18"/>
  <c r="AG324" i="18"/>
  <c r="AD324" i="18"/>
  <c r="AG323" i="18"/>
  <c r="AD323" i="18"/>
  <c r="AG322" i="18"/>
  <c r="AD322" i="18"/>
  <c r="AG321" i="18"/>
  <c r="AD321" i="18"/>
  <c r="AG320" i="18"/>
  <c r="AD320" i="18"/>
  <c r="AG319" i="18"/>
  <c r="AD319" i="18"/>
  <c r="AG318" i="18"/>
  <c r="AD318" i="18"/>
  <c r="AG317" i="18"/>
  <c r="AD317" i="18"/>
  <c r="AG316" i="18"/>
  <c r="AD316" i="18"/>
  <c r="AG315" i="18"/>
  <c r="AD315" i="18"/>
  <c r="AG314" i="18"/>
  <c r="AD314" i="18"/>
  <c r="AG313" i="18"/>
  <c r="AD313" i="18"/>
  <c r="AG312" i="18"/>
  <c r="AD312" i="18"/>
  <c r="AG311" i="18"/>
  <c r="AD311" i="18"/>
  <c r="AH310" i="18"/>
  <c r="AG310" i="18"/>
  <c r="AD310" i="18"/>
  <c r="AH309" i="18"/>
  <c r="AG309" i="18"/>
  <c r="AD309" i="18"/>
  <c r="AH308" i="18"/>
  <c r="AG308" i="18"/>
  <c r="AD308" i="18"/>
  <c r="AH307" i="18"/>
  <c r="AG307" i="18"/>
  <c r="AD307" i="18"/>
  <c r="AH306" i="18"/>
  <c r="AG306" i="18"/>
  <c r="AD306" i="18"/>
  <c r="AH305" i="18"/>
  <c r="AG305" i="18"/>
  <c r="AD305" i="18"/>
  <c r="AH304" i="18"/>
  <c r="AG304" i="18"/>
  <c r="AD304" i="18"/>
  <c r="AH303" i="18"/>
  <c r="AG303" i="18"/>
  <c r="AD303" i="18"/>
  <c r="AH302" i="18"/>
  <c r="AG302" i="18"/>
  <c r="AD302" i="18"/>
  <c r="AH301" i="18"/>
  <c r="AG301" i="18"/>
  <c r="AD301" i="18"/>
  <c r="AH300" i="18"/>
  <c r="AG300" i="18"/>
  <c r="AD300" i="18"/>
  <c r="AH299" i="18"/>
  <c r="AG299" i="18"/>
  <c r="AD299" i="18"/>
  <c r="AH298" i="18"/>
  <c r="AG298" i="18"/>
  <c r="AD298" i="18"/>
  <c r="AH297" i="18"/>
  <c r="AG297" i="18"/>
  <c r="AD297" i="18"/>
  <c r="AH296" i="18"/>
  <c r="AG296" i="18"/>
  <c r="AD296" i="18"/>
  <c r="AH295" i="18"/>
  <c r="AG295" i="18"/>
  <c r="AD295" i="18"/>
  <c r="AH294" i="18"/>
  <c r="AG294" i="18"/>
  <c r="AD294" i="18"/>
  <c r="AH293" i="18"/>
  <c r="AG293" i="18"/>
  <c r="AD293" i="18"/>
  <c r="AH292" i="18"/>
  <c r="AG292" i="18"/>
  <c r="AD292" i="18"/>
  <c r="AH291" i="18"/>
  <c r="AG291" i="18"/>
  <c r="AD291" i="18"/>
  <c r="AH290" i="18"/>
  <c r="AG290" i="18"/>
  <c r="AD290" i="18"/>
  <c r="AH289" i="18"/>
  <c r="AG289" i="18"/>
  <c r="AD289" i="18"/>
  <c r="AH288" i="18"/>
  <c r="AG288" i="18"/>
  <c r="AD288" i="18"/>
  <c r="AH287" i="18"/>
  <c r="AG287" i="18"/>
  <c r="AD287" i="18"/>
  <c r="AH286" i="18"/>
  <c r="AG286" i="18"/>
  <c r="AD286" i="18"/>
  <c r="AH285" i="18"/>
  <c r="AG285" i="18"/>
  <c r="AD285" i="18"/>
  <c r="AH284" i="18"/>
  <c r="AG284" i="18"/>
  <c r="AD284" i="18"/>
  <c r="AH283" i="18"/>
  <c r="AG283" i="18"/>
  <c r="AD283" i="18"/>
  <c r="AH282" i="18"/>
  <c r="AG282" i="18"/>
  <c r="AD282" i="18"/>
  <c r="AH281" i="18"/>
  <c r="AG281" i="18"/>
  <c r="AD281" i="18"/>
  <c r="AH280" i="18"/>
  <c r="AG280" i="18"/>
  <c r="AD280" i="18"/>
  <c r="AH279" i="18"/>
  <c r="AG279" i="18"/>
  <c r="AD279" i="18"/>
  <c r="AH278" i="18"/>
  <c r="AG278" i="18"/>
  <c r="AD278" i="18"/>
  <c r="AH277" i="18"/>
  <c r="AG277" i="18"/>
  <c r="AD277" i="18"/>
  <c r="AH276" i="18"/>
  <c r="AG276" i="18"/>
  <c r="AD276" i="18"/>
  <c r="AH275" i="18"/>
  <c r="AG275" i="18"/>
  <c r="AD275" i="18"/>
  <c r="AH274" i="18"/>
  <c r="AG274" i="18"/>
  <c r="AD274" i="18"/>
  <c r="AH273" i="18"/>
  <c r="AG273" i="18"/>
  <c r="AD273" i="18"/>
  <c r="AH272" i="18"/>
  <c r="AG272" i="18"/>
  <c r="AD272" i="18"/>
  <c r="AH271" i="18"/>
  <c r="AG271" i="18"/>
  <c r="AD271" i="18"/>
  <c r="AH270" i="18"/>
  <c r="AG270" i="18"/>
  <c r="AD270" i="18"/>
  <c r="AH269" i="18"/>
  <c r="AG269" i="18"/>
  <c r="AD269" i="18"/>
  <c r="AH268" i="18"/>
  <c r="AG268" i="18"/>
  <c r="AD268" i="18"/>
  <c r="AH267" i="18"/>
  <c r="AG267" i="18"/>
  <c r="AD267" i="18"/>
  <c r="AH266" i="18"/>
  <c r="AG266" i="18"/>
  <c r="AD266" i="18"/>
  <c r="AH265" i="18"/>
  <c r="AG265" i="18"/>
  <c r="AD265" i="18"/>
  <c r="AH264" i="18"/>
  <c r="AG264" i="18"/>
  <c r="AD264" i="18"/>
  <c r="AH263" i="18"/>
  <c r="AG263" i="18"/>
  <c r="AD263" i="18"/>
  <c r="AH262" i="18"/>
  <c r="AG262" i="18"/>
  <c r="AD262" i="18"/>
  <c r="AH261" i="18"/>
  <c r="AG261" i="18"/>
  <c r="AD261" i="18"/>
  <c r="AH260" i="18"/>
  <c r="AG260" i="18"/>
  <c r="AD260" i="18"/>
  <c r="AH259" i="18"/>
  <c r="AG259" i="18"/>
  <c r="AD259" i="18"/>
  <c r="AH258" i="18"/>
  <c r="AG258" i="18"/>
  <c r="AD258" i="18"/>
  <c r="AH257" i="18"/>
  <c r="AG257" i="18"/>
  <c r="AD257" i="18"/>
  <c r="AH256" i="18"/>
  <c r="AG256" i="18"/>
  <c r="AD256" i="18"/>
  <c r="AH255" i="18"/>
  <c r="AG255" i="18"/>
  <c r="AD255" i="18"/>
  <c r="AH254" i="18"/>
  <c r="AG254" i="18"/>
  <c r="AD254" i="18"/>
  <c r="AH253" i="18"/>
  <c r="AG253" i="18"/>
  <c r="AD253" i="18"/>
  <c r="AH252" i="18"/>
  <c r="AG252" i="18"/>
  <c r="AD252" i="18"/>
  <c r="AH251" i="18"/>
  <c r="AG251" i="18"/>
  <c r="AD251" i="18"/>
  <c r="AH250" i="18"/>
  <c r="AG250" i="18"/>
  <c r="AD250" i="18"/>
  <c r="AH249" i="18"/>
  <c r="AG249" i="18"/>
  <c r="AD249" i="18"/>
  <c r="AH248" i="18"/>
  <c r="AG248" i="18"/>
  <c r="AD248" i="18"/>
  <c r="AH247" i="18"/>
  <c r="AG247" i="18"/>
  <c r="AD247" i="18"/>
  <c r="AH246" i="18"/>
  <c r="AG246" i="18"/>
  <c r="AD246" i="18"/>
  <c r="AH245" i="18"/>
  <c r="AG245" i="18"/>
  <c r="AH244" i="18"/>
  <c r="AG244" i="18"/>
  <c r="AC244" i="18"/>
  <c r="AH243" i="18"/>
  <c r="AG243" i="18"/>
  <c r="AC243" i="18"/>
  <c r="AH242" i="18"/>
  <c r="AG242" i="18"/>
  <c r="AC242" i="18"/>
  <c r="AH241" i="18"/>
  <c r="AG241" i="18"/>
  <c r="AC241" i="18"/>
  <c r="AH240" i="18"/>
  <c r="AG240" i="18"/>
  <c r="AC240" i="18"/>
  <c r="AH239" i="18"/>
  <c r="AG239" i="18"/>
  <c r="AC239" i="18"/>
  <c r="AH238" i="18"/>
  <c r="AG238" i="18"/>
  <c r="AC238" i="18"/>
  <c r="AH237" i="18"/>
  <c r="AG237" i="18"/>
  <c r="AC237" i="18"/>
  <c r="AH236" i="18"/>
  <c r="AG236" i="18"/>
  <c r="AC236" i="18"/>
  <c r="AH235" i="18"/>
  <c r="AG235" i="18"/>
  <c r="AC235" i="18"/>
  <c r="AH234" i="18"/>
  <c r="AG234" i="18"/>
  <c r="AC234" i="18"/>
  <c r="AH233" i="18"/>
  <c r="AG233" i="18"/>
  <c r="AC233" i="18"/>
  <c r="AH232" i="18"/>
  <c r="AG232" i="18"/>
  <c r="AC232" i="18"/>
  <c r="AH231" i="18"/>
  <c r="AG231" i="18"/>
  <c r="AC231" i="18"/>
  <c r="AH230" i="18"/>
  <c r="AG230" i="18"/>
  <c r="AC230" i="18"/>
  <c r="AG229" i="18"/>
  <c r="AF229" i="18"/>
  <c r="AH229" i="18" s="1"/>
  <c r="AC229" i="18"/>
  <c r="AF228" i="18"/>
  <c r="AG228" i="18" s="1"/>
  <c r="AC228" i="18"/>
  <c r="AF227" i="18"/>
  <c r="AH227" i="18" s="1"/>
  <c r="AC227" i="18"/>
  <c r="AF226" i="18"/>
  <c r="AG226" i="18" s="1"/>
  <c r="AC226" i="18"/>
  <c r="AF225" i="18"/>
  <c r="AH225" i="18" s="1"/>
  <c r="AC225" i="18"/>
  <c r="AF224" i="18"/>
  <c r="AG224" i="18" s="1"/>
  <c r="AC224" i="18"/>
  <c r="AF223" i="18"/>
  <c r="AH223" i="18" s="1"/>
  <c r="AC223" i="18"/>
  <c r="AF222" i="18"/>
  <c r="AG222" i="18" s="1"/>
  <c r="AC222" i="18"/>
  <c r="AF221" i="18"/>
  <c r="AH221" i="18" s="1"/>
  <c r="AC221" i="18"/>
  <c r="AF220" i="18"/>
  <c r="AG220" i="18" s="1"/>
  <c r="AC220" i="18"/>
  <c r="AF219" i="18"/>
  <c r="AH219" i="18" s="1"/>
  <c r="AC219" i="18"/>
  <c r="AF218" i="18"/>
  <c r="AG218" i="18" s="1"/>
  <c r="AC218" i="18"/>
  <c r="AF217" i="18"/>
  <c r="AH217" i="18" s="1"/>
  <c r="AC217" i="18"/>
  <c r="AF216" i="18"/>
  <c r="AG216" i="18" s="1"/>
  <c r="AC216" i="18"/>
  <c r="AF215" i="18"/>
  <c r="AH215" i="18" s="1"/>
  <c r="AC215" i="18"/>
  <c r="AF214" i="18"/>
  <c r="AG214" i="18" s="1"/>
  <c r="AC214" i="18"/>
  <c r="AF213" i="18"/>
  <c r="AC213" i="18"/>
  <c r="AF212" i="18"/>
  <c r="AC212" i="18"/>
  <c r="AF211" i="18"/>
  <c r="AC211" i="18"/>
  <c r="AF210" i="18"/>
  <c r="AG210" i="18" s="1"/>
  <c r="AC210" i="18"/>
  <c r="AH209" i="18"/>
  <c r="AF209" i="18"/>
  <c r="AG209" i="18" s="1"/>
  <c r="AC209" i="18"/>
  <c r="AF208" i="18"/>
  <c r="AG208" i="18" s="1"/>
  <c r="AC208" i="18"/>
  <c r="AF207" i="18"/>
  <c r="AH207" i="18" s="1"/>
  <c r="AC207" i="18"/>
  <c r="AF206" i="18"/>
  <c r="AG206" i="18" s="1"/>
  <c r="AC206" i="18"/>
  <c r="AF205" i="18"/>
  <c r="AC205" i="18"/>
  <c r="AF204" i="18"/>
  <c r="AC204" i="18"/>
  <c r="AF203" i="18"/>
  <c r="AH203" i="18" s="1"/>
  <c r="AC203" i="18"/>
  <c r="AF202" i="18"/>
  <c r="AC202" i="18"/>
  <c r="AF201" i="18"/>
  <c r="AC201" i="18"/>
  <c r="AF200" i="18"/>
  <c r="AG200" i="18" s="1"/>
  <c r="AC200" i="18"/>
  <c r="AF199" i="18"/>
  <c r="AG199" i="18" s="1"/>
  <c r="AC199" i="18"/>
  <c r="AF198" i="18"/>
  <c r="AG198" i="18" s="1"/>
  <c r="AC198" i="18"/>
  <c r="AF197" i="18"/>
  <c r="AG197" i="18" s="1"/>
  <c r="AC197" i="18"/>
  <c r="AF196" i="18"/>
  <c r="AC196" i="18"/>
  <c r="AF195" i="18"/>
  <c r="AC195" i="18"/>
  <c r="AF194" i="18"/>
  <c r="AG194" i="18" s="1"/>
  <c r="AC194" i="18"/>
  <c r="AF193" i="18"/>
  <c r="AC193" i="18"/>
  <c r="AF192" i="18"/>
  <c r="AC192" i="18"/>
  <c r="AF191" i="18"/>
  <c r="AH191" i="18" s="1"/>
  <c r="AC191" i="18"/>
  <c r="AF190" i="18"/>
  <c r="AG190" i="18" s="1"/>
  <c r="AC190" i="18"/>
  <c r="AF189" i="18"/>
  <c r="AC189" i="18"/>
  <c r="AF188" i="18"/>
  <c r="AC188" i="18"/>
  <c r="AF187" i="18"/>
  <c r="AH187" i="18" s="1"/>
  <c r="AC187" i="18"/>
  <c r="AF186" i="18"/>
  <c r="AG186" i="18" s="1"/>
  <c r="AC186" i="18"/>
  <c r="AF185" i="18"/>
  <c r="AG185" i="18" s="1"/>
  <c r="AC185" i="18"/>
  <c r="AF184" i="18"/>
  <c r="AG184" i="18" s="1"/>
  <c r="AC184" i="18"/>
  <c r="AF183" i="18"/>
  <c r="AG183" i="18" s="1"/>
  <c r="AC183" i="18"/>
  <c r="AH182" i="18"/>
  <c r="AF182" i="18"/>
  <c r="AG182" i="18" s="1"/>
  <c r="AC182" i="18"/>
  <c r="AF181" i="18"/>
  <c r="AG181" i="18" s="1"/>
  <c r="AC181" i="18"/>
  <c r="AF180" i="18"/>
  <c r="AC180" i="18"/>
  <c r="AF179" i="18"/>
  <c r="AH179" i="18" s="1"/>
  <c r="AC179" i="18"/>
  <c r="AF178" i="18"/>
  <c r="AH178" i="18" s="1"/>
  <c r="AC178" i="18"/>
  <c r="AF177" i="18"/>
  <c r="AG177" i="18" s="1"/>
  <c r="AC177" i="18"/>
  <c r="AF176" i="18"/>
  <c r="AG176" i="18" s="1"/>
  <c r="AC176" i="18"/>
  <c r="AF175" i="18"/>
  <c r="AG175" i="18" s="1"/>
  <c r="AC175" i="18"/>
  <c r="AF174" i="18"/>
  <c r="AC174" i="18"/>
  <c r="AF173" i="18"/>
  <c r="AC173" i="18"/>
  <c r="AF172" i="18"/>
  <c r="AH172" i="18" s="1"/>
  <c r="AC172" i="18"/>
  <c r="AF171" i="18"/>
  <c r="AC171" i="18"/>
  <c r="AF170" i="18"/>
  <c r="AH170" i="18" s="1"/>
  <c r="AC170" i="18"/>
  <c r="AF169" i="18"/>
  <c r="AG169" i="18" s="1"/>
  <c r="AC169" i="18"/>
  <c r="AF168" i="18"/>
  <c r="AG168" i="18" s="1"/>
  <c r="AC168" i="18"/>
  <c r="AF167" i="18"/>
  <c r="AG167" i="18" s="1"/>
  <c r="AC167" i="18"/>
  <c r="AF166" i="18"/>
  <c r="AC166" i="18"/>
  <c r="AF165" i="18"/>
  <c r="AC165" i="18"/>
  <c r="AF164" i="18"/>
  <c r="AH164" i="18" s="1"/>
  <c r="AC164" i="18"/>
  <c r="AF163" i="18"/>
  <c r="AG163" i="18" s="1"/>
  <c r="AC163" i="18"/>
  <c r="AF162" i="18"/>
  <c r="AG162" i="18" s="1"/>
  <c r="AC162" i="18"/>
  <c r="AF161" i="18"/>
  <c r="AG161" i="18" s="1"/>
  <c r="AC161" i="18"/>
  <c r="AF160" i="18"/>
  <c r="AG160" i="18" s="1"/>
  <c r="AC160" i="18"/>
  <c r="AF159" i="18"/>
  <c r="AG159" i="18" s="1"/>
  <c r="AC159" i="18"/>
  <c r="AF158" i="18"/>
  <c r="AC158" i="18"/>
  <c r="AF157" i="18"/>
  <c r="AC157" i="18"/>
  <c r="AF156" i="18"/>
  <c r="AH156" i="18" s="1"/>
  <c r="AC156" i="18"/>
  <c r="AF155" i="18"/>
  <c r="AC155" i="18"/>
  <c r="AF154" i="18"/>
  <c r="AG154" i="18" s="1"/>
  <c r="AC154" i="18"/>
  <c r="AF153" i="18"/>
  <c r="AG153" i="18" s="1"/>
  <c r="AC153" i="18"/>
  <c r="AF152" i="18"/>
  <c r="AG152" i="18" s="1"/>
  <c r="AC152" i="18"/>
  <c r="AF151" i="18"/>
  <c r="AG151" i="18" s="1"/>
  <c r="AC151" i="18"/>
  <c r="AF150" i="18"/>
  <c r="AC150" i="18"/>
  <c r="AF149" i="18"/>
  <c r="AC149" i="18"/>
  <c r="AF148" i="18"/>
  <c r="AH148" i="18" s="1"/>
  <c r="AC148" i="18"/>
  <c r="AF147" i="18"/>
  <c r="AG147" i="18" s="1"/>
  <c r="AC147" i="18"/>
  <c r="AF146" i="18"/>
  <c r="AH146" i="18" s="1"/>
  <c r="AC146" i="18"/>
  <c r="AF145" i="18"/>
  <c r="AG145" i="18" s="1"/>
  <c r="AC145" i="18"/>
  <c r="AF144" i="18"/>
  <c r="AG144" i="18" s="1"/>
  <c r="AC144" i="18"/>
  <c r="AF143" i="18"/>
  <c r="AG143" i="18" s="1"/>
  <c r="AC143" i="18"/>
  <c r="AF142" i="18"/>
  <c r="AC142" i="18"/>
  <c r="AF141" i="18"/>
  <c r="AC141" i="18"/>
  <c r="AF140" i="18"/>
  <c r="AH140" i="18" s="1"/>
  <c r="AC140" i="18"/>
  <c r="AF139" i="18"/>
  <c r="AC139" i="18"/>
  <c r="AF138" i="18"/>
  <c r="AH138" i="18" s="1"/>
  <c r="AC138" i="18"/>
  <c r="AF137" i="18"/>
  <c r="AG137" i="18" s="1"/>
  <c r="AC137" i="18"/>
  <c r="AF136" i="18"/>
  <c r="AC136" i="18"/>
  <c r="AF135" i="18"/>
  <c r="AG135" i="18" s="1"/>
  <c r="AC135" i="18"/>
  <c r="AF134" i="18"/>
  <c r="AC134" i="18"/>
  <c r="AF133" i="18"/>
  <c r="AG133" i="18" s="1"/>
  <c r="AC133" i="18"/>
  <c r="AF132" i="18"/>
  <c r="AC132" i="18"/>
  <c r="AF131" i="18"/>
  <c r="AG131" i="18" s="1"/>
  <c r="AC131" i="18"/>
  <c r="AF130" i="18"/>
  <c r="AC130" i="18"/>
  <c r="AF129" i="18"/>
  <c r="AG129" i="18" s="1"/>
  <c r="AC129" i="18"/>
  <c r="AF128" i="18"/>
  <c r="AC128" i="18"/>
  <c r="AF127" i="18"/>
  <c r="AG127" i="18" s="1"/>
  <c r="AC127" i="18"/>
  <c r="AF126" i="18"/>
  <c r="AC126" i="18"/>
  <c r="AF125" i="18"/>
  <c r="AG125" i="18" s="1"/>
  <c r="AC125" i="18"/>
  <c r="AF124" i="18"/>
  <c r="AC124" i="18"/>
  <c r="AF123" i="18"/>
  <c r="AG123" i="18" s="1"/>
  <c r="AC123" i="18"/>
  <c r="AF122" i="18"/>
  <c r="AC122" i="18"/>
  <c r="AF121" i="18"/>
  <c r="AG121" i="18" s="1"/>
  <c r="AC121" i="18"/>
  <c r="AF120" i="18"/>
  <c r="AC120" i="18"/>
  <c r="AF119" i="18"/>
  <c r="AG119" i="18" s="1"/>
  <c r="AC119" i="18"/>
  <c r="AF118" i="18"/>
  <c r="AC118" i="18"/>
  <c r="AF117" i="18"/>
  <c r="AC117" i="18"/>
  <c r="AF116" i="18"/>
  <c r="AH116" i="18" s="1"/>
  <c r="AC116" i="18"/>
  <c r="AF115" i="18"/>
  <c r="AG115" i="18" s="1"/>
  <c r="AC115" i="18"/>
  <c r="AF114" i="18"/>
  <c r="AH114" i="18" s="1"/>
  <c r="AC114" i="18"/>
  <c r="AF113" i="18"/>
  <c r="AG113" i="18" s="1"/>
  <c r="AC113" i="18"/>
  <c r="AF112" i="18"/>
  <c r="AG112" i="18" s="1"/>
  <c r="AC112" i="18"/>
  <c r="AF111" i="18"/>
  <c r="AG111" i="18" s="1"/>
  <c r="AC111" i="18"/>
  <c r="AF110" i="18"/>
  <c r="AC110" i="18"/>
  <c r="AF109" i="18"/>
  <c r="AC109" i="18"/>
  <c r="AF108" i="18"/>
  <c r="AH108" i="18" s="1"/>
  <c r="AC108" i="18"/>
  <c r="AF107" i="18"/>
  <c r="AG107" i="18" s="1"/>
  <c r="AC107" i="18"/>
  <c r="AF106" i="18"/>
  <c r="AG106" i="18" s="1"/>
  <c r="AC106" i="18"/>
  <c r="AF105" i="18"/>
  <c r="AG105" i="18" s="1"/>
  <c r="AC105" i="18"/>
  <c r="AF104" i="18"/>
  <c r="AG104" i="18" s="1"/>
  <c r="AC104" i="18"/>
  <c r="AF103" i="18"/>
  <c r="AG103" i="18" s="1"/>
  <c r="AC103" i="18"/>
  <c r="AF102" i="18"/>
  <c r="AC102" i="18"/>
  <c r="AF101" i="18"/>
  <c r="AC101" i="18"/>
  <c r="AF100" i="18"/>
  <c r="AH100" i="18" s="1"/>
  <c r="AC100" i="18"/>
  <c r="AF99" i="18"/>
  <c r="AG99" i="18" s="1"/>
  <c r="AC99" i="18"/>
  <c r="AF98" i="18"/>
  <c r="AH98" i="18" s="1"/>
  <c r="AC98" i="18"/>
  <c r="AF97" i="18"/>
  <c r="AG97" i="18" s="1"/>
  <c r="AC97" i="18"/>
  <c r="AF96" i="18"/>
  <c r="AG96" i="18" s="1"/>
  <c r="AC96" i="18"/>
  <c r="AF95" i="18"/>
  <c r="AG95" i="18" s="1"/>
  <c r="AC95" i="18"/>
  <c r="AF94" i="18"/>
  <c r="AC94" i="18"/>
  <c r="AF93" i="18"/>
  <c r="AC93" i="18"/>
  <c r="AF92" i="18"/>
  <c r="AH92" i="18" s="1"/>
  <c r="AC92" i="18"/>
  <c r="AF91" i="18"/>
  <c r="AG91" i="18" s="1"/>
  <c r="AC91" i="18"/>
  <c r="AF90" i="18"/>
  <c r="AH90" i="18" s="1"/>
  <c r="AC90" i="18"/>
  <c r="AF89" i="18"/>
  <c r="AG89" i="18" s="1"/>
  <c r="AC89" i="18"/>
  <c r="AF88" i="18"/>
  <c r="AH88" i="18" s="1"/>
  <c r="AC88" i="18"/>
  <c r="AF87" i="18"/>
  <c r="AG87" i="18" s="1"/>
  <c r="AC87" i="18"/>
  <c r="AF86" i="18"/>
  <c r="AC86" i="18"/>
  <c r="AF85" i="18"/>
  <c r="AH85" i="18" s="1"/>
  <c r="AC85" i="18"/>
  <c r="AF84" i="18"/>
  <c r="AG84" i="18" s="1"/>
  <c r="AC84" i="18"/>
  <c r="AF83" i="18"/>
  <c r="AG83" i="18" s="1"/>
  <c r="AC83" i="18"/>
  <c r="AF82" i="18"/>
  <c r="AC82" i="18"/>
  <c r="AF81" i="18"/>
  <c r="AH81" i="18" s="1"/>
  <c r="AC81" i="18"/>
  <c r="AF80" i="18"/>
  <c r="AH80" i="18" s="1"/>
  <c r="AC80" i="18"/>
  <c r="AF79" i="18"/>
  <c r="AG79" i="18" s="1"/>
  <c r="AC79" i="18"/>
  <c r="AF78" i="18"/>
  <c r="AC78" i="18"/>
  <c r="AA30" i="18"/>
  <c r="AA31" i="18" s="1"/>
  <c r="AD29" i="18"/>
  <c r="AC27" i="18"/>
  <c r="AE24" i="18" s="1"/>
  <c r="AC26" i="18"/>
  <c r="B24" i="18"/>
  <c r="A24" i="18"/>
  <c r="A25" i="18" s="1"/>
  <c r="F19" i="18"/>
  <c r="D19" i="18" s="1"/>
  <c r="F17" i="18"/>
  <c r="D17" i="18"/>
  <c r="AB29" i="18" s="1"/>
  <c r="F15" i="18"/>
  <c r="C13" i="18"/>
  <c r="C12" i="18"/>
  <c r="C11" i="18"/>
  <c r="C9" i="18"/>
  <c r="C8" i="18"/>
  <c r="C7" i="18"/>
  <c r="AV17" i="15"/>
  <c r="AK17" i="15"/>
  <c r="AK16" i="15"/>
  <c r="AL17" i="15" s="1"/>
  <c r="AL22" i="15" s="1"/>
  <c r="AK17" i="17"/>
  <c r="AK16" i="17"/>
  <c r="AL17" i="17" s="1"/>
  <c r="AL22" i="17" s="1"/>
  <c r="O16" i="15"/>
  <c r="T6" i="17"/>
  <c r="S6" i="17"/>
  <c r="T5" i="17"/>
  <c r="S5" i="17"/>
  <c r="P6" i="17"/>
  <c r="O6" i="17"/>
  <c r="P5" i="17"/>
  <c r="C23" i="17" s="1"/>
  <c r="O5" i="17"/>
  <c r="P16" i="17"/>
  <c r="O16" i="17"/>
  <c r="AG437" i="17"/>
  <c r="AG436" i="17"/>
  <c r="AG435" i="17"/>
  <c r="AG434" i="17"/>
  <c r="AG433" i="17"/>
  <c r="AG432" i="17"/>
  <c r="AG431" i="17"/>
  <c r="AG430" i="17"/>
  <c r="AG429" i="17"/>
  <c r="AG428" i="17"/>
  <c r="AD420" i="17"/>
  <c r="AD419" i="17"/>
  <c r="AD418" i="17"/>
  <c r="AD417" i="17"/>
  <c r="AD416" i="17"/>
  <c r="AD415" i="17"/>
  <c r="AD414" i="17"/>
  <c r="AD413" i="17"/>
  <c r="AD412" i="17"/>
  <c r="AD411" i="17"/>
  <c r="AD410" i="17"/>
  <c r="AD409" i="17"/>
  <c r="AD408" i="17"/>
  <c r="AD407" i="17"/>
  <c r="AD406" i="17"/>
  <c r="AD405" i="17"/>
  <c r="AD404" i="17"/>
  <c r="AD403" i="17"/>
  <c r="AD402" i="17"/>
  <c r="AD401" i="17"/>
  <c r="AD400" i="17"/>
  <c r="AD399" i="17"/>
  <c r="AD398" i="17"/>
  <c r="AD397" i="17"/>
  <c r="AD396" i="17"/>
  <c r="AD395" i="17"/>
  <c r="AD394" i="17"/>
  <c r="AD393" i="17"/>
  <c r="AD392" i="17"/>
  <c r="AD391" i="17"/>
  <c r="AD390" i="17"/>
  <c r="AD389" i="17"/>
  <c r="AD388" i="17"/>
  <c r="AD387" i="17"/>
  <c r="AD386" i="17"/>
  <c r="AD385" i="17"/>
  <c r="AD384" i="17"/>
  <c r="AD383" i="17"/>
  <c r="AD382" i="17"/>
  <c r="AD381" i="17"/>
  <c r="AD380" i="17"/>
  <c r="AD379" i="17"/>
  <c r="AD378" i="17"/>
  <c r="AD377" i="17"/>
  <c r="AD376" i="17"/>
  <c r="AD375" i="17"/>
  <c r="AD374" i="17"/>
  <c r="AD373" i="17"/>
  <c r="AD372" i="17"/>
  <c r="AD371" i="17"/>
  <c r="AD370" i="17"/>
  <c r="AD369" i="17"/>
  <c r="AD368" i="17"/>
  <c r="AD367" i="17"/>
  <c r="AD366" i="17"/>
  <c r="AD365" i="17"/>
  <c r="AD364" i="17"/>
  <c r="AD363" i="17"/>
  <c r="AD362" i="17"/>
  <c r="AD361" i="17"/>
  <c r="AD360" i="17"/>
  <c r="AD359" i="17"/>
  <c r="AD358" i="17"/>
  <c r="AD357" i="17"/>
  <c r="AD356" i="17"/>
  <c r="AD355" i="17"/>
  <c r="AD354" i="17"/>
  <c r="AG353" i="17"/>
  <c r="AD353" i="17"/>
  <c r="AG352" i="17"/>
  <c r="AD352" i="17"/>
  <c r="AG351" i="17"/>
  <c r="AD351" i="17"/>
  <c r="AG350" i="17"/>
  <c r="AD350" i="17"/>
  <c r="AG349" i="17"/>
  <c r="AD349" i="17"/>
  <c r="AG348" i="17"/>
  <c r="AD348" i="17"/>
  <c r="AG347" i="17"/>
  <c r="AD347" i="17"/>
  <c r="AG346" i="17"/>
  <c r="AD346" i="17"/>
  <c r="AG345" i="17"/>
  <c r="AD345" i="17"/>
  <c r="AG344" i="17"/>
  <c r="AD344" i="17"/>
  <c r="AG343" i="17"/>
  <c r="AD343" i="17"/>
  <c r="AG342" i="17"/>
  <c r="AD342" i="17"/>
  <c r="AG341" i="17"/>
  <c r="AD341" i="17"/>
  <c r="AG340" i="17"/>
  <c r="AD340" i="17"/>
  <c r="AG339" i="17"/>
  <c r="AD339" i="17"/>
  <c r="AG338" i="17"/>
  <c r="AD338" i="17"/>
  <c r="AG337" i="17"/>
  <c r="AD337" i="17"/>
  <c r="AG336" i="17"/>
  <c r="AD336" i="17"/>
  <c r="AG335" i="17"/>
  <c r="AD335" i="17"/>
  <c r="AG334" i="17"/>
  <c r="AD334" i="17"/>
  <c r="AG333" i="17"/>
  <c r="AD333" i="17"/>
  <c r="AG332" i="17"/>
  <c r="AD332" i="17"/>
  <c r="AG331" i="17"/>
  <c r="AD331" i="17"/>
  <c r="AG330" i="17"/>
  <c r="AD330" i="17"/>
  <c r="AG329" i="17"/>
  <c r="AD329" i="17"/>
  <c r="AG328" i="17"/>
  <c r="AD328" i="17"/>
  <c r="AG327" i="17"/>
  <c r="AD327" i="17"/>
  <c r="AG326" i="17"/>
  <c r="AD326" i="17"/>
  <c r="AG325" i="17"/>
  <c r="AD325" i="17"/>
  <c r="AG324" i="17"/>
  <c r="AD324" i="17"/>
  <c r="AG323" i="17"/>
  <c r="AD323" i="17"/>
  <c r="AG322" i="17"/>
  <c r="AD322" i="17"/>
  <c r="AG321" i="17"/>
  <c r="AD321" i="17"/>
  <c r="AG320" i="17"/>
  <c r="AD320" i="17"/>
  <c r="AG319" i="17"/>
  <c r="AD319" i="17"/>
  <c r="AG318" i="17"/>
  <c r="AD318" i="17"/>
  <c r="AG317" i="17"/>
  <c r="AD317" i="17"/>
  <c r="AG316" i="17"/>
  <c r="AD316" i="17"/>
  <c r="AG315" i="17"/>
  <c r="AD315" i="17"/>
  <c r="AG314" i="17"/>
  <c r="AD314" i="17"/>
  <c r="AG313" i="17"/>
  <c r="AD313" i="17"/>
  <c r="AG312" i="17"/>
  <c r="AD312" i="17"/>
  <c r="AG311" i="17"/>
  <c r="AD311" i="17"/>
  <c r="AH310" i="17"/>
  <c r="AG310" i="17"/>
  <c r="AD310" i="17"/>
  <c r="AH309" i="17"/>
  <c r="AG309" i="17"/>
  <c r="AD309" i="17"/>
  <c r="AH308" i="17"/>
  <c r="AG308" i="17"/>
  <c r="AD308" i="17"/>
  <c r="AH307" i="17"/>
  <c r="AG307" i="17"/>
  <c r="AD307" i="17"/>
  <c r="AH306" i="17"/>
  <c r="AG306" i="17"/>
  <c r="AD306" i="17"/>
  <c r="AH305" i="17"/>
  <c r="AG305" i="17"/>
  <c r="AD305" i="17"/>
  <c r="AH304" i="17"/>
  <c r="AG304" i="17"/>
  <c r="AD304" i="17"/>
  <c r="AH303" i="17"/>
  <c r="AG303" i="17"/>
  <c r="AD303" i="17"/>
  <c r="AH302" i="17"/>
  <c r="AG302" i="17"/>
  <c r="AD302" i="17"/>
  <c r="AH301" i="17"/>
  <c r="AG301" i="17"/>
  <c r="AD301" i="17"/>
  <c r="AH300" i="17"/>
  <c r="AG300" i="17"/>
  <c r="AD300" i="17"/>
  <c r="AH299" i="17"/>
  <c r="AG299" i="17"/>
  <c r="AD299" i="17"/>
  <c r="AH298" i="17"/>
  <c r="AG298" i="17"/>
  <c r="AD298" i="17"/>
  <c r="AH297" i="17"/>
  <c r="AG297" i="17"/>
  <c r="AD297" i="17"/>
  <c r="AH296" i="17"/>
  <c r="AG296" i="17"/>
  <c r="AD296" i="17"/>
  <c r="AH295" i="17"/>
  <c r="AG295" i="17"/>
  <c r="AD295" i="17"/>
  <c r="AH294" i="17"/>
  <c r="AG294" i="17"/>
  <c r="AD294" i="17"/>
  <c r="AH293" i="17"/>
  <c r="AG293" i="17"/>
  <c r="AD293" i="17"/>
  <c r="AH292" i="17"/>
  <c r="AG292" i="17"/>
  <c r="AD292" i="17"/>
  <c r="AH291" i="17"/>
  <c r="AG291" i="17"/>
  <c r="AD291" i="17"/>
  <c r="AH290" i="17"/>
  <c r="AG290" i="17"/>
  <c r="AD290" i="17"/>
  <c r="AH289" i="17"/>
  <c r="AG289" i="17"/>
  <c r="AD289" i="17"/>
  <c r="AH288" i="17"/>
  <c r="AG288" i="17"/>
  <c r="AD288" i="17"/>
  <c r="AH287" i="17"/>
  <c r="AG287" i="17"/>
  <c r="AD287" i="17"/>
  <c r="AH286" i="17"/>
  <c r="AG286" i="17"/>
  <c r="AD286" i="17"/>
  <c r="AH285" i="17"/>
  <c r="AG285" i="17"/>
  <c r="AD285" i="17"/>
  <c r="AH284" i="17"/>
  <c r="AG284" i="17"/>
  <c r="AD284" i="17"/>
  <c r="AH283" i="17"/>
  <c r="AG283" i="17"/>
  <c r="AD283" i="17"/>
  <c r="AH282" i="17"/>
  <c r="AG282" i="17"/>
  <c r="AD282" i="17"/>
  <c r="AH281" i="17"/>
  <c r="AG281" i="17"/>
  <c r="AD281" i="17"/>
  <c r="AH280" i="17"/>
  <c r="AG280" i="17"/>
  <c r="AD280" i="17"/>
  <c r="AH279" i="17"/>
  <c r="AG279" i="17"/>
  <c r="AD279" i="17"/>
  <c r="AH278" i="17"/>
  <c r="AG278" i="17"/>
  <c r="AD278" i="17"/>
  <c r="AH277" i="17"/>
  <c r="AG277" i="17"/>
  <c r="AD277" i="17"/>
  <c r="AH276" i="17"/>
  <c r="AG276" i="17"/>
  <c r="AD276" i="17"/>
  <c r="AH275" i="17"/>
  <c r="AG275" i="17"/>
  <c r="AD275" i="17"/>
  <c r="AH274" i="17"/>
  <c r="AG274" i="17"/>
  <c r="AD274" i="17"/>
  <c r="AH273" i="17"/>
  <c r="AG273" i="17"/>
  <c r="AD273" i="17"/>
  <c r="AH272" i="17"/>
  <c r="AG272" i="17"/>
  <c r="AD272" i="17"/>
  <c r="AH271" i="17"/>
  <c r="AG271" i="17"/>
  <c r="AD271" i="17"/>
  <c r="AH270" i="17"/>
  <c r="AG270" i="17"/>
  <c r="AD270" i="17"/>
  <c r="AH269" i="17"/>
  <c r="AG269" i="17"/>
  <c r="AD269" i="17"/>
  <c r="AH268" i="17"/>
  <c r="AG268" i="17"/>
  <c r="AD268" i="17"/>
  <c r="AH267" i="17"/>
  <c r="AG267" i="17"/>
  <c r="AD267" i="17"/>
  <c r="AH266" i="17"/>
  <c r="AG266" i="17"/>
  <c r="AD266" i="17"/>
  <c r="AH265" i="17"/>
  <c r="AG265" i="17"/>
  <c r="AD265" i="17"/>
  <c r="AH264" i="17"/>
  <c r="AG264" i="17"/>
  <c r="AD264" i="17"/>
  <c r="AH263" i="17"/>
  <c r="AG263" i="17"/>
  <c r="AD263" i="17"/>
  <c r="AH262" i="17"/>
  <c r="AG262" i="17"/>
  <c r="AD262" i="17"/>
  <c r="AH261" i="17"/>
  <c r="AG261" i="17"/>
  <c r="AD261" i="17"/>
  <c r="AH260" i="17"/>
  <c r="AG260" i="17"/>
  <c r="AD260" i="17"/>
  <c r="AH259" i="17"/>
  <c r="AG259" i="17"/>
  <c r="AD259" i="17"/>
  <c r="AH258" i="17"/>
  <c r="AG258" i="17"/>
  <c r="AD258" i="17"/>
  <c r="AH257" i="17"/>
  <c r="AG257" i="17"/>
  <c r="AD257" i="17"/>
  <c r="AH256" i="17"/>
  <c r="AG256" i="17"/>
  <c r="AD256" i="17"/>
  <c r="AH255" i="17"/>
  <c r="AG255" i="17"/>
  <c r="AD255" i="17"/>
  <c r="AH254" i="17"/>
  <c r="AG254" i="17"/>
  <c r="AD254" i="17"/>
  <c r="AH253" i="17"/>
  <c r="AG253" i="17"/>
  <c r="AD253" i="17"/>
  <c r="AH252" i="17"/>
  <c r="AG252" i="17"/>
  <c r="AD252" i="17"/>
  <c r="AH251" i="17"/>
  <c r="AG251" i="17"/>
  <c r="AD251" i="17"/>
  <c r="AH250" i="17"/>
  <c r="AG250" i="17"/>
  <c r="AD250" i="17"/>
  <c r="AH249" i="17"/>
  <c r="AG249" i="17"/>
  <c r="AD249" i="17"/>
  <c r="AH248" i="17"/>
  <c r="AG248" i="17"/>
  <c r="AD248" i="17"/>
  <c r="AH247" i="17"/>
  <c r="AG247" i="17"/>
  <c r="AD247" i="17"/>
  <c r="AH246" i="17"/>
  <c r="AG246" i="17"/>
  <c r="AD246" i="17"/>
  <c r="AH245" i="17"/>
  <c r="AG245" i="17"/>
  <c r="AH244" i="17"/>
  <c r="AG244" i="17"/>
  <c r="AC244" i="17"/>
  <c r="AH243" i="17"/>
  <c r="AG243" i="17"/>
  <c r="AC243" i="17"/>
  <c r="AH242" i="17"/>
  <c r="AG242" i="17"/>
  <c r="AC242" i="17"/>
  <c r="AH241" i="17"/>
  <c r="AG241" i="17"/>
  <c r="AC241" i="17"/>
  <c r="AH240" i="17"/>
  <c r="AG240" i="17"/>
  <c r="AC240" i="17"/>
  <c r="AH239" i="17"/>
  <c r="AG239" i="17"/>
  <c r="AC239" i="17"/>
  <c r="AH238" i="17"/>
  <c r="AG238" i="17"/>
  <c r="AC238" i="17"/>
  <c r="AH237" i="17"/>
  <c r="AG237" i="17"/>
  <c r="AC237" i="17"/>
  <c r="AH236" i="17"/>
  <c r="AG236" i="17"/>
  <c r="AC236" i="17"/>
  <c r="AH235" i="17"/>
  <c r="AG235" i="17"/>
  <c r="AC235" i="17"/>
  <c r="AH234" i="17"/>
  <c r="AG234" i="17"/>
  <c r="AC234" i="17"/>
  <c r="AH233" i="17"/>
  <c r="AG233" i="17"/>
  <c r="AC233" i="17"/>
  <c r="AH232" i="17"/>
  <c r="AG232" i="17"/>
  <c r="AC232" i="17"/>
  <c r="AH231" i="17"/>
  <c r="AG231" i="17"/>
  <c r="AC231" i="17"/>
  <c r="AH230" i="17"/>
  <c r="AG230" i="17"/>
  <c r="AC230" i="17"/>
  <c r="AF229" i="17"/>
  <c r="AH229" i="17" s="1"/>
  <c r="AC229" i="17"/>
  <c r="AF228" i="17"/>
  <c r="AG228" i="17" s="1"/>
  <c r="AC228" i="17"/>
  <c r="AF227" i="17"/>
  <c r="AH227" i="17" s="1"/>
  <c r="AC227" i="17"/>
  <c r="AF226" i="17"/>
  <c r="AG226" i="17" s="1"/>
  <c r="AC226" i="17"/>
  <c r="AF225" i="17"/>
  <c r="AH225" i="17" s="1"/>
  <c r="AC225" i="17"/>
  <c r="AF224" i="17"/>
  <c r="AG224" i="17" s="1"/>
  <c r="AC224" i="17"/>
  <c r="AF223" i="17"/>
  <c r="AH223" i="17" s="1"/>
  <c r="AC223" i="17"/>
  <c r="AF222" i="17"/>
  <c r="AG222" i="17" s="1"/>
  <c r="AC222" i="17"/>
  <c r="AF221" i="17"/>
  <c r="AH221" i="17" s="1"/>
  <c r="AC221" i="17"/>
  <c r="AF220" i="17"/>
  <c r="AG220" i="17" s="1"/>
  <c r="AC220" i="17"/>
  <c r="AF219" i="17"/>
  <c r="AH219" i="17" s="1"/>
  <c r="AC219" i="17"/>
  <c r="AF218" i="17"/>
  <c r="AG218" i="17" s="1"/>
  <c r="AC218" i="17"/>
  <c r="AF217" i="17"/>
  <c r="AH217" i="17" s="1"/>
  <c r="AC217" i="17"/>
  <c r="AF216" i="17"/>
  <c r="AG216" i="17" s="1"/>
  <c r="AC216" i="17"/>
  <c r="AF215" i="17"/>
  <c r="AH215" i="17" s="1"/>
  <c r="AC215" i="17"/>
  <c r="AF214" i="17"/>
  <c r="AG214" i="17" s="1"/>
  <c r="AC214" i="17"/>
  <c r="AF213" i="17"/>
  <c r="AH213" i="17" s="1"/>
  <c r="AC213" i="17"/>
  <c r="AF212" i="17"/>
  <c r="AG212" i="17" s="1"/>
  <c r="AC212" i="17"/>
  <c r="AF211" i="17"/>
  <c r="AH211" i="17" s="1"/>
  <c r="AC211" i="17"/>
  <c r="AF210" i="17"/>
  <c r="AG210" i="17" s="1"/>
  <c r="AC210" i="17"/>
  <c r="AF209" i="17"/>
  <c r="AH209" i="17" s="1"/>
  <c r="AC209" i="17"/>
  <c r="AF208" i="17"/>
  <c r="AG208" i="17" s="1"/>
  <c r="AC208" i="17"/>
  <c r="AF207" i="17"/>
  <c r="AH207" i="17" s="1"/>
  <c r="AC207" i="17"/>
  <c r="AF206" i="17"/>
  <c r="AG206" i="17" s="1"/>
  <c r="AC206" i="17"/>
  <c r="AF205" i="17"/>
  <c r="AH205" i="17" s="1"/>
  <c r="AC205" i="17"/>
  <c r="AF204" i="17"/>
  <c r="AG204" i="17" s="1"/>
  <c r="AC204" i="17"/>
  <c r="AF203" i="17"/>
  <c r="AH203" i="17" s="1"/>
  <c r="AC203" i="17"/>
  <c r="AF202" i="17"/>
  <c r="AG202" i="17" s="1"/>
  <c r="AC202" i="17"/>
  <c r="AF201" i="17"/>
  <c r="AH201" i="17" s="1"/>
  <c r="AC201" i="17"/>
  <c r="AF200" i="17"/>
  <c r="AG200" i="17" s="1"/>
  <c r="AC200" i="17"/>
  <c r="AF199" i="17"/>
  <c r="AH199" i="17" s="1"/>
  <c r="AC199" i="17"/>
  <c r="AF198" i="17"/>
  <c r="AG198" i="17" s="1"/>
  <c r="AC198" i="17"/>
  <c r="AF197" i="17"/>
  <c r="AH197" i="17" s="1"/>
  <c r="AC197" i="17"/>
  <c r="AF196" i="17"/>
  <c r="AG196" i="17" s="1"/>
  <c r="AC196" i="17"/>
  <c r="AF195" i="17"/>
  <c r="AH195" i="17" s="1"/>
  <c r="AC195" i="17"/>
  <c r="AF194" i="17"/>
  <c r="AG194" i="17" s="1"/>
  <c r="AC194" i="17"/>
  <c r="AF193" i="17"/>
  <c r="AH193" i="17" s="1"/>
  <c r="AC193" i="17"/>
  <c r="AF192" i="17"/>
  <c r="AG192" i="17" s="1"/>
  <c r="AC192" i="17"/>
  <c r="AF191" i="17"/>
  <c r="AH191" i="17" s="1"/>
  <c r="AC191" i="17"/>
  <c r="AF190" i="17"/>
  <c r="AG190" i="17" s="1"/>
  <c r="AC190" i="17"/>
  <c r="AF189" i="17"/>
  <c r="AH189" i="17" s="1"/>
  <c r="AC189" i="17"/>
  <c r="AF188" i="17"/>
  <c r="AG188" i="17" s="1"/>
  <c r="AC188" i="17"/>
  <c r="AF187" i="17"/>
  <c r="AH187" i="17" s="1"/>
  <c r="AC187" i="17"/>
  <c r="AF186" i="17"/>
  <c r="AG186" i="17" s="1"/>
  <c r="AC186" i="17"/>
  <c r="AF185" i="17"/>
  <c r="AH185" i="17" s="1"/>
  <c r="AC185" i="17"/>
  <c r="AF184" i="17"/>
  <c r="AG184" i="17" s="1"/>
  <c r="AC184" i="17"/>
  <c r="AF183" i="17"/>
  <c r="AH183" i="17" s="1"/>
  <c r="AC183" i="17"/>
  <c r="AF182" i="17"/>
  <c r="AG182" i="17" s="1"/>
  <c r="AC182" i="17"/>
  <c r="AF181" i="17"/>
  <c r="AC181" i="17"/>
  <c r="AF180" i="17"/>
  <c r="AC180" i="17"/>
  <c r="AF179" i="17"/>
  <c r="AH179" i="17" s="1"/>
  <c r="AC179" i="17"/>
  <c r="AF178" i="17"/>
  <c r="AG178" i="17" s="1"/>
  <c r="AC178" i="17"/>
  <c r="AF177" i="17"/>
  <c r="AC177" i="17"/>
  <c r="AF176" i="17"/>
  <c r="AH176" i="17" s="1"/>
  <c r="AC176" i="17"/>
  <c r="AF175" i="17"/>
  <c r="AC175" i="17"/>
  <c r="AF174" i="17"/>
  <c r="AG174" i="17" s="1"/>
  <c r="AC174" i="17"/>
  <c r="AF173" i="17"/>
  <c r="AC173" i="17"/>
  <c r="AF172" i="17"/>
  <c r="AH172" i="17" s="1"/>
  <c r="AC172" i="17"/>
  <c r="AF171" i="17"/>
  <c r="AC171" i="17"/>
  <c r="AF170" i="17"/>
  <c r="AG170" i="17" s="1"/>
  <c r="AC170" i="17"/>
  <c r="AF169" i="17"/>
  <c r="AC169" i="17"/>
  <c r="AF168" i="17"/>
  <c r="AH168" i="17" s="1"/>
  <c r="AC168" i="17"/>
  <c r="AF167" i="17"/>
  <c r="AC167" i="17"/>
  <c r="AF166" i="17"/>
  <c r="AG166" i="17" s="1"/>
  <c r="AC166" i="17"/>
  <c r="AF165" i="17"/>
  <c r="AC165" i="17"/>
  <c r="AF164" i="17"/>
  <c r="AH164" i="17" s="1"/>
  <c r="AC164" i="17"/>
  <c r="AF163" i="17"/>
  <c r="AC163" i="17"/>
  <c r="AF162" i="17"/>
  <c r="AG162" i="17" s="1"/>
  <c r="AC162" i="17"/>
  <c r="AF161" i="17"/>
  <c r="AC161" i="17"/>
  <c r="AF160" i="17"/>
  <c r="AH160" i="17" s="1"/>
  <c r="AC160" i="17"/>
  <c r="AF159" i="17"/>
  <c r="AC159" i="17"/>
  <c r="AF158" i="17"/>
  <c r="AG158" i="17" s="1"/>
  <c r="AC158" i="17"/>
  <c r="AF157" i="17"/>
  <c r="AC157" i="17"/>
  <c r="AF156" i="17"/>
  <c r="AH156" i="17" s="1"/>
  <c r="AC156" i="17"/>
  <c r="AF155" i="17"/>
  <c r="AC155" i="17"/>
  <c r="AF154" i="17"/>
  <c r="AG154" i="17" s="1"/>
  <c r="AC154" i="17"/>
  <c r="AF153" i="17"/>
  <c r="AC153" i="17"/>
  <c r="AF152" i="17"/>
  <c r="AH152" i="17" s="1"/>
  <c r="AC152" i="17"/>
  <c r="AF151" i="17"/>
  <c r="AC151" i="17"/>
  <c r="AF150" i="17"/>
  <c r="AG150" i="17" s="1"/>
  <c r="AC150" i="17"/>
  <c r="AF149" i="17"/>
  <c r="AC149" i="17"/>
  <c r="AF148" i="17"/>
  <c r="AH148" i="17" s="1"/>
  <c r="AC148" i="17"/>
  <c r="AF147" i="17"/>
  <c r="AC147" i="17"/>
  <c r="AF146" i="17"/>
  <c r="AG146" i="17" s="1"/>
  <c r="AC146" i="17"/>
  <c r="AF145" i="17"/>
  <c r="AC145" i="17"/>
  <c r="AF144" i="17"/>
  <c r="AH144" i="17" s="1"/>
  <c r="AC144" i="17"/>
  <c r="AF143" i="17"/>
  <c r="AC143" i="17"/>
  <c r="AF142" i="17"/>
  <c r="AG142" i="17" s="1"/>
  <c r="AC142" i="17"/>
  <c r="AF141" i="17"/>
  <c r="AC141" i="17"/>
  <c r="AF140" i="17"/>
  <c r="AH140" i="17" s="1"/>
  <c r="AC140" i="17"/>
  <c r="AF139" i="17"/>
  <c r="AC139" i="17"/>
  <c r="AF138" i="17"/>
  <c r="AG138" i="17" s="1"/>
  <c r="AC138" i="17"/>
  <c r="AF137" i="17"/>
  <c r="AG137" i="17" s="1"/>
  <c r="AC137" i="17"/>
  <c r="AF136" i="17"/>
  <c r="AC136" i="17"/>
  <c r="AF135" i="17"/>
  <c r="AC135" i="17"/>
  <c r="AF134" i="17"/>
  <c r="AH134" i="17" s="1"/>
  <c r="AC134" i="17"/>
  <c r="AF133" i="17"/>
  <c r="AG133" i="17" s="1"/>
  <c r="AC133" i="17"/>
  <c r="AF132" i="17"/>
  <c r="AG132" i="17" s="1"/>
  <c r="AC132" i="17"/>
  <c r="AF131" i="17"/>
  <c r="AG131" i="17" s="1"/>
  <c r="AC131" i="17"/>
  <c r="AF130" i="17"/>
  <c r="AC130" i="17"/>
  <c r="AF129" i="17"/>
  <c r="AG129" i="17" s="1"/>
  <c r="AC129" i="17"/>
  <c r="AF128" i="17"/>
  <c r="AC128" i="17"/>
  <c r="AF127" i="17"/>
  <c r="AC127" i="17"/>
  <c r="AF126" i="17"/>
  <c r="AH126" i="17" s="1"/>
  <c r="AC126" i="17"/>
  <c r="AF125" i="17"/>
  <c r="AG125" i="17" s="1"/>
  <c r="AC125" i="17"/>
  <c r="AF124" i="17"/>
  <c r="AH124" i="17" s="1"/>
  <c r="AC124" i="17"/>
  <c r="AF123" i="17"/>
  <c r="AC123" i="17"/>
  <c r="AF122" i="17"/>
  <c r="AH122" i="17" s="1"/>
  <c r="AC122" i="17"/>
  <c r="AF121" i="17"/>
  <c r="AC121" i="17"/>
  <c r="AF120" i="17"/>
  <c r="AH120" i="17" s="1"/>
  <c r="AC120" i="17"/>
  <c r="AF119" i="17"/>
  <c r="AC119" i="17"/>
  <c r="AF118" i="17"/>
  <c r="AG118" i="17" s="1"/>
  <c r="AC118" i="17"/>
  <c r="AF117" i="17"/>
  <c r="AC117" i="17"/>
  <c r="AF116" i="17"/>
  <c r="AH116" i="17" s="1"/>
  <c r="AC116" i="17"/>
  <c r="AF115" i="17"/>
  <c r="AC115" i="17"/>
  <c r="AF114" i="17"/>
  <c r="AG114" i="17" s="1"/>
  <c r="AC114" i="17"/>
  <c r="AF113" i="17"/>
  <c r="AC113" i="17"/>
  <c r="AF112" i="17"/>
  <c r="AH112" i="17" s="1"/>
  <c r="AC112" i="17"/>
  <c r="AF111" i="17"/>
  <c r="AC111" i="17"/>
  <c r="AF110" i="17"/>
  <c r="AH110" i="17" s="1"/>
  <c r="AC110" i="17"/>
  <c r="AF109" i="17"/>
  <c r="AC109" i="17"/>
  <c r="AF108" i="17"/>
  <c r="AH108" i="17" s="1"/>
  <c r="AC108" i="17"/>
  <c r="AF107" i="17"/>
  <c r="AC107" i="17"/>
  <c r="AF106" i="17"/>
  <c r="AC106" i="17"/>
  <c r="AF105" i="17"/>
  <c r="AC105" i="17"/>
  <c r="AF104" i="17"/>
  <c r="AH104" i="17" s="1"/>
  <c r="AC104" i="17"/>
  <c r="AF103" i="17"/>
  <c r="AC103" i="17"/>
  <c r="AF102" i="17"/>
  <c r="AH102" i="17" s="1"/>
  <c r="AC102" i="17"/>
  <c r="AF101" i="17"/>
  <c r="AC101" i="17"/>
  <c r="AF100" i="17"/>
  <c r="AH100" i="17" s="1"/>
  <c r="AC100" i="17"/>
  <c r="AF99" i="17"/>
  <c r="AC99" i="17"/>
  <c r="AF98" i="17"/>
  <c r="AH98" i="17" s="1"/>
  <c r="AC98" i="17"/>
  <c r="AF97" i="17"/>
  <c r="AC97" i="17"/>
  <c r="AF96" i="17"/>
  <c r="AH96" i="17" s="1"/>
  <c r="AC96" i="17"/>
  <c r="AF95" i="17"/>
  <c r="AC95" i="17"/>
  <c r="AF94" i="17"/>
  <c r="AH94" i="17" s="1"/>
  <c r="AC94" i="17"/>
  <c r="AF93" i="17"/>
  <c r="AC93" i="17"/>
  <c r="AF92" i="17"/>
  <c r="AH92" i="17" s="1"/>
  <c r="AC92" i="17"/>
  <c r="AF91" i="17"/>
  <c r="AC91" i="17"/>
  <c r="AF90" i="17"/>
  <c r="AH90" i="17" s="1"/>
  <c r="AC90" i="17"/>
  <c r="AF89" i="17"/>
  <c r="AC89" i="17"/>
  <c r="AF88" i="17"/>
  <c r="AH88" i="17" s="1"/>
  <c r="AC88" i="17"/>
  <c r="AF87" i="17"/>
  <c r="AC87" i="17"/>
  <c r="AF86" i="17"/>
  <c r="AH86" i="17" s="1"/>
  <c r="AC86" i="17"/>
  <c r="AF85" i="17"/>
  <c r="AH85" i="17" s="1"/>
  <c r="AC85" i="17"/>
  <c r="AF84" i="17"/>
  <c r="AC84" i="17"/>
  <c r="AF83" i="17"/>
  <c r="AC83" i="17"/>
  <c r="AF82" i="17"/>
  <c r="AH82" i="17" s="1"/>
  <c r="AC82" i="17"/>
  <c r="AF81" i="17"/>
  <c r="AH81" i="17" s="1"/>
  <c r="AC81" i="17"/>
  <c r="AF80" i="17"/>
  <c r="AG80" i="17" s="1"/>
  <c r="AC80" i="17"/>
  <c r="AF79" i="17"/>
  <c r="AH79" i="17" s="1"/>
  <c r="AC79" i="17"/>
  <c r="AF78" i="17"/>
  <c r="AG78" i="17" s="1"/>
  <c r="AC78" i="17"/>
  <c r="AA30" i="17"/>
  <c r="AA31" i="17" s="1"/>
  <c r="AD29" i="17"/>
  <c r="AC27" i="17"/>
  <c r="AC26" i="17"/>
  <c r="A24" i="17"/>
  <c r="A25" i="17" s="1"/>
  <c r="B25" i="17" s="1"/>
  <c r="P20" i="17"/>
  <c r="O20" i="17"/>
  <c r="P19" i="17"/>
  <c r="O19" i="17"/>
  <c r="P18" i="17"/>
  <c r="O18" i="17"/>
  <c r="P17" i="17"/>
  <c r="O17" i="17"/>
  <c r="D17" i="17"/>
  <c r="AB29" i="17" s="1"/>
  <c r="G15" i="17"/>
  <c r="E23" i="17" s="1"/>
  <c r="AX236" i="17" s="1"/>
  <c r="C13" i="17"/>
  <c r="C12" i="17"/>
  <c r="C11" i="17"/>
  <c r="U10" i="17"/>
  <c r="T10" i="17"/>
  <c r="S10" i="17"/>
  <c r="P10" i="17"/>
  <c r="O10" i="17"/>
  <c r="C10" i="17"/>
  <c r="U9" i="17"/>
  <c r="T9" i="17"/>
  <c r="S9" i="17"/>
  <c r="P9" i="17"/>
  <c r="O9" i="17"/>
  <c r="C9" i="17"/>
  <c r="U8" i="17"/>
  <c r="T8" i="17"/>
  <c r="S8" i="17"/>
  <c r="P8" i="17"/>
  <c r="O8" i="17"/>
  <c r="C8" i="17"/>
  <c r="T7" i="17"/>
  <c r="S7" i="17"/>
  <c r="P7" i="17"/>
  <c r="O7" i="17"/>
  <c r="C7" i="17"/>
  <c r="U6" i="17"/>
  <c r="C6" i="17"/>
  <c r="U5" i="17"/>
  <c r="S8" i="15"/>
  <c r="T8" i="15"/>
  <c r="E27" i="16"/>
  <c r="S6" i="15"/>
  <c r="T6" i="15"/>
  <c r="U6" i="15"/>
  <c r="S9" i="15"/>
  <c r="T9" i="15"/>
  <c r="U9" i="15"/>
  <c r="S10" i="15"/>
  <c r="T10" i="15"/>
  <c r="U10" i="15"/>
  <c r="S11" i="15"/>
  <c r="T11" i="15"/>
  <c r="U11" i="15"/>
  <c r="T5" i="15"/>
  <c r="U5" i="15"/>
  <c r="S5" i="15"/>
  <c r="P20" i="15"/>
  <c r="O20" i="15"/>
  <c r="P19" i="15"/>
  <c r="O19" i="15"/>
  <c r="P18" i="15"/>
  <c r="O18" i="15"/>
  <c r="P17" i="15"/>
  <c r="O17" i="15"/>
  <c r="P16" i="15"/>
  <c r="T5" i="13"/>
  <c r="T6" i="13"/>
  <c r="T4" i="13"/>
  <c r="R5" i="13"/>
  <c r="R6" i="13"/>
  <c r="R4" i="13"/>
  <c r="Q5" i="13"/>
  <c r="Q6" i="13"/>
  <c r="Q4" i="13"/>
  <c r="D15" i="13"/>
  <c r="S14" i="6"/>
  <c r="S5" i="6"/>
  <c r="S6" i="6"/>
  <c r="S4" i="6"/>
  <c r="R14" i="6"/>
  <c r="R5" i="6"/>
  <c r="R6" i="6"/>
  <c r="R4" i="6"/>
  <c r="Q14" i="6"/>
  <c r="Q5" i="6"/>
  <c r="Q6" i="6"/>
  <c r="Q4" i="6"/>
  <c r="O14" i="6"/>
  <c r="O6" i="6"/>
  <c r="O5" i="6"/>
  <c r="D15" i="6" s="1"/>
  <c r="C23" i="6" s="1"/>
  <c r="O4" i="6"/>
  <c r="E30" i="16"/>
  <c r="E17" i="16"/>
  <c r="E16" i="16"/>
  <c r="E15" i="16"/>
  <c r="E14" i="16"/>
  <c r="E13" i="16"/>
  <c r="E12" i="16"/>
  <c r="E9" i="16"/>
  <c r="E8" i="16"/>
  <c r="E7" i="16"/>
  <c r="E6" i="16"/>
  <c r="E5" i="16"/>
  <c r="C6" i="18" l="1"/>
  <c r="Q6" i="18"/>
  <c r="Q7" i="18" s="1"/>
  <c r="Q8" i="18" s="1"/>
  <c r="Q9" i="18" s="1"/>
  <c r="C10" i="18" s="1"/>
  <c r="D16" i="18" s="1"/>
  <c r="C23" i="18" s="1"/>
  <c r="AK106" i="11"/>
  <c r="AK104" i="11"/>
  <c r="AK102" i="11"/>
  <c r="AK100" i="11"/>
  <c r="AK98" i="11"/>
  <c r="AK96" i="11"/>
  <c r="AK94" i="11"/>
  <c r="AK92" i="11"/>
  <c r="AK90" i="11"/>
  <c r="AK88" i="11"/>
  <c r="AK107" i="11"/>
  <c r="AK105" i="11"/>
  <c r="AK103" i="11"/>
  <c r="AK101" i="11"/>
  <c r="AK99" i="11"/>
  <c r="AK97" i="11"/>
  <c r="AK95" i="11"/>
  <c r="AK93" i="11"/>
  <c r="AK91" i="11"/>
  <c r="AK89" i="11"/>
  <c r="AC29" i="18"/>
  <c r="AC31" i="24"/>
  <c r="AB32" i="24"/>
  <c r="AE31" i="24"/>
  <c r="AF31" i="24" s="1"/>
  <c r="AH30" i="24"/>
  <c r="D25" i="24"/>
  <c r="AA34" i="24"/>
  <c r="AD33" i="24"/>
  <c r="B28" i="24"/>
  <c r="A29" i="24"/>
  <c r="AK81" i="3"/>
  <c r="AK85" i="3"/>
  <c r="AK89" i="3"/>
  <c r="AK93" i="3"/>
  <c r="AK97" i="3"/>
  <c r="AK101" i="3"/>
  <c r="AK105" i="3"/>
  <c r="AK102" i="3"/>
  <c r="AK83" i="3"/>
  <c r="AK91" i="3"/>
  <c r="AK95" i="3"/>
  <c r="AK99" i="3"/>
  <c r="AK103" i="3"/>
  <c r="AK84" i="3"/>
  <c r="AK92" i="3"/>
  <c r="AK100" i="3"/>
  <c r="AK82" i="3"/>
  <c r="AK86" i="3"/>
  <c r="AK90" i="3"/>
  <c r="AK94" i="3"/>
  <c r="AK98" i="3"/>
  <c r="AK106" i="3"/>
  <c r="AK87" i="3"/>
  <c r="AK107" i="3"/>
  <c r="AK88" i="3"/>
  <c r="AK96" i="3"/>
  <c r="AK104" i="3"/>
  <c r="AE30" i="22"/>
  <c r="AF30" i="22" s="1"/>
  <c r="AH30" i="22" s="1"/>
  <c r="AB31" i="22"/>
  <c r="AD31" i="22"/>
  <c r="AA32" i="22"/>
  <c r="B26" i="22"/>
  <c r="A27" i="22"/>
  <c r="AC30" i="22"/>
  <c r="A89" i="17"/>
  <c r="AC29" i="20"/>
  <c r="AD30" i="20"/>
  <c r="BH24" i="20"/>
  <c r="R5" i="20"/>
  <c r="AL17" i="20"/>
  <c r="AL22" i="20" s="1"/>
  <c r="AB30" i="20"/>
  <c r="A25" i="20"/>
  <c r="BH25" i="20" s="1"/>
  <c r="AA32" i="20"/>
  <c r="AD30" i="18"/>
  <c r="AH84" i="18"/>
  <c r="AH153" i="18"/>
  <c r="AH199" i="18"/>
  <c r="AH106" i="18"/>
  <c r="AG80" i="18"/>
  <c r="AH83" i="18"/>
  <c r="AH96" i="18"/>
  <c r="AH105" i="18"/>
  <c r="AG114" i="18"/>
  <c r="AH125" i="18"/>
  <c r="AH144" i="18"/>
  <c r="AH162" i="18"/>
  <c r="AG191" i="18"/>
  <c r="AH198" i="18"/>
  <c r="AG207" i="18"/>
  <c r="AH208" i="18"/>
  <c r="AG217" i="18"/>
  <c r="AG100" i="18"/>
  <c r="AH133" i="18"/>
  <c r="AH161" i="18"/>
  <c r="AG170" i="18"/>
  <c r="AH186" i="18"/>
  <c r="AG221" i="18"/>
  <c r="AH154" i="18"/>
  <c r="AH183" i="18"/>
  <c r="AG225" i="18"/>
  <c r="AH79" i="18"/>
  <c r="AG90" i="18"/>
  <c r="AH91" i="18"/>
  <c r="AH104" i="18"/>
  <c r="AH113" i="18"/>
  <c r="AH119" i="18"/>
  <c r="AH127" i="18"/>
  <c r="AH135" i="18"/>
  <c r="AG138" i="18"/>
  <c r="AH152" i="18"/>
  <c r="AH160" i="18"/>
  <c r="AH169" i="18"/>
  <c r="AG178" i="18"/>
  <c r="AG179" i="18"/>
  <c r="AH185" i="18"/>
  <c r="AH190" i="18"/>
  <c r="AH206" i="18"/>
  <c r="AH216" i="18"/>
  <c r="AH220" i="18"/>
  <c r="AH224" i="18"/>
  <c r="AH228" i="18"/>
  <c r="AG88" i="18"/>
  <c r="AH89" i="18"/>
  <c r="AG98" i="18"/>
  <c r="AH112" i="18"/>
  <c r="AG116" i="18"/>
  <c r="AH121" i="18"/>
  <c r="AH129" i="18"/>
  <c r="AH137" i="18"/>
  <c r="AG146" i="18"/>
  <c r="AH147" i="18"/>
  <c r="AH168" i="18"/>
  <c r="AG172" i="18"/>
  <c r="AH177" i="18"/>
  <c r="AG203" i="18"/>
  <c r="AG215" i="18"/>
  <c r="AG219" i="18"/>
  <c r="AG223" i="18"/>
  <c r="AG227" i="18"/>
  <c r="AG85" i="18"/>
  <c r="AH97" i="18"/>
  <c r="AH107" i="18"/>
  <c r="AH123" i="18"/>
  <c r="AH131" i="18"/>
  <c r="AG140" i="18"/>
  <c r="AH145" i="18"/>
  <c r="AH163" i="18"/>
  <c r="AH176" i="18"/>
  <c r="AH200" i="18"/>
  <c r="AH214" i="18"/>
  <c r="AH218" i="18"/>
  <c r="AH222" i="18"/>
  <c r="AH226" i="18"/>
  <c r="R5" i="18"/>
  <c r="R6" i="18" s="1"/>
  <c r="R7" i="18" s="1"/>
  <c r="R8" i="18" s="1"/>
  <c r="R9" i="18" s="1"/>
  <c r="AA32" i="18"/>
  <c r="AD31" i="18"/>
  <c r="B25" i="18"/>
  <c r="A26" i="18"/>
  <c r="AH102" i="18"/>
  <c r="AG102" i="18"/>
  <c r="AH134" i="18"/>
  <c r="AG134" i="18"/>
  <c r="AG171" i="18"/>
  <c r="AH171" i="18"/>
  <c r="AG202" i="18"/>
  <c r="AH202" i="18"/>
  <c r="AG93" i="18"/>
  <c r="AH93" i="18"/>
  <c r="AH99" i="18"/>
  <c r="AG109" i="18"/>
  <c r="AH109" i="18"/>
  <c r="AH115" i="18"/>
  <c r="AH122" i="18"/>
  <c r="AG122" i="18"/>
  <c r="AH130" i="18"/>
  <c r="AG130" i="18"/>
  <c r="AG139" i="18"/>
  <c r="AH139" i="18"/>
  <c r="AB30" i="18"/>
  <c r="AG81" i="18"/>
  <c r="AH82" i="18"/>
  <c r="AG82" i="18"/>
  <c r="AG92" i="18"/>
  <c r="AG108" i="18"/>
  <c r="AG141" i="18"/>
  <c r="AH141" i="18"/>
  <c r="AG156" i="18"/>
  <c r="AH166" i="18"/>
  <c r="AG166" i="18"/>
  <c r="AG173" i="18"/>
  <c r="AH173" i="18"/>
  <c r="AH197" i="18"/>
  <c r="AH201" i="18"/>
  <c r="AG201" i="18"/>
  <c r="AH78" i="18"/>
  <c r="AG78" i="18"/>
  <c r="AH86" i="18"/>
  <c r="AG86" i="18"/>
  <c r="AH150" i="18"/>
  <c r="AG150" i="18"/>
  <c r="AG157" i="18"/>
  <c r="AH157" i="18"/>
  <c r="AH118" i="18"/>
  <c r="AG118" i="18"/>
  <c r="AH126" i="18"/>
  <c r="AG126" i="18"/>
  <c r="AG192" i="18"/>
  <c r="AH192" i="18"/>
  <c r="AG212" i="18"/>
  <c r="AH212" i="18"/>
  <c r="AH94" i="18"/>
  <c r="AG94" i="18"/>
  <c r="AG101" i="18"/>
  <c r="AH101" i="18"/>
  <c r="AH110" i="18"/>
  <c r="AG110" i="18"/>
  <c r="AG117" i="18"/>
  <c r="AH117" i="18"/>
  <c r="AH120" i="18"/>
  <c r="AG120" i="18"/>
  <c r="AH124" i="18"/>
  <c r="AG124" i="18"/>
  <c r="AH128" i="18"/>
  <c r="AG128" i="18"/>
  <c r="AH132" i="18"/>
  <c r="AG132" i="18"/>
  <c r="AH136" i="18"/>
  <c r="AG136" i="18"/>
  <c r="AG155" i="18"/>
  <c r="AH155" i="18"/>
  <c r="AH142" i="18"/>
  <c r="AG142" i="18"/>
  <c r="AG149" i="18"/>
  <c r="AH149" i="18"/>
  <c r="AH158" i="18"/>
  <c r="AG158" i="18"/>
  <c r="AG165" i="18"/>
  <c r="AH165" i="18"/>
  <c r="AH174" i="18"/>
  <c r="AG174" i="18"/>
  <c r="AG189" i="18"/>
  <c r="AH189" i="18"/>
  <c r="AH193" i="18"/>
  <c r="AG193" i="18"/>
  <c r="AG196" i="18"/>
  <c r="AH196" i="18"/>
  <c r="AG204" i="18"/>
  <c r="AH204" i="18"/>
  <c r="AH211" i="18"/>
  <c r="AG211" i="18"/>
  <c r="AH87" i="18"/>
  <c r="AH95" i="18"/>
  <c r="AH103" i="18"/>
  <c r="AH111" i="18"/>
  <c r="AG148" i="18"/>
  <c r="AG164" i="18"/>
  <c r="AH195" i="18"/>
  <c r="AG195" i="18"/>
  <c r="AG188" i="18"/>
  <c r="AH188" i="18"/>
  <c r="AH143" i="18"/>
  <c r="AH151" i="18"/>
  <c r="AH159" i="18"/>
  <c r="AH167" i="18"/>
  <c r="AH175" i="18"/>
  <c r="AG180" i="18"/>
  <c r="AH180" i="18"/>
  <c r="AH181" i="18"/>
  <c r="AH184" i="18"/>
  <c r="AG187" i="18"/>
  <c r="AH194" i="18"/>
  <c r="AH205" i="18"/>
  <c r="AG205" i="18"/>
  <c r="AH210" i="18"/>
  <c r="AH213" i="18"/>
  <c r="AG213" i="18"/>
  <c r="AL16" i="15"/>
  <c r="AL21" i="15" s="1"/>
  <c r="AL16" i="17"/>
  <c r="AL21" i="17" s="1"/>
  <c r="AQ29" i="17"/>
  <c r="AV138" i="17"/>
  <c r="AU138" i="17" s="1"/>
  <c r="AX101" i="17"/>
  <c r="AV251" i="17"/>
  <c r="AV99" i="17"/>
  <c r="AW147" i="17"/>
  <c r="AV213" i="17"/>
  <c r="AV62" i="17"/>
  <c r="AW193" i="17"/>
  <c r="AV175" i="17"/>
  <c r="AW51" i="17"/>
  <c r="AW241" i="17"/>
  <c r="AV273" i="17"/>
  <c r="AV234" i="17"/>
  <c r="AU234" i="17" s="1"/>
  <c r="AV197" i="17"/>
  <c r="AV159" i="17"/>
  <c r="AV121" i="17"/>
  <c r="AV83" i="17"/>
  <c r="AV46" i="17"/>
  <c r="AU46" i="17" s="1"/>
  <c r="AW75" i="17"/>
  <c r="AZ119" i="17"/>
  <c r="AY167" i="17"/>
  <c r="AW215" i="17"/>
  <c r="AW261" i="17"/>
  <c r="AV270" i="17"/>
  <c r="AU270" i="17" s="1"/>
  <c r="AV233" i="17"/>
  <c r="AV195" i="17"/>
  <c r="AV155" i="17"/>
  <c r="AV118" i="17"/>
  <c r="AU118" i="17" s="1"/>
  <c r="AV81" i="17"/>
  <c r="AV42" i="17"/>
  <c r="AU42" i="17" s="1"/>
  <c r="AW77" i="17"/>
  <c r="AW123" i="17"/>
  <c r="AW169" i="17"/>
  <c r="AZ215" i="17"/>
  <c r="AW263" i="17"/>
  <c r="AV254" i="17"/>
  <c r="AV217" i="17"/>
  <c r="AV177" i="17"/>
  <c r="AV139" i="17"/>
  <c r="AV102" i="17"/>
  <c r="AU102" i="17" s="1"/>
  <c r="AV63" i="17"/>
  <c r="AX50" i="17"/>
  <c r="AY95" i="17"/>
  <c r="AY143" i="17"/>
  <c r="AW191" i="17"/>
  <c r="AH114" i="17"/>
  <c r="AY281" i="17"/>
  <c r="AW273" i="17"/>
  <c r="AW265" i="17"/>
  <c r="AW257" i="17"/>
  <c r="AW247" i="17"/>
  <c r="AX239" i="17"/>
  <c r="AZ227" i="17"/>
  <c r="AX221" i="17"/>
  <c r="AW213" i="17"/>
  <c r="AX203" i="17"/>
  <c r="AX194" i="17"/>
  <c r="AW187" i="17"/>
  <c r="AW177" i="17"/>
  <c r="AZ167" i="17"/>
  <c r="AW161" i="17"/>
  <c r="AY149" i="17"/>
  <c r="AX143" i="17"/>
  <c r="AX134" i="17"/>
  <c r="AW125" i="17"/>
  <c r="AX116" i="17"/>
  <c r="AZ107" i="17"/>
  <c r="AX98" i="17"/>
  <c r="AY89" i="17"/>
  <c r="AW81" i="17"/>
  <c r="AY71" i="17"/>
  <c r="AW65" i="17"/>
  <c r="AW55" i="17"/>
  <c r="AW47" i="17"/>
  <c r="AV36" i="17"/>
  <c r="AU36" i="17" s="1"/>
  <c r="AV43" i="17"/>
  <c r="AV51" i="17"/>
  <c r="AV58" i="17"/>
  <c r="AU58" i="17" s="1"/>
  <c r="AV65" i="17"/>
  <c r="AV73" i="17"/>
  <c r="AV79" i="17"/>
  <c r="AV86" i="17"/>
  <c r="AV94" i="17"/>
  <c r="AU94" i="17" s="1"/>
  <c r="AV101" i="17"/>
  <c r="AV107" i="17"/>
  <c r="AV115" i="17"/>
  <c r="AV122" i="17"/>
  <c r="AV129" i="17"/>
  <c r="AV137" i="17"/>
  <c r="AV143" i="17"/>
  <c r="AV150" i="17"/>
  <c r="AU150" i="17" s="1"/>
  <c r="AV158" i="17"/>
  <c r="AV165" i="17"/>
  <c r="AV171" i="17"/>
  <c r="AV179" i="17"/>
  <c r="AV186" i="17"/>
  <c r="AU186" i="17" s="1"/>
  <c r="AV193" i="17"/>
  <c r="AV201" i="17"/>
  <c r="AV207" i="17"/>
  <c r="AV214" i="17"/>
  <c r="AU214" i="17" s="1"/>
  <c r="AV222" i="17"/>
  <c r="AU222" i="17" s="1"/>
  <c r="AV229" i="17"/>
  <c r="AV235" i="17"/>
  <c r="AV243" i="17"/>
  <c r="AV250" i="17"/>
  <c r="AU250" i="17" s="1"/>
  <c r="AV257" i="17"/>
  <c r="AV265" i="17"/>
  <c r="AV271" i="17"/>
  <c r="AV278" i="17"/>
  <c r="AV286" i="17"/>
  <c r="AU286" i="17" s="1"/>
  <c r="AW281" i="17"/>
  <c r="AW269" i="17"/>
  <c r="AY257" i="17"/>
  <c r="AY245" i="17"/>
  <c r="AY233" i="17"/>
  <c r="AW223" i="17"/>
  <c r="AX209" i="17"/>
  <c r="AW199" i="17"/>
  <c r="AX188" i="17"/>
  <c r="AW175" i="17"/>
  <c r="AX164" i="17"/>
  <c r="AW155" i="17"/>
  <c r="AX140" i="17"/>
  <c r="AW129" i="17"/>
  <c r="AW119" i="17"/>
  <c r="AW105" i="17"/>
  <c r="AX95" i="17"/>
  <c r="AY83" i="17"/>
  <c r="AW71" i="17"/>
  <c r="AX59" i="17"/>
  <c r="AW49" i="17"/>
  <c r="AV37" i="17"/>
  <c r="AV47" i="17"/>
  <c r="AV57" i="17"/>
  <c r="AV67" i="17"/>
  <c r="AV75" i="17"/>
  <c r="AV85" i="17"/>
  <c r="AV95" i="17"/>
  <c r="AV105" i="17"/>
  <c r="AV113" i="17"/>
  <c r="AV123" i="17"/>
  <c r="AV133" i="17"/>
  <c r="AV142" i="17"/>
  <c r="AU142" i="17" s="1"/>
  <c r="AV153" i="17"/>
  <c r="AV161" i="17"/>
  <c r="AV170" i="17"/>
  <c r="AV181" i="17"/>
  <c r="AV190" i="17"/>
  <c r="AU190" i="17" s="1"/>
  <c r="AV198" i="17"/>
  <c r="AU198" i="17" s="1"/>
  <c r="AV209" i="17"/>
  <c r="AV218" i="17"/>
  <c r="AV227" i="17"/>
  <c r="AV238" i="17"/>
  <c r="AU238" i="17" s="1"/>
  <c r="AV246" i="17"/>
  <c r="AU246" i="17" s="1"/>
  <c r="AV255" i="17"/>
  <c r="AV266" i="17"/>
  <c r="AV275" i="17"/>
  <c r="AV283" i="17"/>
  <c r="AX278" i="17"/>
  <c r="AW267" i="17"/>
  <c r="AW253" i="17"/>
  <c r="AX242" i="17"/>
  <c r="AW233" i="17"/>
  <c r="AW219" i="17"/>
  <c r="AW209" i="17"/>
  <c r="AX197" i="17"/>
  <c r="AW183" i="17"/>
  <c r="AX173" i="17"/>
  <c r="AY161" i="17"/>
  <c r="AX149" i="17"/>
  <c r="AY137" i="17"/>
  <c r="AX128" i="17"/>
  <c r="AY113" i="17"/>
  <c r="AW103" i="17"/>
  <c r="AW91" i="17"/>
  <c r="AW79" i="17"/>
  <c r="AW69" i="17"/>
  <c r="AW57" i="17"/>
  <c r="AX44" i="17"/>
  <c r="AV41" i="17"/>
  <c r="AV49" i="17"/>
  <c r="AV59" i="17"/>
  <c r="AV69" i="17"/>
  <c r="AV78" i="17"/>
  <c r="AU78" i="17" s="1"/>
  <c r="AV89" i="17"/>
  <c r="AV97" i="17"/>
  <c r="AV106" i="17"/>
  <c r="AU106" i="17" s="1"/>
  <c r="AV117" i="17"/>
  <c r="AV126" i="17"/>
  <c r="AU126" i="17" s="1"/>
  <c r="AV134" i="17"/>
  <c r="AV145" i="17"/>
  <c r="AV154" i="17"/>
  <c r="AU154" i="17" s="1"/>
  <c r="AV163" i="17"/>
  <c r="AV174" i="17"/>
  <c r="AU174" i="17" s="1"/>
  <c r="AV182" i="17"/>
  <c r="AV191" i="17"/>
  <c r="AV202" i="17"/>
  <c r="AU202" i="17" s="1"/>
  <c r="AV211" i="17"/>
  <c r="AV219" i="17"/>
  <c r="AV230" i="17"/>
  <c r="AV239" i="17"/>
  <c r="AV249" i="17"/>
  <c r="AV259" i="17"/>
  <c r="AV267" i="17"/>
  <c r="AU267" i="17" s="1"/>
  <c r="AV277" i="17"/>
  <c r="AZ35" i="17"/>
  <c r="AV282" i="17"/>
  <c r="AU282" i="17" s="1"/>
  <c r="AV262" i="17"/>
  <c r="AU262" i="17" s="1"/>
  <c r="AV245" i="17"/>
  <c r="AV225" i="17"/>
  <c r="AV206" i="17"/>
  <c r="AV187" i="17"/>
  <c r="AV169" i="17"/>
  <c r="AU169" i="17" s="1"/>
  <c r="AV149" i="17"/>
  <c r="AV131" i="17"/>
  <c r="AV111" i="17"/>
  <c r="AV91" i="17"/>
  <c r="AV74" i="17"/>
  <c r="AV54" i="17"/>
  <c r="AU54" i="17" s="1"/>
  <c r="AW39" i="17"/>
  <c r="AW61" i="17"/>
  <c r="AZ83" i="17"/>
  <c r="AW109" i="17"/>
  <c r="AX131" i="17"/>
  <c r="AX155" i="17"/>
  <c r="AY179" i="17"/>
  <c r="AW203" i="17"/>
  <c r="AX227" i="17"/>
  <c r="AW249" i="17"/>
  <c r="AX272" i="17"/>
  <c r="AV281" i="17"/>
  <c r="AV261" i="17"/>
  <c r="AV241" i="17"/>
  <c r="AU241" i="17" s="1"/>
  <c r="AV223" i="17"/>
  <c r="AV203" i="17"/>
  <c r="AV185" i="17"/>
  <c r="AV166" i="17"/>
  <c r="AU166" i="17" s="1"/>
  <c r="AV147" i="17"/>
  <c r="AU147" i="17" s="1"/>
  <c r="AV127" i="17"/>
  <c r="AV110" i="17"/>
  <c r="AV90" i="17"/>
  <c r="AU90" i="17" s="1"/>
  <c r="AV70" i="17"/>
  <c r="AU70" i="17" s="1"/>
  <c r="AV53" i="17"/>
  <c r="AY41" i="17"/>
  <c r="AX65" i="17"/>
  <c r="AW89" i="17"/>
  <c r="AX110" i="17"/>
  <c r="AW135" i="17"/>
  <c r="AW157" i="17"/>
  <c r="AX182" i="17"/>
  <c r="AX206" i="17"/>
  <c r="AY227" i="17"/>
  <c r="AZ251" i="17"/>
  <c r="AY275" i="17"/>
  <c r="AH170" i="17"/>
  <c r="AG82" i="17"/>
  <c r="AH106" i="17"/>
  <c r="AG106" i="17"/>
  <c r="AH190" i="17"/>
  <c r="AG122" i="17"/>
  <c r="AH130" i="17"/>
  <c r="AG130" i="17"/>
  <c r="AW285" i="17"/>
  <c r="AX281" i="17"/>
  <c r="AW277" i="17"/>
  <c r="AW275" i="17"/>
  <c r="AY269" i="17"/>
  <c r="AX266" i="17"/>
  <c r="AX263" i="17"/>
  <c r="AW259" i="17"/>
  <c r="AW255" i="17"/>
  <c r="AY251" i="17"/>
  <c r="AX248" i="17"/>
  <c r="AW245" i="17"/>
  <c r="AZ239" i="17"/>
  <c r="AW237" i="17"/>
  <c r="AX233" i="17"/>
  <c r="AW229" i="17"/>
  <c r="AW227" i="17"/>
  <c r="AY221" i="17"/>
  <c r="AX218" i="17"/>
  <c r="AX215" i="17"/>
  <c r="AW211" i="17"/>
  <c r="AW207" i="17"/>
  <c r="AY203" i="17"/>
  <c r="AX200" i="17"/>
  <c r="AW197" i="17"/>
  <c r="AZ191" i="17"/>
  <c r="AW189" i="17"/>
  <c r="AX185" i="17"/>
  <c r="AW181" i="17"/>
  <c r="AW179" i="17"/>
  <c r="AY173" i="17"/>
  <c r="AX170" i="17"/>
  <c r="AX167" i="17"/>
  <c r="AW163" i="17"/>
  <c r="AW159" i="17"/>
  <c r="AY155" i="17"/>
  <c r="AX152" i="17"/>
  <c r="AW149" i="17"/>
  <c r="AZ143" i="17"/>
  <c r="AW141" i="17"/>
  <c r="AX137" i="17"/>
  <c r="AW133" i="17"/>
  <c r="AW131" i="17"/>
  <c r="AY125" i="17"/>
  <c r="AX122" i="17"/>
  <c r="AX119" i="17"/>
  <c r="AW115" i="17"/>
  <c r="AW111" i="17"/>
  <c r="AY107" i="17"/>
  <c r="AX104" i="17"/>
  <c r="AW101" i="17"/>
  <c r="AZ95" i="17"/>
  <c r="AW93" i="17"/>
  <c r="AX89" i="17"/>
  <c r="AW85" i="17"/>
  <c r="AW83" i="17"/>
  <c r="AY77" i="17"/>
  <c r="AX74" i="17"/>
  <c r="AX71" i="17"/>
  <c r="AW67" i="17"/>
  <c r="AW63" i="17"/>
  <c r="AY59" i="17"/>
  <c r="AX56" i="17"/>
  <c r="AW53" i="17"/>
  <c r="AZ47" i="17"/>
  <c r="AW45" i="17"/>
  <c r="AX41" i="17"/>
  <c r="AW37" i="17"/>
  <c r="AV39" i="17"/>
  <c r="AX284" i="17"/>
  <c r="AW279" i="17"/>
  <c r="AX275" i="17"/>
  <c r="AX269" i="17"/>
  <c r="AZ263" i="17"/>
  <c r="AX260" i="17"/>
  <c r="AX254" i="17"/>
  <c r="AW251" i="17"/>
  <c r="AX245" i="17"/>
  <c r="AY239" i="17"/>
  <c r="AW235" i="17"/>
  <c r="AX230" i="17"/>
  <c r="AW225" i="17"/>
  <c r="AW221" i="17"/>
  <c r="AY215" i="17"/>
  <c r="AY209" i="17"/>
  <c r="AW205" i="17"/>
  <c r="AW201" i="17"/>
  <c r="AW195" i="17"/>
  <c r="AX191" i="17"/>
  <c r="AY185" i="17"/>
  <c r="AZ179" i="17"/>
  <c r="AX176" i="17"/>
  <c r="AW171" i="17"/>
  <c r="AW167" i="17"/>
  <c r="AX161" i="17"/>
  <c r="AZ155" i="17"/>
  <c r="AW151" i="17"/>
  <c r="AX146" i="17"/>
  <c r="AW143" i="17"/>
  <c r="AW137" i="17"/>
  <c r="AY131" i="17"/>
  <c r="AW127" i="17"/>
  <c r="AW121" i="17"/>
  <c r="AW117" i="17"/>
  <c r="AW113" i="17"/>
  <c r="AX107" i="17"/>
  <c r="AY101" i="17"/>
  <c r="AW97" i="17"/>
  <c r="AX92" i="17"/>
  <c r="AW87" i="17"/>
  <c r="AX83" i="17"/>
  <c r="AX77" i="17"/>
  <c r="AZ71" i="17"/>
  <c r="AX68" i="17"/>
  <c r="AX62" i="17"/>
  <c r="AW59" i="17"/>
  <c r="AX53" i="17"/>
  <c r="AY47" i="17"/>
  <c r="AW43" i="17"/>
  <c r="AX38" i="17"/>
  <c r="AV40" i="17"/>
  <c r="AU40" i="17" s="1"/>
  <c r="AV44" i="17"/>
  <c r="AV48" i="17"/>
  <c r="AU48" i="17" s="1"/>
  <c r="AV52" i="17"/>
  <c r="AU52" i="17" s="1"/>
  <c r="AV56" i="17"/>
  <c r="AV60" i="17"/>
  <c r="AU60" i="17" s="1"/>
  <c r="AV64" i="17"/>
  <c r="AU64" i="17" s="1"/>
  <c r="AV68" i="17"/>
  <c r="AU68" i="17" s="1"/>
  <c r="AV72" i="17"/>
  <c r="AU72" i="17" s="1"/>
  <c r="AV76" i="17"/>
  <c r="AU76" i="17" s="1"/>
  <c r="AV80" i="17"/>
  <c r="AV84" i="17"/>
  <c r="AU84" i="17" s="1"/>
  <c r="AV88" i="17"/>
  <c r="AU88" i="17" s="1"/>
  <c r="AV92" i="17"/>
  <c r="AV96" i="17"/>
  <c r="AU96" i="17" s="1"/>
  <c r="AV100" i="17"/>
  <c r="AU100" i="17" s="1"/>
  <c r="AV104" i="17"/>
  <c r="AV108" i="17"/>
  <c r="AU108" i="17" s="1"/>
  <c r="AV112" i="17"/>
  <c r="AU112" i="17" s="1"/>
  <c r="AV116" i="17"/>
  <c r="AU116" i="17" s="1"/>
  <c r="AV120" i="17"/>
  <c r="AU120" i="17" s="1"/>
  <c r="AV124" i="17"/>
  <c r="AU124" i="17" s="1"/>
  <c r="AV128" i="17"/>
  <c r="AV132" i="17"/>
  <c r="AU132" i="17" s="1"/>
  <c r="AV136" i="17"/>
  <c r="AU136" i="17" s="1"/>
  <c r="AV140" i="17"/>
  <c r="AV144" i="17"/>
  <c r="AU144" i="17" s="1"/>
  <c r="AV148" i="17"/>
  <c r="AU148" i="17" s="1"/>
  <c r="AV152" i="17"/>
  <c r="AU152" i="17" s="1"/>
  <c r="AV156" i="17"/>
  <c r="AU156" i="17" s="1"/>
  <c r="AV160" i="17"/>
  <c r="AU160" i="17" s="1"/>
  <c r="AV164" i="17"/>
  <c r="AU164" i="17" s="1"/>
  <c r="AV168" i="17"/>
  <c r="AU168" i="17" s="1"/>
  <c r="AV172" i="17"/>
  <c r="AU172" i="17" s="1"/>
  <c r="AV176" i="17"/>
  <c r="AV180" i="17"/>
  <c r="AU180" i="17" s="1"/>
  <c r="AV184" i="17"/>
  <c r="AU184" i="17" s="1"/>
  <c r="AV188" i="17"/>
  <c r="AV192" i="17"/>
  <c r="AU192" i="17" s="1"/>
  <c r="AV196" i="17"/>
  <c r="AU196" i="17" s="1"/>
  <c r="AV200" i="17"/>
  <c r="AV204" i="17"/>
  <c r="AU204" i="17" s="1"/>
  <c r="AV208" i="17"/>
  <c r="AU208" i="17" s="1"/>
  <c r="AV212" i="17"/>
  <c r="AV216" i="17"/>
  <c r="AU216" i="17" s="1"/>
  <c r="AV220" i="17"/>
  <c r="AU220" i="17" s="1"/>
  <c r="AV224" i="17"/>
  <c r="AV228" i="17"/>
  <c r="AU228" i="17" s="1"/>
  <c r="AV232" i="17"/>
  <c r="AU232" i="17" s="1"/>
  <c r="AV236" i="17"/>
  <c r="AU236" i="17" s="1"/>
  <c r="AV240" i="17"/>
  <c r="AU240" i="17" s="1"/>
  <c r="AV244" i="17"/>
  <c r="AU244" i="17" s="1"/>
  <c r="AV248" i="17"/>
  <c r="AV252" i="17"/>
  <c r="AU252" i="17" s="1"/>
  <c r="AV256" i="17"/>
  <c r="AU256" i="17" s="1"/>
  <c r="AV260" i="17"/>
  <c r="AV264" i="17"/>
  <c r="AU264" i="17" s="1"/>
  <c r="AV268" i="17"/>
  <c r="AU268" i="17" s="1"/>
  <c r="AV272" i="17"/>
  <c r="AU272" i="17" s="1"/>
  <c r="AV276" i="17"/>
  <c r="AU276" i="17" s="1"/>
  <c r="AV280" i="17"/>
  <c r="AU280" i="17" s="1"/>
  <c r="AV284" i="17"/>
  <c r="AU284" i="17" s="1"/>
  <c r="AV285" i="17"/>
  <c r="AV279" i="17"/>
  <c r="AV274" i="17"/>
  <c r="AU274" i="17" s="1"/>
  <c r="AV269" i="17"/>
  <c r="AV263" i="17"/>
  <c r="AV258" i="17"/>
  <c r="AU258" i="17" s="1"/>
  <c r="AV253" i="17"/>
  <c r="AU253" i="17" s="1"/>
  <c r="AV247" i="17"/>
  <c r="AV242" i="17"/>
  <c r="AU242" i="17" s="1"/>
  <c r="AV237" i="17"/>
  <c r="AV231" i="17"/>
  <c r="AV226" i="17"/>
  <c r="AU226" i="17" s="1"/>
  <c r="AV221" i="17"/>
  <c r="AV215" i="17"/>
  <c r="AV210" i="17"/>
  <c r="AU210" i="17" s="1"/>
  <c r="AV205" i="17"/>
  <c r="AU205" i="17" s="1"/>
  <c r="AV199" i="17"/>
  <c r="AV194" i="17"/>
  <c r="AU194" i="17" s="1"/>
  <c r="AV189" i="17"/>
  <c r="AV183" i="17"/>
  <c r="AV178" i="17"/>
  <c r="AU178" i="17" s="1"/>
  <c r="AV173" i="17"/>
  <c r="AV167" i="17"/>
  <c r="AV162" i="17"/>
  <c r="AU162" i="17" s="1"/>
  <c r="AV157" i="17"/>
  <c r="AV151" i="17"/>
  <c r="AV146" i="17"/>
  <c r="AV141" i="17"/>
  <c r="AV135" i="17"/>
  <c r="AV130" i="17"/>
  <c r="AU130" i="17" s="1"/>
  <c r="AV125" i="17"/>
  <c r="AV119" i="17"/>
  <c r="AV114" i="17"/>
  <c r="AU114" i="17" s="1"/>
  <c r="AV109" i="17"/>
  <c r="AV103" i="17"/>
  <c r="AV98" i="17"/>
  <c r="AV93" i="17"/>
  <c r="AV87" i="17"/>
  <c r="AV82" i="17"/>
  <c r="AU82" i="17" s="1"/>
  <c r="AV77" i="17"/>
  <c r="AV71" i="17"/>
  <c r="AV66" i="17"/>
  <c r="AU66" i="17" s="1"/>
  <c r="AV61" i="17"/>
  <c r="AU61" i="17" s="1"/>
  <c r="AV55" i="17"/>
  <c r="AU55" i="17" s="1"/>
  <c r="AV50" i="17"/>
  <c r="AU50" i="17" s="1"/>
  <c r="AV45" i="17"/>
  <c r="AV38" i="17"/>
  <c r="AW41" i="17"/>
  <c r="AX47" i="17"/>
  <c r="AY53" i="17"/>
  <c r="AZ59" i="17"/>
  <c r="AY65" i="17"/>
  <c r="AW73" i="17"/>
  <c r="AX80" i="17"/>
  <c r="AX86" i="17"/>
  <c r="AW95" i="17"/>
  <c r="AW99" i="17"/>
  <c r="AW107" i="17"/>
  <c r="AX113" i="17"/>
  <c r="AY119" i="17"/>
  <c r="AX125" i="17"/>
  <c r="AZ131" i="17"/>
  <c r="AW139" i="17"/>
  <c r="AW145" i="17"/>
  <c r="AW153" i="17"/>
  <c r="AX158" i="17"/>
  <c r="AW165" i="17"/>
  <c r="AW173" i="17"/>
  <c r="AX179" i="17"/>
  <c r="AW185" i="17"/>
  <c r="AY191" i="17"/>
  <c r="AY197" i="17"/>
  <c r="AZ203" i="17"/>
  <c r="AX212" i="17"/>
  <c r="AW217" i="17"/>
  <c r="AX224" i="17"/>
  <c r="AW231" i="17"/>
  <c r="AW239" i="17"/>
  <c r="AW243" i="17"/>
  <c r="AX251" i="17"/>
  <c r="AX257" i="17"/>
  <c r="AY263" i="17"/>
  <c r="AW271" i="17"/>
  <c r="AZ275" i="17"/>
  <c r="AW283" i="17"/>
  <c r="AH138" i="17"/>
  <c r="AH206" i="17"/>
  <c r="AG98" i="17"/>
  <c r="AG116" i="17"/>
  <c r="AH154" i="17"/>
  <c r="AH222" i="17"/>
  <c r="AG90" i="17"/>
  <c r="AG79" i="17"/>
  <c r="AG86" i="17"/>
  <c r="AG102" i="17"/>
  <c r="AG124" i="17"/>
  <c r="AH146" i="17"/>
  <c r="AH178" i="17"/>
  <c r="AH214" i="17"/>
  <c r="AG94" i="17"/>
  <c r="AG110" i="17"/>
  <c r="AH118" i="17"/>
  <c r="AH132" i="17"/>
  <c r="AH162" i="17"/>
  <c r="AH198" i="17"/>
  <c r="B24" i="17"/>
  <c r="AG81" i="17"/>
  <c r="AG92" i="17"/>
  <c r="AG100" i="17"/>
  <c r="AG108" i="17"/>
  <c r="AG120" i="17"/>
  <c r="AH131" i="17"/>
  <c r="AH150" i="17"/>
  <c r="AH166" i="17"/>
  <c r="AH186" i="17"/>
  <c r="AH202" i="17"/>
  <c r="AH218" i="17"/>
  <c r="AC29" i="17"/>
  <c r="AG85" i="17"/>
  <c r="AG88" i="17"/>
  <c r="AG96" i="17"/>
  <c r="AG104" i="17"/>
  <c r="AG112" i="17"/>
  <c r="AH125" i="17"/>
  <c r="AH137" i="17"/>
  <c r="AH142" i="17"/>
  <c r="AH158" i="17"/>
  <c r="AH174" i="17"/>
  <c r="AH194" i="17"/>
  <c r="AH210" i="17"/>
  <c r="AH226" i="17"/>
  <c r="AV34" i="17"/>
  <c r="AU34" i="17" s="1"/>
  <c r="AV30" i="17"/>
  <c r="AU30" i="17" s="1"/>
  <c r="AV26" i="17"/>
  <c r="AW29" i="17"/>
  <c r="AW25" i="17"/>
  <c r="AX35" i="17"/>
  <c r="AH78" i="17"/>
  <c r="AH129" i="17"/>
  <c r="AG140" i="17"/>
  <c r="AG144" i="17"/>
  <c r="AG148" i="17"/>
  <c r="AG152" i="17"/>
  <c r="AG156" i="17"/>
  <c r="AG160" i="17"/>
  <c r="AG164" i="17"/>
  <c r="AG168" i="17"/>
  <c r="AG172" i="17"/>
  <c r="AG176" i="17"/>
  <c r="AH184" i="17"/>
  <c r="AH192" i="17"/>
  <c r="AH200" i="17"/>
  <c r="AH208" i="17"/>
  <c r="AH216" i="17"/>
  <c r="AH224" i="17"/>
  <c r="AN24" i="17"/>
  <c r="AM24" i="17" s="1"/>
  <c r="AR35" i="17"/>
  <c r="AV33" i="17"/>
  <c r="AV29" i="17"/>
  <c r="AV25" i="17"/>
  <c r="AU25" i="17" s="1"/>
  <c r="AW31" i="17"/>
  <c r="AX26" i="17"/>
  <c r="AY29" i="17"/>
  <c r="AO25" i="17"/>
  <c r="AV32" i="17"/>
  <c r="AV28" i="17"/>
  <c r="AU28" i="17" s="1"/>
  <c r="AV24" i="17"/>
  <c r="AU24" i="17" s="1"/>
  <c r="AW33" i="17"/>
  <c r="AX29" i="17"/>
  <c r="AY35" i="17"/>
  <c r="AH80" i="17"/>
  <c r="AH133" i="17"/>
  <c r="AH188" i="17"/>
  <c r="AH196" i="17"/>
  <c r="AH204" i="17"/>
  <c r="AH212" i="17"/>
  <c r="AH220" i="17"/>
  <c r="AH228" i="17"/>
  <c r="AP26" i="17"/>
  <c r="AV35" i="17"/>
  <c r="AV31" i="17"/>
  <c r="AU31" i="17" s="1"/>
  <c r="AV27" i="17"/>
  <c r="AW27" i="17"/>
  <c r="AW35" i="17"/>
  <c r="AX32" i="17"/>
  <c r="AH83" i="17"/>
  <c r="AG83" i="17"/>
  <c r="AH128" i="17"/>
  <c r="AG128" i="17"/>
  <c r="AB30" i="17"/>
  <c r="A26" i="17"/>
  <c r="AA32" i="17"/>
  <c r="AD31" i="17"/>
  <c r="AD30" i="17"/>
  <c r="AH84" i="17"/>
  <c r="AG84" i="17"/>
  <c r="AH89" i="17"/>
  <c r="AG89" i="17"/>
  <c r="AH93" i="17"/>
  <c r="AG93" i="17"/>
  <c r="AH97" i="17"/>
  <c r="AG97" i="17"/>
  <c r="AH101" i="17"/>
  <c r="AG101" i="17"/>
  <c r="AH105" i="17"/>
  <c r="AG105" i="17"/>
  <c r="AH109" i="17"/>
  <c r="AG109" i="17"/>
  <c r="AH113" i="17"/>
  <c r="AG113" i="17"/>
  <c r="AH117" i="17"/>
  <c r="AG117" i="17"/>
  <c r="AH121" i="17"/>
  <c r="AG121" i="17"/>
  <c r="AH87" i="17"/>
  <c r="AG87" i="17"/>
  <c r="AH91" i="17"/>
  <c r="AG91" i="17"/>
  <c r="AH95" i="17"/>
  <c r="AG95" i="17"/>
  <c r="AH99" i="17"/>
  <c r="AG99" i="17"/>
  <c r="AH103" i="17"/>
  <c r="AG103" i="17"/>
  <c r="AH107" i="17"/>
  <c r="AG107" i="17"/>
  <c r="AH111" i="17"/>
  <c r="AG111" i="17"/>
  <c r="AH115" i="17"/>
  <c r="AG115" i="17"/>
  <c r="AH119" i="17"/>
  <c r="AG119" i="17"/>
  <c r="AH123" i="17"/>
  <c r="AG123" i="17"/>
  <c r="AH136" i="17"/>
  <c r="AG136" i="17"/>
  <c r="AG127" i="17"/>
  <c r="AH127" i="17"/>
  <c r="AG135" i="17"/>
  <c r="AH135" i="17"/>
  <c r="AG126" i="17"/>
  <c r="AG134" i="17"/>
  <c r="AH181" i="17"/>
  <c r="AG181" i="17"/>
  <c r="AG180" i="17"/>
  <c r="AH180" i="17"/>
  <c r="AH139" i="17"/>
  <c r="AG139" i="17"/>
  <c r="AH141" i="17"/>
  <c r="AG141" i="17"/>
  <c r="AH143" i="17"/>
  <c r="AG143" i="17"/>
  <c r="AH145" i="17"/>
  <c r="AG145" i="17"/>
  <c r="AH147" i="17"/>
  <c r="AG147" i="17"/>
  <c r="AH149" i="17"/>
  <c r="AG149" i="17"/>
  <c r="AH151" i="17"/>
  <c r="AG151" i="17"/>
  <c r="AH153" i="17"/>
  <c r="AG153" i="17"/>
  <c r="AH155" i="17"/>
  <c r="AG155" i="17"/>
  <c r="AH157" i="17"/>
  <c r="AG157" i="17"/>
  <c r="AH159" i="17"/>
  <c r="AG159" i="17"/>
  <c r="AH161" i="17"/>
  <c r="AG161" i="17"/>
  <c r="AH163" i="17"/>
  <c r="AG163" i="17"/>
  <c r="AH165" i="17"/>
  <c r="AG165" i="17"/>
  <c r="AH167" i="17"/>
  <c r="AG167" i="17"/>
  <c r="AH169" i="17"/>
  <c r="AG169" i="17"/>
  <c r="AH171" i="17"/>
  <c r="AG171" i="17"/>
  <c r="AH173" i="17"/>
  <c r="AG173" i="17"/>
  <c r="AH175" i="17"/>
  <c r="AG175" i="17"/>
  <c r="AH177" i="17"/>
  <c r="AG177" i="17"/>
  <c r="AG179" i="17"/>
  <c r="AH182" i="17"/>
  <c r="AG183" i="17"/>
  <c r="AG185" i="17"/>
  <c r="AG187" i="17"/>
  <c r="AG189" i="17"/>
  <c r="AG191" i="17"/>
  <c r="AG193" i="17"/>
  <c r="AG195" i="17"/>
  <c r="AG197" i="17"/>
  <c r="AG199" i="17"/>
  <c r="AG201" i="17"/>
  <c r="AG203" i="17"/>
  <c r="AG205" i="17"/>
  <c r="AG207" i="17"/>
  <c r="AG209" i="17"/>
  <c r="AG211" i="17"/>
  <c r="AG213" i="17"/>
  <c r="AG215" i="17"/>
  <c r="AG217" i="17"/>
  <c r="AG219" i="17"/>
  <c r="AG221" i="17"/>
  <c r="AG223" i="17"/>
  <c r="AG225" i="17"/>
  <c r="AG227" i="17"/>
  <c r="AG229" i="17"/>
  <c r="C23" i="15" l="1"/>
  <c r="AC30" i="18"/>
  <c r="AC32" i="24"/>
  <c r="AB33" i="24"/>
  <c r="AE32" i="24"/>
  <c r="AF32" i="24" s="1"/>
  <c r="AG32" i="24" s="1"/>
  <c r="AH31" i="24"/>
  <c r="AG31" i="24"/>
  <c r="AA35" i="24"/>
  <c r="AD34" i="24"/>
  <c r="F25" i="24"/>
  <c r="A30" i="24"/>
  <c r="B29" i="24"/>
  <c r="AC31" i="22"/>
  <c r="AG30" i="22"/>
  <c r="A28" i="22"/>
  <c r="B27" i="22"/>
  <c r="AD32" i="22"/>
  <c r="AB32" i="22"/>
  <c r="AA33" i="22"/>
  <c r="AE31" i="22"/>
  <c r="AF31" i="22" s="1"/>
  <c r="A90" i="17"/>
  <c r="B89" i="17"/>
  <c r="AC30" i="20"/>
  <c r="AE30" i="20"/>
  <c r="AF30" i="20" s="1"/>
  <c r="AG30" i="20" s="1"/>
  <c r="AB31" i="20"/>
  <c r="B25" i="20"/>
  <c r="A26" i="20"/>
  <c r="BH26" i="20" s="1"/>
  <c r="AA33" i="20"/>
  <c r="AD32" i="20"/>
  <c r="AA33" i="18"/>
  <c r="AD32" i="18"/>
  <c r="A27" i="18"/>
  <c r="B26" i="18"/>
  <c r="AE30" i="18"/>
  <c r="AF30" i="18" s="1"/>
  <c r="AB31" i="18"/>
  <c r="AU215" i="17"/>
  <c r="AL24" i="17"/>
  <c r="C24" i="17" s="1"/>
  <c r="D24" i="17" s="1"/>
  <c r="AU45" i="17"/>
  <c r="AU87" i="17"/>
  <c r="AU237" i="17"/>
  <c r="AU187" i="17"/>
  <c r="AU183" i="17"/>
  <c r="AU247" i="17"/>
  <c r="AU33" i="17"/>
  <c r="AU109" i="17"/>
  <c r="AU261" i="17"/>
  <c r="AU75" i="17"/>
  <c r="AU71" i="17"/>
  <c r="AU221" i="17"/>
  <c r="AU151" i="17"/>
  <c r="AU157" i="17"/>
  <c r="AU285" i="17"/>
  <c r="AU265" i="17"/>
  <c r="AU119" i="17"/>
  <c r="AU188" i="17"/>
  <c r="AU140" i="17"/>
  <c r="AU44" i="17"/>
  <c r="AU248" i="17"/>
  <c r="AU56" i="17"/>
  <c r="AU98" i="17"/>
  <c r="AU224" i="17"/>
  <c r="AU176" i="17"/>
  <c r="AU128" i="17"/>
  <c r="AU80" i="17"/>
  <c r="AU281" i="17"/>
  <c r="AU182" i="17"/>
  <c r="AU29" i="17"/>
  <c r="AU38" i="17"/>
  <c r="AU125" i="17"/>
  <c r="AU146" i="17"/>
  <c r="AU200" i="17"/>
  <c r="AU104" i="17"/>
  <c r="AU26" i="17"/>
  <c r="AU260" i="17"/>
  <c r="AU212" i="17"/>
  <c r="AU110" i="17"/>
  <c r="AU230" i="17"/>
  <c r="AU191" i="17"/>
  <c r="AU266" i="17"/>
  <c r="AU158" i="17"/>
  <c r="AU254" i="17"/>
  <c r="AU206" i="17"/>
  <c r="AU218" i="17"/>
  <c r="AU122" i="17"/>
  <c r="AU32" i="17"/>
  <c r="AU77" i="17"/>
  <c r="AU92" i="17"/>
  <c r="AU74" i="17"/>
  <c r="AU134" i="17"/>
  <c r="AU170" i="17"/>
  <c r="AU257" i="17"/>
  <c r="AU86" i="17"/>
  <c r="AU62" i="17"/>
  <c r="AU161" i="17"/>
  <c r="AU278" i="17"/>
  <c r="AU93" i="17"/>
  <c r="AU173" i="17"/>
  <c r="AU199" i="17"/>
  <c r="AU103" i="17"/>
  <c r="AU135" i="17"/>
  <c r="AU105" i="17"/>
  <c r="AU269" i="17"/>
  <c r="AU279" i="17"/>
  <c r="AU141" i="17"/>
  <c r="AU189" i="17"/>
  <c r="AU231" i="17"/>
  <c r="AU39" i="17"/>
  <c r="AU91" i="17"/>
  <c r="AU49" i="17"/>
  <c r="AU193" i="17"/>
  <c r="AU185" i="17"/>
  <c r="AU111" i="17"/>
  <c r="AU117" i="17"/>
  <c r="AU41" i="17"/>
  <c r="AU227" i="17"/>
  <c r="AU153" i="17"/>
  <c r="AU113" i="17"/>
  <c r="AU37" i="17"/>
  <c r="AU271" i="17"/>
  <c r="AU243" i="17"/>
  <c r="AU129" i="17"/>
  <c r="AU101" i="17"/>
  <c r="AU73" i="17"/>
  <c r="AU43" i="17"/>
  <c r="AU197" i="17"/>
  <c r="AU251" i="17"/>
  <c r="AU53" i="17"/>
  <c r="AU127" i="17"/>
  <c r="AU259" i="17"/>
  <c r="AU219" i="17"/>
  <c r="AU145" i="17"/>
  <c r="AU69" i="17"/>
  <c r="AU255" i="17"/>
  <c r="AU181" i="17"/>
  <c r="AU67" i="17"/>
  <c r="AU235" i="17"/>
  <c r="AU207" i="17"/>
  <c r="AU65" i="17"/>
  <c r="AU139" i="17"/>
  <c r="AU175" i="17"/>
  <c r="AU27" i="17"/>
  <c r="AU35" i="17"/>
  <c r="AU223" i="17"/>
  <c r="AU149" i="17"/>
  <c r="AU225" i="17"/>
  <c r="AU249" i="17"/>
  <c r="AU211" i="17"/>
  <c r="AU97" i="17"/>
  <c r="AU283" i="17"/>
  <c r="AU209" i="17"/>
  <c r="AU133" i="17"/>
  <c r="AU57" i="17"/>
  <c r="AU229" i="17"/>
  <c r="AU201" i="17"/>
  <c r="AU171" i="17"/>
  <c r="AU115" i="17"/>
  <c r="AU177" i="17"/>
  <c r="AU195" i="17"/>
  <c r="AU121" i="17"/>
  <c r="AU273" i="17"/>
  <c r="AU245" i="17"/>
  <c r="AU277" i="17"/>
  <c r="AU163" i="17"/>
  <c r="AU89" i="17"/>
  <c r="AU123" i="17"/>
  <c r="AU85" i="17"/>
  <c r="AU165" i="17"/>
  <c r="AU137" i="17"/>
  <c r="AU79" i="17"/>
  <c r="AU51" i="17"/>
  <c r="AU63" i="17"/>
  <c r="AU217" i="17"/>
  <c r="AU81" i="17"/>
  <c r="AU233" i="17"/>
  <c r="AU159" i="17"/>
  <c r="AU213" i="17"/>
  <c r="AU99" i="17"/>
  <c r="AU263" i="17"/>
  <c r="AU83" i="17"/>
  <c r="AU203" i="17"/>
  <c r="AU179" i="17"/>
  <c r="AU59" i="17"/>
  <c r="AU95" i="17"/>
  <c r="AU143" i="17"/>
  <c r="AU131" i="17"/>
  <c r="AU155" i="17"/>
  <c r="AU167" i="17"/>
  <c r="AU239" i="17"/>
  <c r="AU275" i="17"/>
  <c r="AU47" i="17"/>
  <c r="AU107" i="17"/>
  <c r="AE30" i="17"/>
  <c r="AF30" i="17" s="1"/>
  <c r="AG30" i="17" s="1"/>
  <c r="AC30" i="17"/>
  <c r="AA33" i="17"/>
  <c r="AD32" i="17"/>
  <c r="AB31" i="17"/>
  <c r="A27" i="17"/>
  <c r="B26" i="17"/>
  <c r="AG437" i="15"/>
  <c r="AG436" i="15"/>
  <c r="AG435" i="15"/>
  <c r="AG434" i="15"/>
  <c r="AG433" i="15"/>
  <c r="AG432" i="15"/>
  <c r="AG431" i="15"/>
  <c r="AG430" i="15"/>
  <c r="AG429" i="15"/>
  <c r="AG428" i="15"/>
  <c r="AD420" i="15"/>
  <c r="AD419" i="15"/>
  <c r="AD418" i="15"/>
  <c r="AD417" i="15"/>
  <c r="AD416" i="15"/>
  <c r="AD415" i="15"/>
  <c r="AD414" i="15"/>
  <c r="AD413" i="15"/>
  <c r="AD412" i="15"/>
  <c r="AD411" i="15"/>
  <c r="AD410" i="15"/>
  <c r="AD409" i="15"/>
  <c r="AD408" i="15"/>
  <c r="AD407" i="15"/>
  <c r="AD406" i="15"/>
  <c r="AD405" i="15"/>
  <c r="AD404" i="15"/>
  <c r="AD403" i="15"/>
  <c r="AD402" i="15"/>
  <c r="AD401" i="15"/>
  <c r="AD400" i="15"/>
  <c r="AD399" i="15"/>
  <c r="AD398" i="15"/>
  <c r="AD397" i="15"/>
  <c r="AD396" i="15"/>
  <c r="AD395" i="15"/>
  <c r="AD394" i="15"/>
  <c r="AD393" i="15"/>
  <c r="AD392" i="15"/>
  <c r="AD391" i="15"/>
  <c r="AD390" i="15"/>
  <c r="AD389" i="15"/>
  <c r="AD388" i="15"/>
  <c r="AD387" i="15"/>
  <c r="AD386" i="15"/>
  <c r="AD385" i="15"/>
  <c r="AD384" i="15"/>
  <c r="AD383" i="15"/>
  <c r="AD382" i="15"/>
  <c r="AD381" i="15"/>
  <c r="AD380" i="15"/>
  <c r="AD379" i="15"/>
  <c r="AD378" i="15"/>
  <c r="AD377" i="15"/>
  <c r="AD376" i="15"/>
  <c r="AD375" i="15"/>
  <c r="AD374" i="15"/>
  <c r="AD373" i="15"/>
  <c r="AD372" i="15"/>
  <c r="AD371" i="15"/>
  <c r="AD370" i="15"/>
  <c r="AD369" i="15"/>
  <c r="AD368" i="15"/>
  <c r="AD367" i="15"/>
  <c r="AD366" i="15"/>
  <c r="AD365" i="15"/>
  <c r="AD364" i="15"/>
  <c r="AD363" i="15"/>
  <c r="AD362" i="15"/>
  <c r="AD361" i="15"/>
  <c r="AD360" i="15"/>
  <c r="AD359" i="15"/>
  <c r="AD358" i="15"/>
  <c r="AD357" i="15"/>
  <c r="AD356" i="15"/>
  <c r="AD355" i="15"/>
  <c r="AD354" i="15"/>
  <c r="AG353" i="15"/>
  <c r="AD353" i="15"/>
  <c r="AG352" i="15"/>
  <c r="AD352" i="15"/>
  <c r="AG351" i="15"/>
  <c r="AD351" i="15"/>
  <c r="AG350" i="15"/>
  <c r="AD350" i="15"/>
  <c r="AG349" i="15"/>
  <c r="AD349" i="15"/>
  <c r="AG348" i="15"/>
  <c r="AD348" i="15"/>
  <c r="AG347" i="15"/>
  <c r="AD347" i="15"/>
  <c r="AG346" i="15"/>
  <c r="AD346" i="15"/>
  <c r="AG345" i="15"/>
  <c r="AD345" i="15"/>
  <c r="AG344" i="15"/>
  <c r="AD344" i="15"/>
  <c r="AG343" i="15"/>
  <c r="AD343" i="15"/>
  <c r="AG342" i="15"/>
  <c r="AD342" i="15"/>
  <c r="AG341" i="15"/>
  <c r="AD341" i="15"/>
  <c r="AG340" i="15"/>
  <c r="AD340" i="15"/>
  <c r="AG339" i="15"/>
  <c r="AD339" i="15"/>
  <c r="AG338" i="15"/>
  <c r="AD338" i="15"/>
  <c r="AG337" i="15"/>
  <c r="AD337" i="15"/>
  <c r="AG336" i="15"/>
  <c r="AD336" i="15"/>
  <c r="AG335" i="15"/>
  <c r="AD335" i="15"/>
  <c r="AG334" i="15"/>
  <c r="AD334" i="15"/>
  <c r="AG333" i="15"/>
  <c r="AD333" i="15"/>
  <c r="AG332" i="15"/>
  <c r="AD332" i="15"/>
  <c r="AG331" i="15"/>
  <c r="AD331" i="15"/>
  <c r="AG330" i="15"/>
  <c r="AD330" i="15"/>
  <c r="AG329" i="15"/>
  <c r="AD329" i="15"/>
  <c r="AG328" i="15"/>
  <c r="AD328" i="15"/>
  <c r="AG327" i="15"/>
  <c r="AD327" i="15"/>
  <c r="AG326" i="15"/>
  <c r="AD326" i="15"/>
  <c r="AG325" i="15"/>
  <c r="AD325" i="15"/>
  <c r="AG324" i="15"/>
  <c r="AD324" i="15"/>
  <c r="AG323" i="15"/>
  <c r="AD323" i="15"/>
  <c r="AG322" i="15"/>
  <c r="AD322" i="15"/>
  <c r="AG321" i="15"/>
  <c r="AD321" i="15"/>
  <c r="AG320" i="15"/>
  <c r="AD320" i="15"/>
  <c r="AG319" i="15"/>
  <c r="AD319" i="15"/>
  <c r="AG318" i="15"/>
  <c r="AD318" i="15"/>
  <c r="AG317" i="15"/>
  <c r="AD317" i="15"/>
  <c r="AG316" i="15"/>
  <c r="AD316" i="15"/>
  <c r="AG315" i="15"/>
  <c r="AD315" i="15"/>
  <c r="AG314" i="15"/>
  <c r="AD314" i="15"/>
  <c r="AG313" i="15"/>
  <c r="AD313" i="15"/>
  <c r="AG312" i="15"/>
  <c r="AD312" i="15"/>
  <c r="AG311" i="15"/>
  <c r="AD311" i="15"/>
  <c r="AH310" i="15"/>
  <c r="AG310" i="15"/>
  <c r="AD310" i="15"/>
  <c r="AH309" i="15"/>
  <c r="AG309" i="15"/>
  <c r="AD309" i="15"/>
  <c r="AH308" i="15"/>
  <c r="AG308" i="15"/>
  <c r="AD308" i="15"/>
  <c r="AH307" i="15"/>
  <c r="AG307" i="15"/>
  <c r="AD307" i="15"/>
  <c r="AH306" i="15"/>
  <c r="AG306" i="15"/>
  <c r="AD306" i="15"/>
  <c r="AH305" i="15"/>
  <c r="AG305" i="15"/>
  <c r="AD305" i="15"/>
  <c r="AH304" i="15"/>
  <c r="AG304" i="15"/>
  <c r="AD304" i="15"/>
  <c r="AH303" i="15"/>
  <c r="AG303" i="15"/>
  <c r="AD303" i="15"/>
  <c r="AH302" i="15"/>
  <c r="AG302" i="15"/>
  <c r="AD302" i="15"/>
  <c r="AH301" i="15"/>
  <c r="AG301" i="15"/>
  <c r="AD301" i="15"/>
  <c r="AH300" i="15"/>
  <c r="AG300" i="15"/>
  <c r="AD300" i="15"/>
  <c r="AH299" i="15"/>
  <c r="AG299" i="15"/>
  <c r="AD299" i="15"/>
  <c r="AH298" i="15"/>
  <c r="AG298" i="15"/>
  <c r="AD298" i="15"/>
  <c r="AH297" i="15"/>
  <c r="AG297" i="15"/>
  <c r="AD297" i="15"/>
  <c r="AH296" i="15"/>
  <c r="AG296" i="15"/>
  <c r="AD296" i="15"/>
  <c r="AH295" i="15"/>
  <c r="AG295" i="15"/>
  <c r="AD295" i="15"/>
  <c r="AH294" i="15"/>
  <c r="AG294" i="15"/>
  <c r="AD294" i="15"/>
  <c r="AH293" i="15"/>
  <c r="AG293" i="15"/>
  <c r="AD293" i="15"/>
  <c r="AH292" i="15"/>
  <c r="AG292" i="15"/>
  <c r="AD292" i="15"/>
  <c r="AH291" i="15"/>
  <c r="AG291" i="15"/>
  <c r="AD291" i="15"/>
  <c r="AH290" i="15"/>
  <c r="AG290" i="15"/>
  <c r="AD290" i="15"/>
  <c r="AH289" i="15"/>
  <c r="AG289" i="15"/>
  <c r="AD289" i="15"/>
  <c r="AH288" i="15"/>
  <c r="AG288" i="15"/>
  <c r="AD288" i="15"/>
  <c r="AH287" i="15"/>
  <c r="AG287" i="15"/>
  <c r="AD287" i="15"/>
  <c r="AH286" i="15"/>
  <c r="AG286" i="15"/>
  <c r="AD286" i="15"/>
  <c r="AH285" i="15"/>
  <c r="AG285" i="15"/>
  <c r="AD285" i="15"/>
  <c r="AH284" i="15"/>
  <c r="AG284" i="15"/>
  <c r="AD284" i="15"/>
  <c r="AH283" i="15"/>
  <c r="AG283" i="15"/>
  <c r="AD283" i="15"/>
  <c r="AH282" i="15"/>
  <c r="AG282" i="15"/>
  <c r="AD282" i="15"/>
  <c r="AH281" i="15"/>
  <c r="AG281" i="15"/>
  <c r="AD281" i="15"/>
  <c r="AH280" i="15"/>
  <c r="AG280" i="15"/>
  <c r="AD280" i="15"/>
  <c r="AH279" i="15"/>
  <c r="AG279" i="15"/>
  <c r="AD279" i="15"/>
  <c r="AH278" i="15"/>
  <c r="AG278" i="15"/>
  <c r="AD278" i="15"/>
  <c r="AH277" i="15"/>
  <c r="AG277" i="15"/>
  <c r="AD277" i="15"/>
  <c r="AH276" i="15"/>
  <c r="AG276" i="15"/>
  <c r="AD276" i="15"/>
  <c r="AH275" i="15"/>
  <c r="AG275" i="15"/>
  <c r="AD275" i="15"/>
  <c r="AH274" i="15"/>
  <c r="AG274" i="15"/>
  <c r="AD274" i="15"/>
  <c r="AH273" i="15"/>
  <c r="AG273" i="15"/>
  <c r="AD273" i="15"/>
  <c r="AH272" i="15"/>
  <c r="AG272" i="15"/>
  <c r="AD272" i="15"/>
  <c r="AH271" i="15"/>
  <c r="AG271" i="15"/>
  <c r="AD271" i="15"/>
  <c r="AH270" i="15"/>
  <c r="AG270" i="15"/>
  <c r="AD270" i="15"/>
  <c r="AH269" i="15"/>
  <c r="AG269" i="15"/>
  <c r="AD269" i="15"/>
  <c r="AH268" i="15"/>
  <c r="AG268" i="15"/>
  <c r="AD268" i="15"/>
  <c r="AH267" i="15"/>
  <c r="AG267" i="15"/>
  <c r="AD267" i="15"/>
  <c r="AH266" i="15"/>
  <c r="AG266" i="15"/>
  <c r="AD266" i="15"/>
  <c r="AH265" i="15"/>
  <c r="AG265" i="15"/>
  <c r="AD265" i="15"/>
  <c r="AH264" i="15"/>
  <c r="AG264" i="15"/>
  <c r="AD264" i="15"/>
  <c r="AH263" i="15"/>
  <c r="AG263" i="15"/>
  <c r="AD263" i="15"/>
  <c r="AH262" i="15"/>
  <c r="AG262" i="15"/>
  <c r="AD262" i="15"/>
  <c r="AH261" i="15"/>
  <c r="AG261" i="15"/>
  <c r="AD261" i="15"/>
  <c r="AH260" i="15"/>
  <c r="AG260" i="15"/>
  <c r="AD260" i="15"/>
  <c r="AH259" i="15"/>
  <c r="AG259" i="15"/>
  <c r="AD259" i="15"/>
  <c r="AH258" i="15"/>
  <c r="AG258" i="15"/>
  <c r="AD258" i="15"/>
  <c r="AH257" i="15"/>
  <c r="AG257" i="15"/>
  <c r="AD257" i="15"/>
  <c r="AH256" i="15"/>
  <c r="AG256" i="15"/>
  <c r="AD256" i="15"/>
  <c r="AH255" i="15"/>
  <c r="AG255" i="15"/>
  <c r="AD255" i="15"/>
  <c r="AH254" i="15"/>
  <c r="AG254" i="15"/>
  <c r="AD254" i="15"/>
  <c r="AH253" i="15"/>
  <c r="AG253" i="15"/>
  <c r="AD253" i="15"/>
  <c r="AH252" i="15"/>
  <c r="AG252" i="15"/>
  <c r="AD252" i="15"/>
  <c r="AH251" i="15"/>
  <c r="AG251" i="15"/>
  <c r="AD251" i="15"/>
  <c r="AH250" i="15"/>
  <c r="AG250" i="15"/>
  <c r="AD250" i="15"/>
  <c r="AH249" i="15"/>
  <c r="AG249" i="15"/>
  <c r="AD249" i="15"/>
  <c r="AH248" i="15"/>
  <c r="AG248" i="15"/>
  <c r="AD248" i="15"/>
  <c r="AH247" i="15"/>
  <c r="AG247" i="15"/>
  <c r="AD247" i="15"/>
  <c r="AH246" i="15"/>
  <c r="AG246" i="15"/>
  <c r="AD246" i="15"/>
  <c r="AH245" i="15"/>
  <c r="AG245" i="15"/>
  <c r="AH244" i="15"/>
  <c r="AG244" i="15"/>
  <c r="AC244" i="15"/>
  <c r="AH243" i="15"/>
  <c r="AG243" i="15"/>
  <c r="AC243" i="15"/>
  <c r="AH242" i="15"/>
  <c r="AG242" i="15"/>
  <c r="AC242" i="15"/>
  <c r="AH241" i="15"/>
  <c r="AG241" i="15"/>
  <c r="AC241" i="15"/>
  <c r="AH240" i="15"/>
  <c r="AG240" i="15"/>
  <c r="AC240" i="15"/>
  <c r="AH239" i="15"/>
  <c r="AG239" i="15"/>
  <c r="AC239" i="15"/>
  <c r="AH238" i="15"/>
  <c r="AG238" i="15"/>
  <c r="AC238" i="15"/>
  <c r="AH237" i="15"/>
  <c r="AG237" i="15"/>
  <c r="AC237" i="15"/>
  <c r="AH236" i="15"/>
  <c r="AG236" i="15"/>
  <c r="AC236" i="15"/>
  <c r="AH235" i="15"/>
  <c r="AG235" i="15"/>
  <c r="AC235" i="15"/>
  <c r="AH234" i="15"/>
  <c r="AG234" i="15"/>
  <c r="AC234" i="15"/>
  <c r="AH233" i="15"/>
  <c r="AG233" i="15"/>
  <c r="AC233" i="15"/>
  <c r="AH232" i="15"/>
  <c r="AG232" i="15"/>
  <c r="AC232" i="15"/>
  <c r="AH231" i="15"/>
  <c r="AG231" i="15"/>
  <c r="AC231" i="15"/>
  <c r="AH230" i="15"/>
  <c r="AG230" i="15"/>
  <c r="AC230" i="15"/>
  <c r="AF229" i="15"/>
  <c r="AC229" i="15"/>
  <c r="AF228" i="15"/>
  <c r="AH228" i="15" s="1"/>
  <c r="AC228" i="15"/>
  <c r="AF227" i="15"/>
  <c r="AH227" i="15" s="1"/>
  <c r="AC227" i="15"/>
  <c r="AF226" i="15"/>
  <c r="AG226" i="15" s="1"/>
  <c r="AC226" i="15"/>
  <c r="AF225" i="15"/>
  <c r="AH225" i="15" s="1"/>
  <c r="AC225" i="15"/>
  <c r="AF224" i="15"/>
  <c r="AH224" i="15" s="1"/>
  <c r="AC224" i="15"/>
  <c r="AF223" i="15"/>
  <c r="AC223" i="15"/>
  <c r="AF222" i="15"/>
  <c r="AH222" i="15" s="1"/>
  <c r="AC222" i="15"/>
  <c r="AF221" i="15"/>
  <c r="AC221" i="15"/>
  <c r="AF220" i="15"/>
  <c r="AG220" i="15" s="1"/>
  <c r="AC220" i="15"/>
  <c r="AF219" i="15"/>
  <c r="AC219" i="15"/>
  <c r="AF218" i="15"/>
  <c r="AH218" i="15" s="1"/>
  <c r="AC218" i="15"/>
  <c r="AF217" i="15"/>
  <c r="AC217" i="15"/>
  <c r="AF216" i="15"/>
  <c r="AC216" i="15"/>
  <c r="AF215" i="15"/>
  <c r="AH215" i="15" s="1"/>
  <c r="AC215" i="15"/>
  <c r="AF214" i="15"/>
  <c r="AG214" i="15" s="1"/>
  <c r="AC214" i="15"/>
  <c r="AF213" i="15"/>
  <c r="AC213" i="15"/>
  <c r="AF212" i="15"/>
  <c r="AH212" i="15" s="1"/>
  <c r="AC212" i="15"/>
  <c r="AF211" i="15"/>
  <c r="AC211" i="15"/>
  <c r="AF210" i="15"/>
  <c r="AG210" i="15" s="1"/>
  <c r="AC210" i="15"/>
  <c r="AF209" i="15"/>
  <c r="AC209" i="15"/>
  <c r="AF208" i="15"/>
  <c r="AH208" i="15" s="1"/>
  <c r="AC208" i="15"/>
  <c r="AF207" i="15"/>
  <c r="AC207" i="15"/>
  <c r="AF206" i="15"/>
  <c r="AC206" i="15"/>
  <c r="AF205" i="15"/>
  <c r="AC205" i="15"/>
  <c r="AF204" i="15"/>
  <c r="AH204" i="15" s="1"/>
  <c r="AC204" i="15"/>
  <c r="AF203" i="15"/>
  <c r="AC203" i="15"/>
  <c r="AF202" i="15"/>
  <c r="AC202" i="15"/>
  <c r="AF201" i="15"/>
  <c r="AH201" i="15" s="1"/>
  <c r="AC201" i="15"/>
  <c r="AF200" i="15"/>
  <c r="AG200" i="15" s="1"/>
  <c r="AC200" i="15"/>
  <c r="AF199" i="15"/>
  <c r="AH199" i="15" s="1"/>
  <c r="AC199" i="15"/>
  <c r="AF198" i="15"/>
  <c r="AH198" i="15" s="1"/>
  <c r="AC198" i="15"/>
  <c r="AF197" i="15"/>
  <c r="AC197" i="15"/>
  <c r="AF196" i="15"/>
  <c r="AC196" i="15"/>
  <c r="AF195" i="15"/>
  <c r="AH195" i="15" s="1"/>
  <c r="AC195" i="15"/>
  <c r="AF194" i="15"/>
  <c r="AG194" i="15" s="1"/>
  <c r="AC194" i="15"/>
  <c r="AF193" i="15"/>
  <c r="AH193" i="15" s="1"/>
  <c r="AC193" i="15"/>
  <c r="AF192" i="15"/>
  <c r="AH192" i="15" s="1"/>
  <c r="AC192" i="15"/>
  <c r="AF191" i="15"/>
  <c r="AC191" i="15"/>
  <c r="AF190" i="15"/>
  <c r="AC190" i="15"/>
  <c r="AF189" i="15"/>
  <c r="AC189" i="15"/>
  <c r="AF188" i="15"/>
  <c r="AH188" i="15" s="1"/>
  <c r="AC188" i="15"/>
  <c r="AF187" i="15"/>
  <c r="AC187" i="15"/>
  <c r="AF186" i="15"/>
  <c r="AC186" i="15"/>
  <c r="AF185" i="15"/>
  <c r="AH185" i="15" s="1"/>
  <c r="AC185" i="15"/>
  <c r="AF184" i="15"/>
  <c r="AG184" i="15" s="1"/>
  <c r="AC184" i="15"/>
  <c r="AF183" i="15"/>
  <c r="AH183" i="15" s="1"/>
  <c r="AC183" i="15"/>
  <c r="AF182" i="15"/>
  <c r="AH182" i="15" s="1"/>
  <c r="AC182" i="15"/>
  <c r="AF181" i="15"/>
  <c r="AC181" i="15"/>
  <c r="AF180" i="15"/>
  <c r="AC180" i="15"/>
  <c r="AF179" i="15"/>
  <c r="AC179" i="15"/>
  <c r="AF178" i="15"/>
  <c r="AH178" i="15" s="1"/>
  <c r="AC178" i="15"/>
  <c r="AF177" i="15"/>
  <c r="AC177" i="15"/>
  <c r="AF176" i="15"/>
  <c r="AC176" i="15"/>
  <c r="AF175" i="15"/>
  <c r="AH175" i="15" s="1"/>
  <c r="AC175" i="15"/>
  <c r="AF174" i="15"/>
  <c r="AG174" i="15" s="1"/>
  <c r="AC174" i="15"/>
  <c r="AF173" i="15"/>
  <c r="AC173" i="15"/>
  <c r="AF172" i="15"/>
  <c r="AH172" i="15" s="1"/>
  <c r="AC172" i="15"/>
  <c r="AF171" i="15"/>
  <c r="AC171" i="15"/>
  <c r="AF170" i="15"/>
  <c r="AG170" i="15" s="1"/>
  <c r="AC170" i="15"/>
  <c r="AF169" i="15"/>
  <c r="AH169" i="15" s="1"/>
  <c r="AC169" i="15"/>
  <c r="AF168" i="15"/>
  <c r="AH168" i="15" s="1"/>
  <c r="AC168" i="15"/>
  <c r="AF167" i="15"/>
  <c r="AH167" i="15" s="1"/>
  <c r="AC167" i="15"/>
  <c r="AF166" i="15"/>
  <c r="AH166" i="15" s="1"/>
  <c r="AC166" i="15"/>
  <c r="AF165" i="15"/>
  <c r="AC165" i="15"/>
  <c r="AF164" i="15"/>
  <c r="AG164" i="15" s="1"/>
  <c r="AC164" i="15"/>
  <c r="AF163" i="15"/>
  <c r="AH163" i="15" s="1"/>
  <c r="AC163" i="15"/>
  <c r="AF162" i="15"/>
  <c r="AH162" i="15" s="1"/>
  <c r="AC162" i="15"/>
  <c r="AF161" i="15"/>
  <c r="AH161" i="15" s="1"/>
  <c r="AC161" i="15"/>
  <c r="AF160" i="15"/>
  <c r="AH160" i="15" s="1"/>
  <c r="AC160" i="15"/>
  <c r="AF159" i="15"/>
  <c r="AC159" i="15"/>
  <c r="AF158" i="15"/>
  <c r="AC158" i="15"/>
  <c r="AF157" i="15"/>
  <c r="AC157" i="15"/>
  <c r="AF156" i="15"/>
  <c r="AG156" i="15" s="1"/>
  <c r="AC156" i="15"/>
  <c r="AF155" i="15"/>
  <c r="AC155" i="15"/>
  <c r="AF154" i="15"/>
  <c r="AC154" i="15"/>
  <c r="AF153" i="15"/>
  <c r="AH153" i="15" s="1"/>
  <c r="AC153" i="15"/>
  <c r="AF152" i="15"/>
  <c r="AG152" i="15" s="1"/>
  <c r="AC152" i="15"/>
  <c r="AF151" i="15"/>
  <c r="AC151" i="15"/>
  <c r="AF150" i="15"/>
  <c r="AH150" i="15" s="1"/>
  <c r="AC150" i="15"/>
  <c r="AF149" i="15"/>
  <c r="AC149" i="15"/>
  <c r="AF148" i="15"/>
  <c r="AG148" i="15" s="1"/>
  <c r="AC148" i="15"/>
  <c r="AF147" i="15"/>
  <c r="AH147" i="15" s="1"/>
  <c r="AC147" i="15"/>
  <c r="AF146" i="15"/>
  <c r="AH146" i="15" s="1"/>
  <c r="AC146" i="15"/>
  <c r="AF145" i="15"/>
  <c r="AH145" i="15" s="1"/>
  <c r="AC145" i="15"/>
  <c r="AF144" i="15"/>
  <c r="AH144" i="15" s="1"/>
  <c r="AC144" i="15"/>
  <c r="AF143" i="15"/>
  <c r="AC143" i="15"/>
  <c r="AF142" i="15"/>
  <c r="AC142" i="15"/>
  <c r="AF141" i="15"/>
  <c r="AC141" i="15"/>
  <c r="AF140" i="15"/>
  <c r="AG140" i="15" s="1"/>
  <c r="AC140" i="15"/>
  <c r="AF139" i="15"/>
  <c r="AH139" i="15" s="1"/>
  <c r="AC139" i="15"/>
  <c r="AF138" i="15"/>
  <c r="AH138" i="15" s="1"/>
  <c r="AC138" i="15"/>
  <c r="AF137" i="15"/>
  <c r="AH137" i="15" s="1"/>
  <c r="AC137" i="15"/>
  <c r="AF136" i="15"/>
  <c r="AG136" i="15" s="1"/>
  <c r="AC136" i="15"/>
  <c r="AF135" i="15"/>
  <c r="AH135" i="15" s="1"/>
  <c r="AC135" i="15"/>
  <c r="AF134" i="15"/>
  <c r="AH134" i="15" s="1"/>
  <c r="AC134" i="15"/>
  <c r="AF133" i="15"/>
  <c r="AC133" i="15"/>
  <c r="AF132" i="15"/>
  <c r="AG132" i="15" s="1"/>
  <c r="AC132" i="15"/>
  <c r="AF131" i="15"/>
  <c r="AH131" i="15" s="1"/>
  <c r="AC131" i="15"/>
  <c r="AF130" i="15"/>
  <c r="AH130" i="15" s="1"/>
  <c r="AC130" i="15"/>
  <c r="AF129" i="15"/>
  <c r="AC129" i="15"/>
  <c r="AF128" i="15"/>
  <c r="AC128" i="15"/>
  <c r="AF127" i="15"/>
  <c r="AC127" i="15"/>
  <c r="AH126" i="15"/>
  <c r="AF126" i="15"/>
  <c r="AG126" i="15" s="1"/>
  <c r="AC126" i="15"/>
  <c r="AF125" i="15"/>
  <c r="AC125" i="15"/>
  <c r="AF124" i="15"/>
  <c r="AG124" i="15" s="1"/>
  <c r="AC124" i="15"/>
  <c r="AF123" i="15"/>
  <c r="AC123" i="15"/>
  <c r="AF122" i="15"/>
  <c r="AH122" i="15" s="1"/>
  <c r="AC122" i="15"/>
  <c r="AF121" i="15"/>
  <c r="AC121" i="15"/>
  <c r="AF120" i="15"/>
  <c r="AH120" i="15" s="1"/>
  <c r="AC120" i="15"/>
  <c r="AF119" i="15"/>
  <c r="AG119" i="15" s="1"/>
  <c r="AC119" i="15"/>
  <c r="AF118" i="15"/>
  <c r="AH118" i="15" s="1"/>
  <c r="AC118" i="15"/>
  <c r="AF117" i="15"/>
  <c r="AG117" i="15" s="1"/>
  <c r="AC117" i="15"/>
  <c r="AF116" i="15"/>
  <c r="AG116" i="15" s="1"/>
  <c r="AC116" i="15"/>
  <c r="AF115" i="15"/>
  <c r="AC115" i="15"/>
  <c r="AF114" i="15"/>
  <c r="AC114" i="15"/>
  <c r="AF113" i="15"/>
  <c r="AG113" i="15" s="1"/>
  <c r="AC113" i="15"/>
  <c r="AF112" i="15"/>
  <c r="AG112" i="15" s="1"/>
  <c r="AC112" i="15"/>
  <c r="AF111" i="15"/>
  <c r="AC111" i="15"/>
  <c r="AF110" i="15"/>
  <c r="AH110" i="15" s="1"/>
  <c r="AC110" i="15"/>
  <c r="AF109" i="15"/>
  <c r="AG109" i="15" s="1"/>
  <c r="AC109" i="15"/>
  <c r="AF108" i="15"/>
  <c r="AC108" i="15"/>
  <c r="AF107" i="15"/>
  <c r="AC107" i="15"/>
  <c r="AF106" i="15"/>
  <c r="AC106" i="15"/>
  <c r="AF105" i="15"/>
  <c r="AG105" i="15" s="1"/>
  <c r="AC105" i="15"/>
  <c r="AF104" i="15"/>
  <c r="AH104" i="15" s="1"/>
  <c r="AC104" i="15"/>
  <c r="AF103" i="15"/>
  <c r="AG103" i="15" s="1"/>
  <c r="AC103" i="15"/>
  <c r="AF102" i="15"/>
  <c r="AH102" i="15" s="1"/>
  <c r="AC102" i="15"/>
  <c r="AF101" i="15"/>
  <c r="AC101" i="15"/>
  <c r="AF100" i="15"/>
  <c r="AG100" i="15" s="1"/>
  <c r="AC100" i="15"/>
  <c r="AF99" i="15"/>
  <c r="AC99" i="15"/>
  <c r="AF98" i="15"/>
  <c r="AH98" i="15" s="1"/>
  <c r="AC98" i="15"/>
  <c r="AF97" i="15"/>
  <c r="AG97" i="15" s="1"/>
  <c r="AC97" i="15"/>
  <c r="AF96" i="15"/>
  <c r="AG96" i="15" s="1"/>
  <c r="AC96" i="15"/>
  <c r="AF95" i="15"/>
  <c r="AG95" i="15" s="1"/>
  <c r="AC95" i="15"/>
  <c r="AF94" i="15"/>
  <c r="AG94" i="15" s="1"/>
  <c r="AC94" i="15"/>
  <c r="AF93" i="15"/>
  <c r="AG93" i="15" s="1"/>
  <c r="AC93" i="15"/>
  <c r="AF92" i="15"/>
  <c r="AG92" i="15" s="1"/>
  <c r="AC92" i="15"/>
  <c r="AF91" i="15"/>
  <c r="AC91" i="15"/>
  <c r="AF90" i="15"/>
  <c r="AH90" i="15" s="1"/>
  <c r="AC90" i="15"/>
  <c r="AF89" i="15"/>
  <c r="AC89" i="15"/>
  <c r="AF88" i="15"/>
  <c r="AH88" i="15" s="1"/>
  <c r="AC88" i="15"/>
  <c r="AF87" i="15"/>
  <c r="AC87" i="15"/>
  <c r="AF86" i="15"/>
  <c r="AC86" i="15"/>
  <c r="AF85" i="15"/>
  <c r="AC85" i="15"/>
  <c r="AF84" i="15"/>
  <c r="AG84" i="15" s="1"/>
  <c r="AC84" i="15"/>
  <c r="AF83" i="15"/>
  <c r="AH83" i="15" s="1"/>
  <c r="AC83" i="15"/>
  <c r="AF82" i="15"/>
  <c r="AC82" i="15"/>
  <c r="AF81" i="15"/>
  <c r="AC81" i="15"/>
  <c r="AF80" i="15"/>
  <c r="AC80" i="15"/>
  <c r="AF79" i="15"/>
  <c r="AH79" i="15" s="1"/>
  <c r="AC79" i="15"/>
  <c r="AF78" i="15"/>
  <c r="AC78" i="15"/>
  <c r="AA30" i="15"/>
  <c r="AD29" i="15"/>
  <c r="AC27" i="15"/>
  <c r="AE24" i="15" s="1"/>
  <c r="AC26" i="15"/>
  <c r="A24" i="15"/>
  <c r="D17" i="15"/>
  <c r="AB29" i="15" s="1"/>
  <c r="G15" i="15"/>
  <c r="C13" i="15"/>
  <c r="C12" i="15"/>
  <c r="C11" i="15"/>
  <c r="C10" i="15"/>
  <c r="C9" i="15"/>
  <c r="C8" i="15"/>
  <c r="C7" i="15"/>
  <c r="C6" i="15"/>
  <c r="O7" i="13"/>
  <c r="P7" i="13"/>
  <c r="Q7" i="13"/>
  <c r="S7" i="13"/>
  <c r="T7" i="13"/>
  <c r="R7" i="13"/>
  <c r="F19" i="11"/>
  <c r="D19" i="11" s="1"/>
  <c r="G19" i="13"/>
  <c r="J19" i="13"/>
  <c r="J20" i="13" s="1"/>
  <c r="AA612" i="13"/>
  <c r="AA611" i="13"/>
  <c r="AA610" i="13"/>
  <c r="Y610" i="13"/>
  <c r="AA609" i="13"/>
  <c r="Y609" i="13"/>
  <c r="AA608" i="13"/>
  <c r="Y608" i="13"/>
  <c r="Z608" i="13" s="1"/>
  <c r="Y607" i="13"/>
  <c r="Z607" i="13" s="1"/>
  <c r="AA607" i="13" s="1"/>
  <c r="AA606" i="13"/>
  <c r="Y606" i="13"/>
  <c r="Z606" i="13" s="1"/>
  <c r="Y605" i="13"/>
  <c r="Z605" i="13" s="1"/>
  <c r="AA605" i="13" s="1"/>
  <c r="AA604" i="13"/>
  <c r="Y604" i="13"/>
  <c r="Z604" i="13" s="1"/>
  <c r="Y603" i="13"/>
  <c r="Z603" i="13" s="1"/>
  <c r="AA603" i="13" s="1"/>
  <c r="AA602" i="13"/>
  <c r="Y602" i="13"/>
  <c r="Z602" i="13" s="1"/>
  <c r="Y601" i="13"/>
  <c r="Z601" i="13" s="1"/>
  <c r="AA601" i="13" s="1"/>
  <c r="AA600" i="13"/>
  <c r="Y600" i="13"/>
  <c r="Z600" i="13" s="1"/>
  <c r="Y599" i="13"/>
  <c r="Z599" i="13" s="1"/>
  <c r="AA599" i="13" s="1"/>
  <c r="AA598" i="13"/>
  <c r="Y598" i="13"/>
  <c r="Z598" i="13" s="1"/>
  <c r="Y597" i="13"/>
  <c r="Z597" i="13" s="1"/>
  <c r="AA597" i="13" s="1"/>
  <c r="AA596" i="13"/>
  <c r="Y596" i="13"/>
  <c r="Z596" i="13" s="1"/>
  <c r="Y595" i="13"/>
  <c r="Z595" i="13" s="1"/>
  <c r="AA595" i="13" s="1"/>
  <c r="AA594" i="13"/>
  <c r="Y594" i="13"/>
  <c r="Z594" i="13" s="1"/>
  <c r="Y593" i="13"/>
  <c r="Z593" i="13" s="1"/>
  <c r="AA593" i="13" s="1"/>
  <c r="AA592" i="13"/>
  <c r="Y592" i="13"/>
  <c r="Z592" i="13" s="1"/>
  <c r="Y591" i="13"/>
  <c r="Z591" i="13" s="1"/>
  <c r="AA591" i="13" s="1"/>
  <c r="AA590" i="13"/>
  <c r="Y590" i="13"/>
  <c r="Z590" i="13" s="1"/>
  <c r="Y589" i="13"/>
  <c r="Z589" i="13" s="1"/>
  <c r="AA589" i="13" s="1"/>
  <c r="AA588" i="13"/>
  <c r="Y588" i="13"/>
  <c r="Z588" i="13" s="1"/>
  <c r="Y587" i="13"/>
  <c r="Z587" i="13" s="1"/>
  <c r="AA587" i="13" s="1"/>
  <c r="AA586" i="13"/>
  <c r="Y586" i="13"/>
  <c r="Z586" i="13" s="1"/>
  <c r="Y585" i="13"/>
  <c r="Z585" i="13" s="1"/>
  <c r="AA585" i="13" s="1"/>
  <c r="AA584" i="13"/>
  <c r="Y584" i="13"/>
  <c r="Z584" i="13" s="1"/>
  <c r="Y583" i="13"/>
  <c r="Z583" i="13" s="1"/>
  <c r="AA583" i="13" s="1"/>
  <c r="AA582" i="13"/>
  <c r="Y582" i="13"/>
  <c r="Z582" i="13" s="1"/>
  <c r="Y581" i="13"/>
  <c r="Z581" i="13" s="1"/>
  <c r="AA581" i="13" s="1"/>
  <c r="AA580" i="13"/>
  <c r="Y580" i="13"/>
  <c r="Z580" i="13" s="1"/>
  <c r="Y579" i="13"/>
  <c r="Z579" i="13" s="1"/>
  <c r="AA579" i="13" s="1"/>
  <c r="AA578" i="13"/>
  <c r="Y578" i="13"/>
  <c r="Z578" i="13" s="1"/>
  <c r="Y577" i="13"/>
  <c r="Z577" i="13" s="1"/>
  <c r="AA577" i="13" s="1"/>
  <c r="AA576" i="13"/>
  <c r="Y576" i="13"/>
  <c r="Z576" i="13" s="1"/>
  <c r="Y575" i="13"/>
  <c r="Z575" i="13" s="1"/>
  <c r="AA575" i="13" s="1"/>
  <c r="AA574" i="13"/>
  <c r="Y574" i="13"/>
  <c r="Z574" i="13" s="1"/>
  <c r="Y573" i="13"/>
  <c r="Z573" i="13" s="1"/>
  <c r="AA573" i="13" s="1"/>
  <c r="AA572" i="13"/>
  <c r="Y572" i="13"/>
  <c r="Z572" i="13" s="1"/>
  <c r="Y571" i="13"/>
  <c r="Z571" i="13" s="1"/>
  <c r="AA571" i="13" s="1"/>
  <c r="AA570" i="13"/>
  <c r="Y570" i="13"/>
  <c r="Z570" i="13" s="1"/>
  <c r="Y569" i="13"/>
  <c r="Z569" i="13" s="1"/>
  <c r="AA569" i="13" s="1"/>
  <c r="AA568" i="13"/>
  <c r="Y568" i="13"/>
  <c r="Z568" i="13" s="1"/>
  <c r="Y567" i="13"/>
  <c r="Z567" i="13" s="1"/>
  <c r="AA567" i="13" s="1"/>
  <c r="AA566" i="13"/>
  <c r="Y566" i="13"/>
  <c r="Z566" i="13" s="1"/>
  <c r="Y565" i="13"/>
  <c r="Z565" i="13" s="1"/>
  <c r="AA565" i="13" s="1"/>
  <c r="AA564" i="13"/>
  <c r="Y564" i="13"/>
  <c r="Z564" i="13" s="1"/>
  <c r="Y563" i="13"/>
  <c r="Z563" i="13" s="1"/>
  <c r="AA563" i="13" s="1"/>
  <c r="AA562" i="13"/>
  <c r="Y562" i="13"/>
  <c r="Z562" i="13" s="1"/>
  <c r="Y561" i="13"/>
  <c r="Z561" i="13" s="1"/>
  <c r="AA561" i="13" s="1"/>
  <c r="AA560" i="13"/>
  <c r="Y560" i="13"/>
  <c r="Z560" i="13" s="1"/>
  <c r="Y559" i="13"/>
  <c r="Z559" i="13" s="1"/>
  <c r="AA559" i="13" s="1"/>
  <c r="AA558" i="13"/>
  <c r="Y558" i="13"/>
  <c r="Z558" i="13" s="1"/>
  <c r="Y557" i="13"/>
  <c r="Z557" i="13" s="1"/>
  <c r="AA557" i="13" s="1"/>
  <c r="AA556" i="13"/>
  <c r="Y556" i="13"/>
  <c r="Z556" i="13" s="1"/>
  <c r="Y555" i="13"/>
  <c r="Z555" i="13" s="1"/>
  <c r="AA555" i="13" s="1"/>
  <c r="AA554" i="13"/>
  <c r="Y554" i="13"/>
  <c r="Z554" i="13" s="1"/>
  <c r="Y553" i="13"/>
  <c r="Z553" i="13" s="1"/>
  <c r="AA553" i="13" s="1"/>
  <c r="AA552" i="13"/>
  <c r="Y552" i="13"/>
  <c r="Z552" i="13" s="1"/>
  <c r="Y551" i="13"/>
  <c r="Z551" i="13" s="1"/>
  <c r="AA551" i="13" s="1"/>
  <c r="AA550" i="13"/>
  <c r="Y550" i="13"/>
  <c r="Z550" i="13" s="1"/>
  <c r="Y549" i="13"/>
  <c r="Z549" i="13" s="1"/>
  <c r="AA549" i="13" s="1"/>
  <c r="AA548" i="13"/>
  <c r="Y548" i="13"/>
  <c r="Z548" i="13" s="1"/>
  <c r="Y547" i="13"/>
  <c r="Z547" i="13" s="1"/>
  <c r="AA547" i="13" s="1"/>
  <c r="AA546" i="13"/>
  <c r="Y546" i="13"/>
  <c r="Z546" i="13" s="1"/>
  <c r="Y545" i="13"/>
  <c r="Z545" i="13" s="1"/>
  <c r="AA545" i="13" s="1"/>
  <c r="AA544" i="13"/>
  <c r="Y544" i="13"/>
  <c r="Z544" i="13" s="1"/>
  <c r="W31" i="13"/>
  <c r="Y27" i="13"/>
  <c r="AA25" i="13" s="1"/>
  <c r="A24" i="13"/>
  <c r="B24" i="13" s="1"/>
  <c r="D17" i="13"/>
  <c r="X30" i="13" s="1"/>
  <c r="Y30" i="13" s="1"/>
  <c r="G15" i="13"/>
  <c r="AH200" i="15" l="1"/>
  <c r="AH156" i="15"/>
  <c r="AO279" i="15"/>
  <c r="AP272" i="15"/>
  <c r="AO265" i="15"/>
  <c r="AN258" i="15"/>
  <c r="AM258" i="15" s="1"/>
  <c r="AL258" i="15" s="1"/>
  <c r="AO247" i="15"/>
  <c r="AN240" i="15"/>
  <c r="AM240" i="15" s="1"/>
  <c r="AL240" i="15" s="1"/>
  <c r="AP236" i="15"/>
  <c r="AN226" i="15"/>
  <c r="AM226" i="15" s="1"/>
  <c r="AL226" i="15" s="1"/>
  <c r="AN220" i="15"/>
  <c r="AM220" i="15" s="1"/>
  <c r="AL220" i="15" s="1"/>
  <c r="AN286" i="15"/>
  <c r="AM286" i="15" s="1"/>
  <c r="AL286" i="15" s="1"/>
  <c r="AP278" i="15"/>
  <c r="AN265" i="15"/>
  <c r="AM265" i="15" s="1"/>
  <c r="AL265" i="15" s="1"/>
  <c r="AO257" i="15"/>
  <c r="AN250" i="15"/>
  <c r="AM250" i="15" s="1"/>
  <c r="AL250" i="15" s="1"/>
  <c r="AN241" i="15"/>
  <c r="AM241" i="15" s="1"/>
  <c r="AL241" i="15" s="1"/>
  <c r="AN234" i="15"/>
  <c r="AM234" i="15" s="1"/>
  <c r="AL234" i="15" s="1"/>
  <c r="AN228" i="15"/>
  <c r="AM228" i="15" s="1"/>
  <c r="AL228" i="15" s="1"/>
  <c r="AN223" i="15"/>
  <c r="AM223" i="15" s="1"/>
  <c r="AL223" i="15" s="1"/>
  <c r="AN216" i="15"/>
  <c r="AM216" i="15" s="1"/>
  <c r="AL216" i="15" s="1"/>
  <c r="AR275" i="15"/>
  <c r="AN270" i="15"/>
  <c r="AM270" i="15" s="1"/>
  <c r="AL270" i="15" s="1"/>
  <c r="AN260" i="15"/>
  <c r="AM260" i="15" s="1"/>
  <c r="AL260" i="15" s="1"/>
  <c r="AN252" i="15"/>
  <c r="AM252" i="15" s="1"/>
  <c r="AL252" i="15" s="1"/>
  <c r="AN246" i="15"/>
  <c r="AM246" i="15" s="1"/>
  <c r="AL246" i="15" s="1"/>
  <c r="AP227" i="15"/>
  <c r="AP284" i="15"/>
  <c r="AN271" i="15"/>
  <c r="AM271" i="15" s="1"/>
  <c r="AL271" i="15" s="1"/>
  <c r="AN251" i="15"/>
  <c r="AM251" i="15" s="1"/>
  <c r="AL251" i="15" s="1"/>
  <c r="AP230" i="15"/>
  <c r="AN214" i="15"/>
  <c r="AM214" i="15" s="1"/>
  <c r="AL214" i="15" s="1"/>
  <c r="AN284" i="15"/>
  <c r="AM284" i="15" s="1"/>
  <c r="AL284" i="15" s="1"/>
  <c r="AP248" i="15"/>
  <c r="AN285" i="15"/>
  <c r="AM285" i="15" s="1"/>
  <c r="AL285" i="15" s="1"/>
  <c r="AQ245" i="15"/>
  <c r="AQ221" i="15"/>
  <c r="AN278" i="15"/>
  <c r="AM278" i="15" s="1"/>
  <c r="AL278" i="15" s="1"/>
  <c r="AP245" i="15"/>
  <c r="AN280" i="15"/>
  <c r="AM280" i="15" s="1"/>
  <c r="AL280" i="15" s="1"/>
  <c r="AO255" i="15"/>
  <c r="AO283" i="15"/>
  <c r="AN267" i="15"/>
  <c r="AN262" i="15"/>
  <c r="AM262" i="15" s="1"/>
  <c r="AL262" i="15" s="1"/>
  <c r="AN244" i="15"/>
  <c r="AM244" i="15" s="1"/>
  <c r="AL244" i="15" s="1"/>
  <c r="AN230" i="15"/>
  <c r="AN213" i="15"/>
  <c r="AM213" i="15" s="1"/>
  <c r="AL213" i="15" s="1"/>
  <c r="AO261" i="15"/>
  <c r="AN253" i="15"/>
  <c r="AM253" i="15" s="1"/>
  <c r="AL253" i="15" s="1"/>
  <c r="AN237" i="15"/>
  <c r="AM237" i="15" s="1"/>
  <c r="AL237" i="15" s="1"/>
  <c r="AN227" i="15"/>
  <c r="AO273" i="15"/>
  <c r="AN255" i="15"/>
  <c r="AO235" i="15"/>
  <c r="AN221" i="15"/>
  <c r="AM221" i="15" s="1"/>
  <c r="AL221" i="15" s="1"/>
  <c r="AN276" i="15"/>
  <c r="AM276" i="15" s="1"/>
  <c r="AL276" i="15" s="1"/>
  <c r="AO233" i="15"/>
  <c r="AO211" i="15"/>
  <c r="AP242" i="15"/>
  <c r="AP239" i="15"/>
  <c r="AQ257" i="15"/>
  <c r="AP224" i="15"/>
  <c r="AO281" i="15"/>
  <c r="AN273" i="15"/>
  <c r="AM273" i="15" s="1"/>
  <c r="AL273" i="15" s="1"/>
  <c r="AO259" i="15"/>
  <c r="AQ251" i="15"/>
  <c r="AO237" i="15"/>
  <c r="AP212" i="15"/>
  <c r="AN259" i="15"/>
  <c r="AM259" i="15" s="1"/>
  <c r="AL259" i="15" s="1"/>
  <c r="AN236" i="15"/>
  <c r="AM236" i="15" s="1"/>
  <c r="AL236" i="15" s="1"/>
  <c r="AO225" i="15"/>
  <c r="AQ281" i="15"/>
  <c r="AN254" i="15"/>
  <c r="AO231" i="15"/>
  <c r="AO275" i="15"/>
  <c r="AN231" i="15"/>
  <c r="AM231" i="15" s="1"/>
  <c r="AL231" i="15" s="1"/>
  <c r="AO217" i="15"/>
  <c r="AR251" i="15"/>
  <c r="AO249" i="15"/>
  <c r="AN211" i="15"/>
  <c r="AM211" i="15" s="1"/>
  <c r="AL211" i="15" s="1"/>
  <c r="AO215" i="15"/>
  <c r="AN277" i="15"/>
  <c r="AM277" i="15" s="1"/>
  <c r="AL277" i="15" s="1"/>
  <c r="AN269" i="15"/>
  <c r="AM269" i="15" s="1"/>
  <c r="AL269" i="15" s="1"/>
  <c r="AP263" i="15"/>
  <c r="AP257" i="15"/>
  <c r="AO245" i="15"/>
  <c r="AR239" i="15"/>
  <c r="AQ233" i="15"/>
  <c r="AO223" i="15"/>
  <c r="AN215" i="15"/>
  <c r="AM215" i="15" s="1"/>
  <c r="AL215" i="15" s="1"/>
  <c r="AN283" i="15"/>
  <c r="AM283" i="15" s="1"/>
  <c r="AL283" i="15" s="1"/>
  <c r="AP275" i="15"/>
  <c r="AO263" i="15"/>
  <c r="AN256" i="15"/>
  <c r="AM256" i="15" s="1"/>
  <c r="AL256" i="15" s="1"/>
  <c r="AN247" i="15"/>
  <c r="AM247" i="15" s="1"/>
  <c r="AL247" i="15" s="1"/>
  <c r="AQ239" i="15"/>
  <c r="AP233" i="15"/>
  <c r="AR227" i="15"/>
  <c r="AO221" i="15"/>
  <c r="AQ215" i="15"/>
  <c r="AN274" i="15"/>
  <c r="AM274" i="15" s="1"/>
  <c r="AL274" i="15" s="1"/>
  <c r="AP266" i="15"/>
  <c r="AN257" i="15"/>
  <c r="AM257" i="15" s="1"/>
  <c r="AL257" i="15" s="1"/>
  <c r="AO251" i="15"/>
  <c r="AO239" i="15"/>
  <c r="AN224" i="15"/>
  <c r="AM224" i="15" s="1"/>
  <c r="AL224" i="15" s="1"/>
  <c r="AP281" i="15"/>
  <c r="AN268" i="15"/>
  <c r="AM268" i="15" s="1"/>
  <c r="AL268" i="15" s="1"/>
  <c r="AN235" i="15"/>
  <c r="AM235" i="15" s="1"/>
  <c r="AL235" i="15" s="1"/>
  <c r="AN229" i="15"/>
  <c r="AM229" i="15" s="1"/>
  <c r="AL229" i="15" s="1"/>
  <c r="AO213" i="15"/>
  <c r="AN282" i="15"/>
  <c r="AM282" i="15" s="1"/>
  <c r="AL282" i="15" s="1"/>
  <c r="AN243" i="15"/>
  <c r="AM243" i="15" s="1"/>
  <c r="AL243" i="15" s="1"/>
  <c r="AO269" i="15"/>
  <c r="AN242" i="15"/>
  <c r="AM242" i="15" s="1"/>
  <c r="AL242" i="15" s="1"/>
  <c r="AN217" i="15"/>
  <c r="AM217" i="15" s="1"/>
  <c r="AL217" i="15" s="1"/>
  <c r="AO277" i="15"/>
  <c r="AN225" i="15"/>
  <c r="AM225" i="15" s="1"/>
  <c r="AL225" i="15" s="1"/>
  <c r="AN275" i="15"/>
  <c r="AM275" i="15" s="1"/>
  <c r="AL275" i="15" s="1"/>
  <c r="AN238" i="15"/>
  <c r="AM238" i="15" s="1"/>
  <c r="AL238" i="15" s="1"/>
  <c r="AQ275" i="15"/>
  <c r="AO253" i="15"/>
  <c r="AN239" i="15"/>
  <c r="AN222" i="15"/>
  <c r="AM222" i="15" s="1"/>
  <c r="AL222" i="15" s="1"/>
  <c r="AN281" i="15"/>
  <c r="AM281" i="15" s="1"/>
  <c r="AL281" i="15" s="1"/>
  <c r="AN272" i="15"/>
  <c r="AM272" i="15" s="1"/>
  <c r="AL272" i="15" s="1"/>
  <c r="AN245" i="15"/>
  <c r="AN232" i="15"/>
  <c r="AM232" i="15" s="1"/>
  <c r="AL232" i="15" s="1"/>
  <c r="AO219" i="15"/>
  <c r="AN212" i="15"/>
  <c r="AM212" i="15" s="1"/>
  <c r="AL212" i="15" s="1"/>
  <c r="AN264" i="15"/>
  <c r="AM264" i="15" s="1"/>
  <c r="AL264" i="15" s="1"/>
  <c r="AN249" i="15"/>
  <c r="AM249" i="15" s="1"/>
  <c r="AL249" i="15" s="1"/>
  <c r="AO267" i="15"/>
  <c r="AN218" i="15"/>
  <c r="AM218" i="15" s="1"/>
  <c r="AL218" i="15" s="1"/>
  <c r="AP269" i="15"/>
  <c r="AR263" i="15"/>
  <c r="AP215" i="15"/>
  <c r="AN261" i="15"/>
  <c r="AM261" i="15" s="1"/>
  <c r="AL261" i="15" s="1"/>
  <c r="AN219" i="15"/>
  <c r="AM219" i="15" s="1"/>
  <c r="AL219" i="15" s="1"/>
  <c r="AN266" i="15"/>
  <c r="AO241" i="15"/>
  <c r="AO227" i="15"/>
  <c r="AP221" i="15"/>
  <c r="AN279" i="15"/>
  <c r="AM279" i="15" s="1"/>
  <c r="AL279" i="15" s="1"/>
  <c r="AQ269" i="15"/>
  <c r="AP251" i="15"/>
  <c r="AO243" i="15"/>
  <c r="AO229" i="15"/>
  <c r="AP218" i="15"/>
  <c r="AO271" i="15"/>
  <c r="AQ263" i="15"/>
  <c r="AN248" i="15"/>
  <c r="AO285" i="15"/>
  <c r="AN263" i="15"/>
  <c r="AM263" i="15" s="1"/>
  <c r="AL263" i="15" s="1"/>
  <c r="AN210" i="15"/>
  <c r="AM210" i="15" s="1"/>
  <c r="AL210" i="15" s="1"/>
  <c r="AQ227" i="15"/>
  <c r="AN233" i="15"/>
  <c r="AM233" i="15" s="1"/>
  <c r="AL233" i="15" s="1"/>
  <c r="AP254" i="15"/>
  <c r="AM254" i="15" s="1"/>
  <c r="AL254" i="15" s="1"/>
  <c r="AP260" i="15"/>
  <c r="AM266" i="15"/>
  <c r="AL266" i="15" s="1"/>
  <c r="AC31" i="18"/>
  <c r="AC33" i="24"/>
  <c r="AH32" i="24"/>
  <c r="AE33" i="24"/>
  <c r="AF33" i="24" s="1"/>
  <c r="AG33" i="24" s="1"/>
  <c r="AB34" i="24"/>
  <c r="A31" i="24"/>
  <c r="B30" i="24"/>
  <c r="AM25" i="24"/>
  <c r="E25" i="24"/>
  <c r="C26" i="24" s="1"/>
  <c r="AA36" i="24"/>
  <c r="AD35" i="24"/>
  <c r="AE32" i="22"/>
  <c r="AF32" i="22" s="1"/>
  <c r="AH32" i="22" s="1"/>
  <c r="AB33" i="22"/>
  <c r="AD33" i="22"/>
  <c r="AA34" i="22"/>
  <c r="A29" i="22"/>
  <c r="B28" i="22"/>
  <c r="AC32" i="22"/>
  <c r="AH31" i="22"/>
  <c r="AG31" i="22"/>
  <c r="A91" i="17"/>
  <c r="B90" i="17"/>
  <c r="AC31" i="20"/>
  <c r="AH30" i="20"/>
  <c r="AE31" i="20"/>
  <c r="AF31" i="20" s="1"/>
  <c r="AH31" i="20" s="1"/>
  <c r="AB32" i="20"/>
  <c r="AD33" i="20"/>
  <c r="AA34" i="20"/>
  <c r="A27" i="20"/>
  <c r="BH27" i="20" s="1"/>
  <c r="B26" i="20"/>
  <c r="A25" i="15"/>
  <c r="B25" i="15" s="1"/>
  <c r="B27" i="18"/>
  <c r="A28" i="18"/>
  <c r="AG30" i="18"/>
  <c r="AH30" i="18"/>
  <c r="AB32" i="18"/>
  <c r="AE31" i="18"/>
  <c r="AF31" i="18" s="1"/>
  <c r="AD33" i="18"/>
  <c r="AA34" i="18"/>
  <c r="AC31" i="17"/>
  <c r="AH30" i="17"/>
  <c r="AB32" i="17"/>
  <c r="AE31" i="17"/>
  <c r="AF31" i="17" s="1"/>
  <c r="B27" i="17"/>
  <c r="A28" i="17"/>
  <c r="AD33" i="17"/>
  <c r="AA34" i="17"/>
  <c r="AG118" i="15"/>
  <c r="AH119" i="15"/>
  <c r="AH132" i="15"/>
  <c r="AG178" i="15"/>
  <c r="AG212" i="15"/>
  <c r="AG110" i="15"/>
  <c r="AH113" i="15"/>
  <c r="AH140" i="15"/>
  <c r="AG224" i="15"/>
  <c r="AG225" i="15"/>
  <c r="AH148" i="15"/>
  <c r="AH194" i="15"/>
  <c r="AG104" i="15"/>
  <c r="AH109" i="15"/>
  <c r="AH117" i="15"/>
  <c r="AG130" i="15"/>
  <c r="AG131" i="15"/>
  <c r="AG134" i="15"/>
  <c r="AG146" i="15"/>
  <c r="AG147" i="15"/>
  <c r="AG150" i="15"/>
  <c r="AG160" i="15"/>
  <c r="AH164" i="15"/>
  <c r="AH170" i="15"/>
  <c r="AH184" i="15"/>
  <c r="AG198" i="15"/>
  <c r="AG199" i="15"/>
  <c r="AG204" i="15"/>
  <c r="AH214" i="15"/>
  <c r="AG83" i="15"/>
  <c r="AH94" i="15"/>
  <c r="AH97" i="15"/>
  <c r="AH136" i="15"/>
  <c r="AH152" i="15"/>
  <c r="AG162" i="15"/>
  <c r="AG163" i="15"/>
  <c r="AG168" i="15"/>
  <c r="AG169" i="15"/>
  <c r="AG172" i="15"/>
  <c r="AG182" i="15"/>
  <c r="AG183" i="15"/>
  <c r="AG188" i="15"/>
  <c r="AH220" i="15"/>
  <c r="AH93" i="15"/>
  <c r="AH96" i="15"/>
  <c r="AH174" i="15"/>
  <c r="AH210" i="15"/>
  <c r="AG222" i="15"/>
  <c r="AH226" i="15"/>
  <c r="AH86" i="15"/>
  <c r="AG86" i="15"/>
  <c r="AG79" i="15"/>
  <c r="AH81" i="15"/>
  <c r="AG81" i="15"/>
  <c r="AH92" i="15"/>
  <c r="AH103" i="15"/>
  <c r="AH106" i="15"/>
  <c r="AG106" i="15"/>
  <c r="AG139" i="15"/>
  <c r="AH142" i="15"/>
  <c r="AG142" i="15"/>
  <c r="AG145" i="15"/>
  <c r="AH154" i="15"/>
  <c r="AG154" i="15"/>
  <c r="AH159" i="15"/>
  <c r="AG159" i="15"/>
  <c r="AG167" i="15"/>
  <c r="AH176" i="15"/>
  <c r="AG176" i="15"/>
  <c r="AH190" i="15"/>
  <c r="AG190" i="15"/>
  <c r="AH206" i="15"/>
  <c r="AG206" i="15"/>
  <c r="AH216" i="15"/>
  <c r="AG216" i="15"/>
  <c r="AA31" i="15"/>
  <c r="AD30" i="15"/>
  <c r="AH78" i="15"/>
  <c r="AG78" i="15"/>
  <c r="AH85" i="15"/>
  <c r="AG85" i="15"/>
  <c r="AG87" i="15"/>
  <c r="AH87" i="15"/>
  <c r="AG102" i="15"/>
  <c r="AG138" i="15"/>
  <c r="AG144" i="15"/>
  <c r="AG166" i="15"/>
  <c r="AG192" i="15"/>
  <c r="AG208" i="15"/>
  <c r="AG218" i="15"/>
  <c r="AH223" i="15"/>
  <c r="AG223" i="15"/>
  <c r="AG101" i="15"/>
  <c r="AH101" i="15"/>
  <c r="AH128" i="15"/>
  <c r="AG128" i="15"/>
  <c r="AH143" i="15"/>
  <c r="AG143" i="15"/>
  <c r="AH158" i="15"/>
  <c r="AG158" i="15"/>
  <c r="AG161" i="15"/>
  <c r="AH180" i="15"/>
  <c r="AG180" i="15"/>
  <c r="AH186" i="15"/>
  <c r="AG186" i="15"/>
  <c r="AH191" i="15"/>
  <c r="AG191" i="15"/>
  <c r="AH196" i="15"/>
  <c r="AG196" i="15"/>
  <c r="AH202" i="15"/>
  <c r="AG202" i="15"/>
  <c r="AH207" i="15"/>
  <c r="AG207" i="15"/>
  <c r="AH217" i="15"/>
  <c r="AG217" i="15"/>
  <c r="AG228" i="15"/>
  <c r="AH84" i="15"/>
  <c r="AH100" i="15"/>
  <c r="AH124" i="15"/>
  <c r="AG153" i="15"/>
  <c r="AG175" i="15"/>
  <c r="AG185" i="15"/>
  <c r="AG195" i="15"/>
  <c r="AG201" i="15"/>
  <c r="AG215" i="15"/>
  <c r="AG227" i="15"/>
  <c r="AC29" i="15"/>
  <c r="AB30" i="15"/>
  <c r="AH141" i="15"/>
  <c r="AG141" i="15"/>
  <c r="AH149" i="15"/>
  <c r="AG149" i="15"/>
  <c r="AH209" i="15"/>
  <c r="AG209" i="15"/>
  <c r="AG99" i="15"/>
  <c r="AH99" i="15"/>
  <c r="AG111" i="15"/>
  <c r="AH111" i="15"/>
  <c r="AH112" i="15"/>
  <c r="AG122" i="15"/>
  <c r="AH171" i="15"/>
  <c r="AG171" i="15"/>
  <c r="AH205" i="15"/>
  <c r="AG205" i="15"/>
  <c r="B24" i="15"/>
  <c r="AG89" i="15"/>
  <c r="AH89" i="15"/>
  <c r="AG108" i="15"/>
  <c r="AH108" i="15"/>
  <c r="AG115" i="15"/>
  <c r="AH115" i="15"/>
  <c r="AG121" i="15"/>
  <c r="AH121" i="15"/>
  <c r="AH127" i="15"/>
  <c r="AG127" i="15"/>
  <c r="AG137" i="15"/>
  <c r="AH177" i="15"/>
  <c r="AG177" i="15"/>
  <c r="AG193" i="15"/>
  <c r="AH211" i="15"/>
  <c r="AG211" i="15"/>
  <c r="AG91" i="15"/>
  <c r="AH91" i="15"/>
  <c r="AG123" i="15"/>
  <c r="AH123" i="15"/>
  <c r="AH133" i="15"/>
  <c r="AG133" i="15"/>
  <c r="AH179" i="15"/>
  <c r="AG179" i="15"/>
  <c r="AG90" i="15"/>
  <c r="AH105" i="15"/>
  <c r="AH116" i="15"/>
  <c r="AH197" i="15"/>
  <c r="AG197" i="15"/>
  <c r="AG82" i="15"/>
  <c r="AH82" i="15"/>
  <c r="AG88" i="15"/>
  <c r="AH95" i="15"/>
  <c r="AG98" i="15"/>
  <c r="AH114" i="15"/>
  <c r="AG114" i="15"/>
  <c r="AG120" i="15"/>
  <c r="AG135" i="15"/>
  <c r="AH151" i="15"/>
  <c r="AG151" i="15"/>
  <c r="AH165" i="15"/>
  <c r="AG165" i="15"/>
  <c r="AH173" i="15"/>
  <c r="AG173" i="15"/>
  <c r="AH203" i="15"/>
  <c r="AG203" i="15"/>
  <c r="AG80" i="15"/>
  <c r="AH80" i="15"/>
  <c r="AG107" i="15"/>
  <c r="AH107" i="15"/>
  <c r="AH129" i="15"/>
  <c r="AG129" i="15"/>
  <c r="AH155" i="15"/>
  <c r="AG155" i="15"/>
  <c r="AH181" i="15"/>
  <c r="AG181" i="15"/>
  <c r="AH187" i="15"/>
  <c r="AG187" i="15"/>
  <c r="AH213" i="15"/>
  <c r="AG213" i="15"/>
  <c r="AH219" i="15"/>
  <c r="AG219" i="15"/>
  <c r="AH125" i="15"/>
  <c r="AG125" i="15"/>
  <c r="AH157" i="15"/>
  <c r="AG157" i="15"/>
  <c r="AH189" i="15"/>
  <c r="AG189" i="15"/>
  <c r="AH221" i="15"/>
  <c r="AG221" i="15"/>
  <c r="AH229" i="15"/>
  <c r="AG229" i="15"/>
  <c r="A25" i="13"/>
  <c r="A26" i="13" s="1"/>
  <c r="B26" i="13" s="1"/>
  <c r="K20" i="13"/>
  <c r="G16" i="13"/>
  <c r="F23" i="13" s="1"/>
  <c r="D24" i="13" s="1"/>
  <c r="C24" i="13" s="1"/>
  <c r="A27" i="13"/>
  <c r="X31" i="13"/>
  <c r="Y31" i="13" s="1"/>
  <c r="Z31" i="13" s="1"/>
  <c r="AA31" i="13" s="1"/>
  <c r="W32" i="13"/>
  <c r="B25" i="13" l="1"/>
  <c r="AM267" i="15"/>
  <c r="AL267" i="15" s="1"/>
  <c r="AM248" i="15"/>
  <c r="AL248" i="15" s="1"/>
  <c r="AM239" i="15"/>
  <c r="AL239" i="15" s="1"/>
  <c r="AM255" i="15"/>
  <c r="AL255" i="15" s="1"/>
  <c r="AM245" i="15"/>
  <c r="AL245" i="15" s="1"/>
  <c r="AM230" i="15"/>
  <c r="AL230" i="15" s="1"/>
  <c r="AM227" i="15"/>
  <c r="AL227" i="15" s="1"/>
  <c r="AC32" i="18"/>
  <c r="AC34" i="24"/>
  <c r="AH33" i="24"/>
  <c r="AE34" i="24"/>
  <c r="AF34" i="24" s="1"/>
  <c r="AH34" i="24" s="1"/>
  <c r="AB35" i="24"/>
  <c r="AA37" i="24"/>
  <c r="AD36" i="24"/>
  <c r="D26" i="24"/>
  <c r="A32" i="24"/>
  <c r="B31" i="24"/>
  <c r="AG32" i="22"/>
  <c r="AC33" i="22"/>
  <c r="AD34" i="22"/>
  <c r="AB34" i="22"/>
  <c r="AA35" i="22"/>
  <c r="AE33" i="22"/>
  <c r="AF33" i="22" s="1"/>
  <c r="B29" i="22"/>
  <c r="A30" i="22"/>
  <c r="B91" i="17"/>
  <c r="A92" i="17"/>
  <c r="AC32" i="20"/>
  <c r="AG31" i="20"/>
  <c r="AB33" i="20"/>
  <c r="AE32" i="20"/>
  <c r="AF32" i="20" s="1"/>
  <c r="AH32" i="20" s="1"/>
  <c r="A28" i="20"/>
  <c r="BH28" i="20" s="1"/>
  <c r="B27" i="20"/>
  <c r="AD34" i="20"/>
  <c r="AA35" i="20"/>
  <c r="A26" i="15"/>
  <c r="A27" i="15" s="1"/>
  <c r="AA35" i="18"/>
  <c r="AD34" i="18"/>
  <c r="B28" i="18"/>
  <c r="A29" i="18"/>
  <c r="AE32" i="18"/>
  <c r="AF32" i="18" s="1"/>
  <c r="AB33" i="18"/>
  <c r="AG31" i="18"/>
  <c r="AH31" i="18"/>
  <c r="F24" i="17"/>
  <c r="AC32" i="17"/>
  <c r="AB33" i="17"/>
  <c r="AA35" i="17"/>
  <c r="AD34" i="17"/>
  <c r="AE32" i="17"/>
  <c r="AF32" i="17" s="1"/>
  <c r="B28" i="17"/>
  <c r="A29" i="17"/>
  <c r="AH31" i="17"/>
  <c r="AG31" i="17"/>
  <c r="AE30" i="15"/>
  <c r="AF30" i="15" s="1"/>
  <c r="AG30" i="15" s="1"/>
  <c r="AD31" i="15"/>
  <c r="AA32" i="15"/>
  <c r="AB31" i="15"/>
  <c r="AC30" i="15"/>
  <c r="B27" i="13"/>
  <c r="A28" i="13"/>
  <c r="X32" i="13"/>
  <c r="Y32" i="13" s="1"/>
  <c r="Z32" i="13" s="1"/>
  <c r="AA32" i="13" s="1"/>
  <c r="W33" i="13"/>
  <c r="E24" i="13"/>
  <c r="AC33" i="18" l="1"/>
  <c r="AC35" i="24"/>
  <c r="AG34" i="24"/>
  <c r="AB36" i="24"/>
  <c r="AE35" i="24"/>
  <c r="AF35" i="24" s="1"/>
  <c r="AG35" i="24" s="1"/>
  <c r="B32" i="24"/>
  <c r="A33" i="24"/>
  <c r="F26" i="24"/>
  <c r="AA38" i="24"/>
  <c r="AD37" i="24"/>
  <c r="AE34" i="22"/>
  <c r="AF34" i="22" s="1"/>
  <c r="AG34" i="22" s="1"/>
  <c r="AB35" i="22"/>
  <c r="AD35" i="22"/>
  <c r="AA36" i="22"/>
  <c r="AC34" i="22"/>
  <c r="B30" i="22"/>
  <c r="A31" i="22"/>
  <c r="AH33" i="22"/>
  <c r="AG33" i="22"/>
  <c r="A93" i="17"/>
  <c r="B92" i="17"/>
  <c r="B26" i="15"/>
  <c r="AC33" i="20"/>
  <c r="AB34" i="20"/>
  <c r="AE33" i="20"/>
  <c r="AF33" i="20" s="1"/>
  <c r="AH33" i="20" s="1"/>
  <c r="AG32" i="20"/>
  <c r="AA36" i="20"/>
  <c r="AD35" i="20"/>
  <c r="A29" i="20"/>
  <c r="BH29" i="20" s="1"/>
  <c r="B28" i="20"/>
  <c r="AB34" i="18"/>
  <c r="A30" i="18"/>
  <c r="B29" i="18"/>
  <c r="AA36" i="18"/>
  <c r="AD35" i="18"/>
  <c r="AG32" i="18"/>
  <c r="AH32" i="18"/>
  <c r="AE33" i="18"/>
  <c r="AF33" i="18" s="1"/>
  <c r="E24" i="17"/>
  <c r="G24" i="17" s="1"/>
  <c r="AC33" i="17"/>
  <c r="AE33" i="17"/>
  <c r="AF33" i="17" s="1"/>
  <c r="AH33" i="17" s="1"/>
  <c r="AA36" i="17"/>
  <c r="AD35" i="17"/>
  <c r="AB34" i="17"/>
  <c r="AH32" i="17"/>
  <c r="AG32" i="17"/>
  <c r="A30" i="17"/>
  <c r="B29" i="17"/>
  <c r="AH30" i="15"/>
  <c r="AA33" i="15"/>
  <c r="AD32" i="15"/>
  <c r="AB32" i="15"/>
  <c r="AE31" i="15"/>
  <c r="AF31" i="15" s="1"/>
  <c r="AG31" i="15" s="1"/>
  <c r="AC31" i="15"/>
  <c r="A28" i="15"/>
  <c r="B27" i="15"/>
  <c r="B28" i="13"/>
  <c r="A29" i="13"/>
  <c r="X33" i="13"/>
  <c r="Y33" i="13" s="1"/>
  <c r="Z33" i="13" s="1"/>
  <c r="AA33" i="13" s="1"/>
  <c r="W34" i="13"/>
  <c r="G24" i="13"/>
  <c r="AC34" i="18" l="1"/>
  <c r="AC36" i="24"/>
  <c r="AE36" i="24"/>
  <c r="AF36" i="24" s="1"/>
  <c r="AH36" i="24" s="1"/>
  <c r="AB37" i="24"/>
  <c r="AB38" i="24" s="1"/>
  <c r="AH35" i="24"/>
  <c r="AM26" i="24"/>
  <c r="E26" i="24"/>
  <c r="C27" i="24" s="1"/>
  <c r="AA39" i="24"/>
  <c r="AD38" i="24"/>
  <c r="B33" i="24"/>
  <c r="A34" i="24"/>
  <c r="AH34" i="22"/>
  <c r="AC35" i="22"/>
  <c r="AD36" i="22"/>
  <c r="AB36" i="22"/>
  <c r="AA37" i="22"/>
  <c r="AE35" i="22"/>
  <c r="AF35" i="22" s="1"/>
  <c r="B31" i="22"/>
  <c r="A32" i="22"/>
  <c r="A94" i="17"/>
  <c r="B93" i="17"/>
  <c r="AC34" i="20"/>
  <c r="AB35" i="20"/>
  <c r="AE34" i="20"/>
  <c r="AF34" i="20" s="1"/>
  <c r="AG34" i="20" s="1"/>
  <c r="AG33" i="20"/>
  <c r="A30" i="20"/>
  <c r="BH30" i="20" s="1"/>
  <c r="B29" i="20"/>
  <c r="AA37" i="20"/>
  <c r="AD36" i="20"/>
  <c r="I24" i="17"/>
  <c r="AB35" i="18"/>
  <c r="AE34" i="18"/>
  <c r="AF34" i="18" s="1"/>
  <c r="AG34" i="18" s="1"/>
  <c r="AG33" i="18"/>
  <c r="AH33" i="18"/>
  <c r="A31" i="18"/>
  <c r="B30" i="18"/>
  <c r="AA37" i="18"/>
  <c r="AD36" i="18"/>
  <c r="H24" i="17"/>
  <c r="J24" i="17" s="1"/>
  <c r="AN25" i="17"/>
  <c r="AC34" i="17"/>
  <c r="AG33" i="17"/>
  <c r="AE34" i="17"/>
  <c r="AF34" i="17" s="1"/>
  <c r="AH34" i="17" s="1"/>
  <c r="B30" i="17"/>
  <c r="A31" i="17"/>
  <c r="AB35" i="17"/>
  <c r="AA37" i="17"/>
  <c r="AD36" i="17"/>
  <c r="AB33" i="15"/>
  <c r="AE32" i="15"/>
  <c r="AF32" i="15" s="1"/>
  <c r="AH32" i="15" s="1"/>
  <c r="AC32" i="15"/>
  <c r="AA34" i="15"/>
  <c r="AD33" i="15"/>
  <c r="AH31" i="15"/>
  <c r="A29" i="15"/>
  <c r="B28" i="15"/>
  <c r="B29" i="13"/>
  <c r="A30" i="13"/>
  <c r="F24" i="13"/>
  <c r="X34" i="13"/>
  <c r="Y34" i="13" s="1"/>
  <c r="Z34" i="13" s="1"/>
  <c r="AA34" i="13" s="1"/>
  <c r="W35" i="13"/>
  <c r="AC35" i="18" l="1"/>
  <c r="D25" i="13"/>
  <c r="C25" i="13" s="1"/>
  <c r="AC37" i="24"/>
  <c r="AC38" i="24" s="1"/>
  <c r="AE37" i="24"/>
  <c r="AF37" i="24" s="1"/>
  <c r="AG37" i="24" s="1"/>
  <c r="AG36" i="24"/>
  <c r="AE38" i="24"/>
  <c r="AF38" i="24" s="1"/>
  <c r="AG38" i="24" s="1"/>
  <c r="D27" i="24"/>
  <c r="AA40" i="24"/>
  <c r="AD39" i="24"/>
  <c r="AB39" i="24"/>
  <c r="A35" i="24"/>
  <c r="B34" i="24"/>
  <c r="AC36" i="22"/>
  <c r="AE36" i="22"/>
  <c r="AF36" i="22" s="1"/>
  <c r="AH36" i="22" s="1"/>
  <c r="AB37" i="22"/>
  <c r="AD37" i="22"/>
  <c r="AA38" i="22"/>
  <c r="AH35" i="22"/>
  <c r="AG35" i="22"/>
  <c r="B32" i="22"/>
  <c r="A33" i="22"/>
  <c r="B94" i="17"/>
  <c r="A95" i="17"/>
  <c r="L24" i="17"/>
  <c r="AC35" i="20"/>
  <c r="AH34" i="20"/>
  <c r="AB36" i="20"/>
  <c r="AE35" i="20"/>
  <c r="AF35" i="20" s="1"/>
  <c r="AG35" i="20" s="1"/>
  <c r="B30" i="20"/>
  <c r="A31" i="20"/>
  <c r="BH31" i="20" s="1"/>
  <c r="AA38" i="20"/>
  <c r="AD37" i="20"/>
  <c r="AB34" i="15"/>
  <c r="AB36" i="18"/>
  <c r="AE35" i="18"/>
  <c r="AF35" i="18" s="1"/>
  <c r="AH35" i="18" s="1"/>
  <c r="AH34" i="18"/>
  <c r="AA38" i="18"/>
  <c r="AD37" i="18"/>
  <c r="A32" i="18"/>
  <c r="B31" i="18"/>
  <c r="AM25" i="17"/>
  <c r="K24" i="17"/>
  <c r="M24" i="17" s="1"/>
  <c r="AC35" i="17"/>
  <c r="AG34" i="17"/>
  <c r="AA38" i="17"/>
  <c r="AD37" i="17"/>
  <c r="AB36" i="17"/>
  <c r="B31" i="17"/>
  <c r="A32" i="17"/>
  <c r="AE35" i="17"/>
  <c r="AF35" i="17" s="1"/>
  <c r="AG32" i="15"/>
  <c r="AC33" i="15"/>
  <c r="AE33" i="15"/>
  <c r="AF33" i="15" s="1"/>
  <c r="AG33" i="15" s="1"/>
  <c r="AA35" i="15"/>
  <c r="AD34" i="15"/>
  <c r="B29" i="15"/>
  <c r="A30" i="15"/>
  <c r="X35" i="13"/>
  <c r="Y35" i="13" s="1"/>
  <c r="Z35" i="13" s="1"/>
  <c r="AA35" i="13" s="1"/>
  <c r="W36" i="13"/>
  <c r="A31" i="13"/>
  <c r="B30" i="13"/>
  <c r="AC36" i="18" l="1"/>
  <c r="O24" i="17"/>
  <c r="AH37" i="24"/>
  <c r="AH38" i="24"/>
  <c r="AC39" i="24"/>
  <c r="AE39" i="24"/>
  <c r="AF39" i="24" s="1"/>
  <c r="AD40" i="24"/>
  <c r="AB40" i="24"/>
  <c r="AA41" i="24"/>
  <c r="F27" i="24"/>
  <c r="A36" i="24"/>
  <c r="B35" i="24"/>
  <c r="AC37" i="22"/>
  <c r="AG36" i="22"/>
  <c r="AE37" i="22"/>
  <c r="AF37" i="22" s="1"/>
  <c r="AG37" i="22" s="1"/>
  <c r="AD38" i="22"/>
  <c r="AB38" i="22"/>
  <c r="AA39" i="22"/>
  <c r="B33" i="22"/>
  <c r="A34" i="22"/>
  <c r="B95" i="17"/>
  <c r="A96" i="17"/>
  <c r="AC36" i="20"/>
  <c r="AB37" i="20"/>
  <c r="AE36" i="20"/>
  <c r="AF36" i="20" s="1"/>
  <c r="AG36" i="20" s="1"/>
  <c r="AH35" i="20"/>
  <c r="A32" i="20"/>
  <c r="BH32" i="20" s="1"/>
  <c r="B31" i="20"/>
  <c r="AD38" i="20"/>
  <c r="AA39" i="20"/>
  <c r="AE34" i="15"/>
  <c r="AF34" i="15" s="1"/>
  <c r="AG34" i="15" s="1"/>
  <c r="AC34" i="15"/>
  <c r="AB37" i="18"/>
  <c r="AE36" i="18"/>
  <c r="AF36" i="18" s="1"/>
  <c r="AH36" i="18" s="1"/>
  <c r="AG35" i="18"/>
  <c r="A33" i="18"/>
  <c r="B32" i="18"/>
  <c r="AA39" i="18"/>
  <c r="AD38" i="18"/>
  <c r="AL25" i="17"/>
  <c r="C25" i="17" s="1"/>
  <c r="D25" i="17" s="1"/>
  <c r="N24" i="17"/>
  <c r="P24" i="17" s="1"/>
  <c r="R24" i="17" s="1"/>
  <c r="AC36" i="17"/>
  <c r="AE36" i="17"/>
  <c r="AF36" i="17" s="1"/>
  <c r="AH36" i="17" s="1"/>
  <c r="AH35" i="17"/>
  <c r="AG35" i="17"/>
  <c r="AD38" i="17"/>
  <c r="AA39" i="17"/>
  <c r="AB37" i="17"/>
  <c r="A33" i="17"/>
  <c r="B32" i="17"/>
  <c r="AH33" i="15"/>
  <c r="AA36" i="15"/>
  <c r="AD35" i="15"/>
  <c r="AB35" i="15"/>
  <c r="A31" i="15"/>
  <c r="B30" i="15"/>
  <c r="B31" i="13"/>
  <c r="A32" i="13"/>
  <c r="E25" i="13"/>
  <c r="X36" i="13"/>
  <c r="Y36" i="13" s="1"/>
  <c r="Z36" i="13" s="1"/>
  <c r="AA36" i="13" s="1"/>
  <c r="W37" i="13"/>
  <c r="AC37" i="18" l="1"/>
  <c r="AC40" i="24"/>
  <c r="A37" i="24"/>
  <c r="B36" i="24"/>
  <c r="AE40" i="24"/>
  <c r="AF40" i="24" s="1"/>
  <c r="AS27" i="24"/>
  <c r="AM27" i="24"/>
  <c r="AP27" i="24"/>
  <c r="AQ27" i="24" s="1"/>
  <c r="AU29" i="24"/>
  <c r="E27" i="24"/>
  <c r="C28" i="24" s="1"/>
  <c r="D28" i="24" s="1"/>
  <c r="AB41" i="24"/>
  <c r="AA42" i="24"/>
  <c r="AD41" i="24"/>
  <c r="AH39" i="24"/>
  <c r="AG39" i="24"/>
  <c r="AH37" i="22"/>
  <c r="AC38" i="22"/>
  <c r="B34" i="22"/>
  <c r="A35" i="22"/>
  <c r="AB39" i="22"/>
  <c r="AD39" i="22"/>
  <c r="AA40" i="22"/>
  <c r="AE38" i="22"/>
  <c r="AF38" i="22" s="1"/>
  <c r="B96" i="17"/>
  <c r="A97" i="17"/>
  <c r="AC37" i="20"/>
  <c r="AB38" i="20"/>
  <c r="AE37" i="20"/>
  <c r="AF37" i="20" s="1"/>
  <c r="AG37" i="20" s="1"/>
  <c r="AH36" i="20"/>
  <c r="AA40" i="20"/>
  <c r="AD39" i="20"/>
  <c r="B32" i="20"/>
  <c r="A33" i="20"/>
  <c r="BH33" i="20" s="1"/>
  <c r="AH34" i="15"/>
  <c r="AB38" i="18"/>
  <c r="AG36" i="18"/>
  <c r="AE37" i="18"/>
  <c r="AF37" i="18" s="1"/>
  <c r="AG37" i="18" s="1"/>
  <c r="AA40" i="18"/>
  <c r="AD39" i="18"/>
  <c r="A34" i="18"/>
  <c r="B33" i="18"/>
  <c r="F25" i="17"/>
  <c r="E25" i="17" s="1"/>
  <c r="Q24" i="17"/>
  <c r="S24" i="17" s="1"/>
  <c r="U24" i="17" s="1"/>
  <c r="AB36" i="15"/>
  <c r="AC37" i="17"/>
  <c r="AG36" i="17"/>
  <c r="AB38" i="17"/>
  <c r="AE37" i="17"/>
  <c r="AF37" i="17" s="1"/>
  <c r="A34" i="17"/>
  <c r="B33" i="17"/>
  <c r="AD39" i="17"/>
  <c r="AA40" i="17"/>
  <c r="AE35" i="15"/>
  <c r="AF35" i="15" s="1"/>
  <c r="AG35" i="15" s="1"/>
  <c r="AC35" i="15"/>
  <c r="AD36" i="15"/>
  <c r="AA37" i="15"/>
  <c r="A32" i="15"/>
  <c r="B31" i="15"/>
  <c r="X37" i="13"/>
  <c r="Y37" i="13" s="1"/>
  <c r="Z37" i="13" s="1"/>
  <c r="AA37" i="13" s="1"/>
  <c r="W38" i="13"/>
  <c r="B32" i="13"/>
  <c r="A33" i="13"/>
  <c r="G25" i="13"/>
  <c r="AC38" i="18" l="1"/>
  <c r="AE41" i="24"/>
  <c r="AF41" i="24" s="1"/>
  <c r="AG41" i="24" s="1"/>
  <c r="AA43" i="24"/>
  <c r="AD42" i="24"/>
  <c r="AB42" i="24"/>
  <c r="AH40" i="24"/>
  <c r="AG40" i="24"/>
  <c r="F28" i="24"/>
  <c r="AC41" i="24"/>
  <c r="A38" i="24"/>
  <c r="B37" i="24"/>
  <c r="AC39" i="22"/>
  <c r="AE39" i="22"/>
  <c r="AF39" i="22" s="1"/>
  <c r="AH39" i="22" s="1"/>
  <c r="AH38" i="22"/>
  <c r="AG38" i="22"/>
  <c r="B35" i="22"/>
  <c r="A36" i="22"/>
  <c r="AD40" i="22"/>
  <c r="AB40" i="22"/>
  <c r="AA41" i="22"/>
  <c r="A98" i="17"/>
  <c r="B97" i="17"/>
  <c r="AC38" i="20"/>
  <c r="AH37" i="20"/>
  <c r="AE38" i="20"/>
  <c r="AF38" i="20" s="1"/>
  <c r="AH38" i="20" s="1"/>
  <c r="AB39" i="20"/>
  <c r="A34" i="20"/>
  <c r="BH34" i="20" s="1"/>
  <c r="B33" i="20"/>
  <c r="AA41" i="20"/>
  <c r="AD40" i="20"/>
  <c r="AB39" i="18"/>
  <c r="AH37" i="18"/>
  <c r="AE38" i="18"/>
  <c r="AF38" i="18" s="1"/>
  <c r="AH38" i="18" s="1"/>
  <c r="A35" i="18"/>
  <c r="B34" i="18"/>
  <c r="AA41" i="18"/>
  <c r="AD40" i="18"/>
  <c r="G25" i="17"/>
  <c r="AO27" i="17"/>
  <c r="AN26" i="17"/>
  <c r="AM26" i="17" s="1"/>
  <c r="AL26" i="17" s="1"/>
  <c r="AC36" i="15"/>
  <c r="AB37" i="15"/>
  <c r="AE36" i="15"/>
  <c r="AF36" i="15" s="1"/>
  <c r="AG36" i="15" s="1"/>
  <c r="T24" i="17"/>
  <c r="AC38" i="17"/>
  <c r="AB39" i="17"/>
  <c r="AE38" i="17"/>
  <c r="AF38" i="17" s="1"/>
  <c r="AG38" i="17" s="1"/>
  <c r="AA41" i="17"/>
  <c r="AD40" i="17"/>
  <c r="B34" i="17"/>
  <c r="A35" i="17"/>
  <c r="AH37" i="17"/>
  <c r="AG37" i="17"/>
  <c r="AH35" i="15"/>
  <c r="AA38" i="15"/>
  <c r="AD37" i="15"/>
  <c r="B32" i="15"/>
  <c r="A33" i="15"/>
  <c r="F25" i="13"/>
  <c r="B33" i="13"/>
  <c r="A34" i="13"/>
  <c r="X38" i="13"/>
  <c r="Y38" i="13" s="1"/>
  <c r="Z38" i="13" s="1"/>
  <c r="AA38" i="13" s="1"/>
  <c r="W39" i="13"/>
  <c r="AC39" i="18" l="1"/>
  <c r="D26" i="13"/>
  <c r="C26" i="13" s="1"/>
  <c r="AH41" i="24"/>
  <c r="AC42" i="24"/>
  <c r="AM28" i="24"/>
  <c r="E28" i="24"/>
  <c r="C29" i="24" s="1"/>
  <c r="D29" i="24" s="1"/>
  <c r="F29" i="24" s="1"/>
  <c r="AE42" i="24"/>
  <c r="AF42" i="24" s="1"/>
  <c r="AA44" i="24"/>
  <c r="AD43" i="24"/>
  <c r="AB43" i="24"/>
  <c r="B38" i="24"/>
  <c r="A39" i="24"/>
  <c r="AC40" i="22"/>
  <c r="AG39" i="22"/>
  <c r="AE40" i="22"/>
  <c r="AF40" i="22" s="1"/>
  <c r="AH40" i="22" s="1"/>
  <c r="B36" i="22"/>
  <c r="A37" i="22"/>
  <c r="AB41" i="22"/>
  <c r="AD41" i="22"/>
  <c r="AA42" i="22"/>
  <c r="B98" i="17"/>
  <c r="A99" i="17"/>
  <c r="C26" i="17"/>
  <c r="D26" i="17" s="1"/>
  <c r="F26" i="17" s="1"/>
  <c r="E26" i="17" s="1"/>
  <c r="G26" i="17" s="1"/>
  <c r="AC39" i="20"/>
  <c r="AE39" i="20"/>
  <c r="AF39" i="20" s="1"/>
  <c r="AH39" i="20" s="1"/>
  <c r="AB40" i="20"/>
  <c r="AG38" i="20"/>
  <c r="AD41" i="20"/>
  <c r="AA42" i="20"/>
  <c r="B34" i="20"/>
  <c r="A35" i="20"/>
  <c r="BH35" i="20" s="1"/>
  <c r="AB40" i="18"/>
  <c r="AE39" i="18"/>
  <c r="AF39" i="18" s="1"/>
  <c r="AH39" i="18" s="1"/>
  <c r="AG38" i="18"/>
  <c r="AD41" i="18"/>
  <c r="AA42" i="18"/>
  <c r="A36" i="18"/>
  <c r="B35" i="18"/>
  <c r="AB38" i="15"/>
  <c r="AE37" i="15"/>
  <c r="AF37" i="15" s="1"/>
  <c r="AH37" i="15" s="1"/>
  <c r="AH36" i="15"/>
  <c r="V24" i="17"/>
  <c r="X24" i="17" s="1"/>
  <c r="W24" i="17"/>
  <c r="AC39" i="17"/>
  <c r="AB40" i="17"/>
  <c r="AE39" i="17"/>
  <c r="AF39" i="17" s="1"/>
  <c r="AH39" i="17" s="1"/>
  <c r="AH38" i="17"/>
  <c r="B35" i="17"/>
  <c r="A36" i="17"/>
  <c r="AA42" i="17"/>
  <c r="AD41" i="17"/>
  <c r="AC37" i="15"/>
  <c r="AD38" i="15"/>
  <c r="AA39" i="15"/>
  <c r="B33" i="15"/>
  <c r="A34" i="15"/>
  <c r="X39" i="13"/>
  <c r="Y39" i="13" s="1"/>
  <c r="Z39" i="13" s="1"/>
  <c r="AA39" i="13" s="1"/>
  <c r="W40" i="13"/>
  <c r="B34" i="13"/>
  <c r="A35" i="13"/>
  <c r="AC40" i="18" l="1"/>
  <c r="AE43" i="24"/>
  <c r="AF43" i="24" s="1"/>
  <c r="AH43" i="24" s="1"/>
  <c r="AC43" i="24"/>
  <c r="AG42" i="24"/>
  <c r="AH42" i="24"/>
  <c r="E29" i="24"/>
  <c r="C30" i="24" s="1"/>
  <c r="D30" i="24" s="1"/>
  <c r="F30" i="24" s="1"/>
  <c r="AM29" i="24"/>
  <c r="B39" i="24"/>
  <c r="A40" i="24"/>
  <c r="AB44" i="24"/>
  <c r="AA45" i="24"/>
  <c r="AD44" i="24"/>
  <c r="AG40" i="22"/>
  <c r="AE41" i="22"/>
  <c r="AF41" i="22" s="1"/>
  <c r="AG41" i="22" s="1"/>
  <c r="B37" i="22"/>
  <c r="A38" i="22"/>
  <c r="AD42" i="22"/>
  <c r="AB42" i="22"/>
  <c r="AA43" i="22"/>
  <c r="AC41" i="22"/>
  <c r="B99" i="17"/>
  <c r="A100" i="17"/>
  <c r="AP29" i="17"/>
  <c r="AN27" i="17"/>
  <c r="AC40" i="20"/>
  <c r="AE40" i="20"/>
  <c r="AF40" i="20" s="1"/>
  <c r="AG40" i="20" s="1"/>
  <c r="AG39" i="20"/>
  <c r="AB41" i="20"/>
  <c r="B35" i="20"/>
  <c r="A36" i="20"/>
  <c r="AA43" i="20"/>
  <c r="AD42" i="20"/>
  <c r="AE40" i="18"/>
  <c r="AF40" i="18" s="1"/>
  <c r="AH40" i="18" s="1"/>
  <c r="AB41" i="18"/>
  <c r="AB42" i="18" s="1"/>
  <c r="AG39" i="18"/>
  <c r="A37" i="18"/>
  <c r="B36" i="18"/>
  <c r="AA43" i="18"/>
  <c r="AD42" i="18"/>
  <c r="AE38" i="15"/>
  <c r="AF38" i="15" s="1"/>
  <c r="AG38" i="15" s="1"/>
  <c r="AM27" i="17"/>
  <c r="AL27" i="17" s="1"/>
  <c r="AB39" i="15"/>
  <c r="AG37" i="15"/>
  <c r="AC38" i="15"/>
  <c r="Y24" i="17"/>
  <c r="AA24" i="17" s="1"/>
  <c r="Z24" i="17"/>
  <c r="AC40" i="17"/>
  <c r="AB41" i="17"/>
  <c r="AE41" i="17" s="1"/>
  <c r="AF41" i="17" s="1"/>
  <c r="AE40" i="17"/>
  <c r="AF40" i="17" s="1"/>
  <c r="AG40" i="17" s="1"/>
  <c r="AG39" i="17"/>
  <c r="A37" i="17"/>
  <c r="B36" i="17"/>
  <c r="AA43" i="17"/>
  <c r="AD42" i="17"/>
  <c r="AD39" i="15"/>
  <c r="AA40" i="15"/>
  <c r="A35" i="15"/>
  <c r="B34" i="15"/>
  <c r="E26" i="13"/>
  <c r="X40" i="13"/>
  <c r="Y40" i="13" s="1"/>
  <c r="Z40" i="13" s="1"/>
  <c r="AA40" i="13" s="1"/>
  <c r="W41" i="13"/>
  <c r="B35" i="13"/>
  <c r="A36" i="13"/>
  <c r="AE44" i="24" l="1"/>
  <c r="AF44" i="24" s="1"/>
  <c r="AG44" i="24" s="1"/>
  <c r="AG43" i="24"/>
  <c r="AB45" i="24"/>
  <c r="AD45" i="24"/>
  <c r="AA46" i="24"/>
  <c r="AC44" i="24"/>
  <c r="A41" i="24"/>
  <c r="B40" i="24"/>
  <c r="E30" i="24"/>
  <c r="C31" i="24" s="1"/>
  <c r="D31" i="24" s="1"/>
  <c r="F31" i="24" s="1"/>
  <c r="AN30" i="24"/>
  <c r="AM30" i="24"/>
  <c r="AH41" i="22"/>
  <c r="AC42" i="22"/>
  <c r="AE42" i="22"/>
  <c r="AF42" i="22" s="1"/>
  <c r="B38" i="22"/>
  <c r="A39" i="22"/>
  <c r="AB43" i="22"/>
  <c r="AD43" i="22"/>
  <c r="AA44" i="22"/>
  <c r="B100" i="17"/>
  <c r="A101" i="17"/>
  <c r="AC41" i="20"/>
  <c r="AH40" i="20"/>
  <c r="AB42" i="20"/>
  <c r="AB43" i="20" s="1"/>
  <c r="AE41" i="20"/>
  <c r="AF41" i="20" s="1"/>
  <c r="AG41" i="20" s="1"/>
  <c r="AA44" i="20"/>
  <c r="AD43" i="20"/>
  <c r="B36" i="20"/>
  <c r="A37" i="20"/>
  <c r="AG40" i="18"/>
  <c r="AE41" i="18"/>
  <c r="AF41" i="18" s="1"/>
  <c r="AG41" i="18" s="1"/>
  <c r="AC41" i="18"/>
  <c r="AC42" i="18" s="1"/>
  <c r="AE42" i="18"/>
  <c r="AF42" i="18" s="1"/>
  <c r="AG42" i="18" s="1"/>
  <c r="AD43" i="18"/>
  <c r="AA44" i="18"/>
  <c r="AB43" i="18"/>
  <c r="A38" i="18"/>
  <c r="B37" i="18"/>
  <c r="AH38" i="15"/>
  <c r="C27" i="17"/>
  <c r="D27" i="17" s="1"/>
  <c r="F27" i="17" s="1"/>
  <c r="E27" i="17" s="1"/>
  <c r="G27" i="17" s="1"/>
  <c r="AB40" i="15"/>
  <c r="AC39" i="15"/>
  <c r="AB24" i="17"/>
  <c r="AD24" i="17" s="1"/>
  <c r="AC24" i="17"/>
  <c r="AB42" i="17"/>
  <c r="AB43" i="17" s="1"/>
  <c r="AC41" i="17"/>
  <c r="AH40" i="17"/>
  <c r="AG41" i="17"/>
  <c r="AH41" i="17"/>
  <c r="AD43" i="17"/>
  <c r="AA44" i="17"/>
  <c r="A38" i="17"/>
  <c r="B37" i="17"/>
  <c r="AE39" i="15"/>
  <c r="AF39" i="15" s="1"/>
  <c r="AH39" i="15" s="1"/>
  <c r="AA41" i="15"/>
  <c r="AD40" i="15"/>
  <c r="A36" i="15"/>
  <c r="B35" i="15"/>
  <c r="B36" i="13"/>
  <c r="A37" i="13"/>
  <c r="X41" i="13"/>
  <c r="Y41" i="13" s="1"/>
  <c r="Z41" i="13" s="1"/>
  <c r="AA41" i="13" s="1"/>
  <c r="W42" i="13"/>
  <c r="G26" i="13"/>
  <c r="AH44" i="24" l="1"/>
  <c r="AE45" i="24"/>
  <c r="AF45" i="24" s="1"/>
  <c r="AH45" i="24" s="1"/>
  <c r="AA47" i="24"/>
  <c r="AD46" i="24"/>
  <c r="AB46" i="24"/>
  <c r="E31" i="24"/>
  <c r="C32" i="24" s="1"/>
  <c r="D32" i="24" s="1"/>
  <c r="F32" i="24" s="1"/>
  <c r="AM31" i="24"/>
  <c r="A42" i="24"/>
  <c r="B41" i="24"/>
  <c r="AC45" i="24"/>
  <c r="AC43" i="22"/>
  <c r="B39" i="22"/>
  <c r="A40" i="22"/>
  <c r="AD44" i="22"/>
  <c r="AB44" i="22"/>
  <c r="AA45" i="22"/>
  <c r="AE43" i="22"/>
  <c r="AF43" i="22" s="1"/>
  <c r="AH42" i="22"/>
  <c r="AG42" i="22"/>
  <c r="A102" i="17"/>
  <c r="B101" i="17"/>
  <c r="AH41" i="20"/>
  <c r="AC42" i="20"/>
  <c r="AC43" i="20" s="1"/>
  <c r="AE42" i="20"/>
  <c r="AF42" i="20" s="1"/>
  <c r="AG42" i="20" s="1"/>
  <c r="AD44" i="20"/>
  <c r="AB44" i="20"/>
  <c r="AA45" i="20"/>
  <c r="B37" i="20"/>
  <c r="A38" i="20"/>
  <c r="AE43" i="20"/>
  <c r="AF43" i="20" s="1"/>
  <c r="AH41" i="18"/>
  <c r="AC43" i="18"/>
  <c r="AH42" i="18"/>
  <c r="AE43" i="18"/>
  <c r="AF43" i="18" s="1"/>
  <c r="AA45" i="18"/>
  <c r="AB44" i="18"/>
  <c r="AD44" i="18"/>
  <c r="A39" i="18"/>
  <c r="B38" i="18"/>
  <c r="AE40" i="15"/>
  <c r="AF40" i="15" s="1"/>
  <c r="AH40" i="15" s="1"/>
  <c r="AE24" i="17"/>
  <c r="AG24" i="17" s="1"/>
  <c r="AC40" i="15"/>
  <c r="AB41" i="15"/>
  <c r="AF24" i="17"/>
  <c r="AC42" i="17"/>
  <c r="AC43" i="17" s="1"/>
  <c r="AE42" i="17"/>
  <c r="AF42" i="17" s="1"/>
  <c r="AG42" i="17" s="1"/>
  <c r="AN28" i="17"/>
  <c r="AO29" i="17"/>
  <c r="AE43" i="17"/>
  <c r="AF43" i="17" s="1"/>
  <c r="AG43" i="17" s="1"/>
  <c r="AA45" i="17"/>
  <c r="AD44" i="17"/>
  <c r="AB44" i="17"/>
  <c r="B38" i="17"/>
  <c r="A39" i="17"/>
  <c r="AG39" i="15"/>
  <c r="AA42" i="15"/>
  <c r="AD41" i="15"/>
  <c r="B36" i="15"/>
  <c r="A37" i="15"/>
  <c r="F26" i="13"/>
  <c r="X42" i="13"/>
  <c r="Y42" i="13" s="1"/>
  <c r="Z42" i="13" s="1"/>
  <c r="AA42" i="13" s="1"/>
  <c r="W43" i="13"/>
  <c r="B37" i="13"/>
  <c r="A38" i="13"/>
  <c r="D27" i="13" l="1"/>
  <c r="C27" i="13" s="1"/>
  <c r="AG45" i="24"/>
  <c r="E32" i="24"/>
  <c r="C33" i="24" s="1"/>
  <c r="D33" i="24" s="1"/>
  <c r="F33" i="24" s="1"/>
  <c r="AM32" i="24"/>
  <c r="AE46" i="24"/>
  <c r="AF46" i="24" s="1"/>
  <c r="AC46" i="24"/>
  <c r="B42" i="24"/>
  <c r="A43" i="24"/>
  <c r="AA48" i="24"/>
  <c r="AD47" i="24"/>
  <c r="AB47" i="24"/>
  <c r="AC44" i="22"/>
  <c r="AH43" i="22"/>
  <c r="AG43" i="22"/>
  <c r="AE44" i="22"/>
  <c r="AF44" i="22" s="1"/>
  <c r="B40" i="22"/>
  <c r="A41" i="22"/>
  <c r="AB45" i="22"/>
  <c r="AD45" i="22"/>
  <c r="AA46" i="22"/>
  <c r="B102" i="17"/>
  <c r="A103" i="17"/>
  <c r="AH42" i="20"/>
  <c r="AC44" i="20"/>
  <c r="AE44" i="20"/>
  <c r="AF44" i="20" s="1"/>
  <c r="AH44" i="20" s="1"/>
  <c r="AG43" i="20"/>
  <c r="AH43" i="20"/>
  <c r="AA46" i="20"/>
  <c r="AB45" i="20"/>
  <c r="AD45" i="20"/>
  <c r="A39" i="20"/>
  <c r="B38" i="20"/>
  <c r="AC44" i="18"/>
  <c r="A40" i="18"/>
  <c r="B39" i="18"/>
  <c r="AH43" i="18"/>
  <c r="AG43" i="18"/>
  <c r="AD45" i="18"/>
  <c r="AB45" i="18"/>
  <c r="AA46" i="18"/>
  <c r="AE44" i="18"/>
  <c r="AF44" i="18" s="1"/>
  <c r="AG40" i="15"/>
  <c r="AH24" i="17"/>
  <c r="AM28" i="17"/>
  <c r="AL28" i="17" s="1"/>
  <c r="C28" i="17" s="1"/>
  <c r="AB42" i="15"/>
  <c r="AC41" i="15"/>
  <c r="AI24" i="17"/>
  <c r="AH42" i="17"/>
  <c r="AH43" i="17"/>
  <c r="AC44" i="17"/>
  <c r="AD45" i="17"/>
  <c r="AA46" i="17"/>
  <c r="AB45" i="17"/>
  <c r="AE44" i="17"/>
  <c r="AF44" i="17" s="1"/>
  <c r="A40" i="17"/>
  <c r="B39" i="17"/>
  <c r="AE41" i="15"/>
  <c r="AF41" i="15" s="1"/>
  <c r="AH41" i="15" s="1"/>
  <c r="AA43" i="15"/>
  <c r="AD42" i="15"/>
  <c r="B37" i="15"/>
  <c r="A38" i="15"/>
  <c r="B38" i="13"/>
  <c r="A39" i="13"/>
  <c r="X43" i="13"/>
  <c r="Y43" i="13" s="1"/>
  <c r="Z43" i="13" s="1"/>
  <c r="AA43" i="13" s="1"/>
  <c r="W44" i="13"/>
  <c r="AC47" i="24" l="1"/>
  <c r="AE47" i="24"/>
  <c r="AF47" i="24" s="1"/>
  <c r="AG47" i="24" s="1"/>
  <c r="AG46" i="24"/>
  <c r="AH46" i="24"/>
  <c r="AA49" i="24"/>
  <c r="AD48" i="24"/>
  <c r="AB48" i="24"/>
  <c r="B43" i="24"/>
  <c r="A44" i="24"/>
  <c r="AM33" i="24"/>
  <c r="E33" i="24"/>
  <c r="C34" i="24" s="1"/>
  <c r="D34" i="24" s="1"/>
  <c r="F34" i="24" s="1"/>
  <c r="AC45" i="22"/>
  <c r="AD46" i="22"/>
  <c r="AB46" i="22"/>
  <c r="AA47" i="22"/>
  <c r="AE45" i="22"/>
  <c r="AF45" i="22" s="1"/>
  <c r="AH44" i="22"/>
  <c r="AG44" i="22"/>
  <c r="B41" i="22"/>
  <c r="A42" i="22"/>
  <c r="B103" i="17"/>
  <c r="A104" i="17"/>
  <c r="AE45" i="20"/>
  <c r="AF45" i="20" s="1"/>
  <c r="AG45" i="20" s="1"/>
  <c r="AG44" i="20"/>
  <c r="AC45" i="20"/>
  <c r="AA47" i="20"/>
  <c r="AD46" i="20"/>
  <c r="AB46" i="20"/>
  <c r="B39" i="20"/>
  <c r="A40" i="20"/>
  <c r="AE42" i="15"/>
  <c r="AF42" i="15" s="1"/>
  <c r="AG42" i="15" s="1"/>
  <c r="AC45" i="18"/>
  <c r="AH44" i="18"/>
  <c r="AG44" i="18"/>
  <c r="AA47" i="18"/>
  <c r="AB46" i="18"/>
  <c r="AD46" i="18"/>
  <c r="AE45" i="18"/>
  <c r="AF45" i="18" s="1"/>
  <c r="A41" i="18"/>
  <c r="B40" i="18"/>
  <c r="AC42" i="15"/>
  <c r="AB43" i="15"/>
  <c r="D28" i="17"/>
  <c r="AC45" i="17"/>
  <c r="A41" i="17"/>
  <c r="B40" i="17"/>
  <c r="AB46" i="17"/>
  <c r="AA47" i="17"/>
  <c r="AD46" i="17"/>
  <c r="AH44" i="17"/>
  <c r="AG44" i="17"/>
  <c r="AE45" i="17"/>
  <c r="AF45" i="17" s="1"/>
  <c r="AG41" i="15"/>
  <c r="AA44" i="15"/>
  <c r="AD43" i="15"/>
  <c r="A39" i="15"/>
  <c r="B38" i="15"/>
  <c r="B39" i="13"/>
  <c r="A40" i="13"/>
  <c r="X44" i="13"/>
  <c r="Y44" i="13" s="1"/>
  <c r="Z44" i="13" s="1"/>
  <c r="AA44" i="13" s="1"/>
  <c r="W45" i="13"/>
  <c r="E27" i="13"/>
  <c r="AH47" i="24" l="1"/>
  <c r="AC48" i="24"/>
  <c r="AE48" i="24"/>
  <c r="AF48" i="24" s="1"/>
  <c r="AH48" i="24" s="1"/>
  <c r="B44" i="24"/>
  <c r="A45" i="24"/>
  <c r="AM34" i="24"/>
  <c r="E34" i="24"/>
  <c r="C35" i="24" s="1"/>
  <c r="D35" i="24" s="1"/>
  <c r="F35" i="24" s="1"/>
  <c r="AA50" i="24"/>
  <c r="AD49" i="24"/>
  <c r="AB49" i="24"/>
  <c r="AC46" i="22"/>
  <c r="AB47" i="22"/>
  <c r="AD47" i="22"/>
  <c r="AA48" i="22"/>
  <c r="B42" i="22"/>
  <c r="A43" i="22"/>
  <c r="AH45" i="22"/>
  <c r="AG45" i="22"/>
  <c r="AE46" i="22"/>
  <c r="AF46" i="22" s="1"/>
  <c r="B104" i="17"/>
  <c r="A105" i="17"/>
  <c r="AH45" i="20"/>
  <c r="AE46" i="20"/>
  <c r="AF46" i="20" s="1"/>
  <c r="AH46" i="20" s="1"/>
  <c r="AA48" i="20"/>
  <c r="AD47" i="20"/>
  <c r="AB47" i="20"/>
  <c r="A41" i="20"/>
  <c r="B40" i="20"/>
  <c r="AC46" i="20"/>
  <c r="AH42" i="15"/>
  <c r="AC46" i="18"/>
  <c r="AH45" i="18"/>
  <c r="AG45" i="18"/>
  <c r="A42" i="18"/>
  <c r="B41" i="18"/>
  <c r="AD47" i="18"/>
  <c r="AB47" i="18"/>
  <c r="AA48" i="18"/>
  <c r="AE46" i="18"/>
  <c r="AF46" i="18" s="1"/>
  <c r="AC43" i="15"/>
  <c r="AB44" i="15"/>
  <c r="F28" i="17"/>
  <c r="E28" i="17" s="1"/>
  <c r="G28" i="17" s="1"/>
  <c r="AE46" i="17"/>
  <c r="AF46" i="17" s="1"/>
  <c r="AG46" i="17" s="1"/>
  <c r="A42" i="17"/>
  <c r="B41" i="17"/>
  <c r="AH45" i="17"/>
  <c r="AG45" i="17"/>
  <c r="AA48" i="17"/>
  <c r="AB47" i="17"/>
  <c r="AD47" i="17"/>
  <c r="AC46" i="17"/>
  <c r="AE43" i="15"/>
  <c r="AF43" i="15" s="1"/>
  <c r="AH43" i="15" s="1"/>
  <c r="AD44" i="15"/>
  <c r="AA45" i="15"/>
  <c r="A40" i="15"/>
  <c r="B39" i="15"/>
  <c r="G27" i="13"/>
  <c r="B40" i="13"/>
  <c r="A41" i="13"/>
  <c r="X45" i="13"/>
  <c r="Y45" i="13" s="1"/>
  <c r="Z45" i="13" s="1"/>
  <c r="AA45" i="13" s="1"/>
  <c r="W46" i="13"/>
  <c r="AG48" i="24" l="1"/>
  <c r="AC49" i="24"/>
  <c r="AE49" i="24"/>
  <c r="AF49" i="24" s="1"/>
  <c r="A46" i="24"/>
  <c r="B45" i="24"/>
  <c r="AM35" i="24"/>
  <c r="E35" i="24"/>
  <c r="C36" i="24" s="1"/>
  <c r="D36" i="24" s="1"/>
  <c r="F36" i="24" s="1"/>
  <c r="AO35" i="24"/>
  <c r="AN35" i="24"/>
  <c r="AA51" i="24"/>
  <c r="AD50" i="24"/>
  <c r="AB50" i="24"/>
  <c r="AC47" i="22"/>
  <c r="AE47" i="22"/>
  <c r="AF47" i="22" s="1"/>
  <c r="AG47" i="22" s="1"/>
  <c r="AD48" i="22"/>
  <c r="AB48" i="22"/>
  <c r="AA49" i="22"/>
  <c r="B43" i="22"/>
  <c r="A44" i="22"/>
  <c r="AH46" i="22"/>
  <c r="AG46" i="22"/>
  <c r="A106" i="17"/>
  <c r="B105" i="17"/>
  <c r="AE47" i="20"/>
  <c r="AF47" i="20" s="1"/>
  <c r="AG47" i="20" s="1"/>
  <c r="AG46" i="20"/>
  <c r="AA49" i="20"/>
  <c r="AD48" i="20"/>
  <c r="AB48" i="20"/>
  <c r="A42" i="20"/>
  <c r="B41" i="20"/>
  <c r="AC47" i="20"/>
  <c r="AB45" i="15"/>
  <c r="AC47" i="18"/>
  <c r="AG46" i="18"/>
  <c r="AH46" i="18"/>
  <c r="A43" i="18"/>
  <c r="B42" i="18"/>
  <c r="AA49" i="18"/>
  <c r="AB48" i="18"/>
  <c r="AD48" i="18"/>
  <c r="AE47" i="18"/>
  <c r="AF47" i="18" s="1"/>
  <c r="AE44" i="15"/>
  <c r="AF44" i="15" s="1"/>
  <c r="AG44" i="15" s="1"/>
  <c r="AC44" i="15"/>
  <c r="AN29" i="17"/>
  <c r="AH46" i="17"/>
  <c r="AE47" i="17"/>
  <c r="AF47" i="17" s="1"/>
  <c r="AG47" i="17" s="1"/>
  <c r="AC47" i="17"/>
  <c r="AA49" i="17"/>
  <c r="AD48" i="17"/>
  <c r="AB48" i="17"/>
  <c r="B42" i="17"/>
  <c r="A43" i="17"/>
  <c r="AG43" i="15"/>
  <c r="AA46" i="15"/>
  <c r="AD45" i="15"/>
  <c r="B40" i="15"/>
  <c r="A41" i="15"/>
  <c r="B41" i="13"/>
  <c r="A42" i="13"/>
  <c r="X46" i="13"/>
  <c r="Y46" i="13" s="1"/>
  <c r="Z46" i="13" s="1"/>
  <c r="AA46" i="13" s="1"/>
  <c r="W47" i="13"/>
  <c r="F27" i="13"/>
  <c r="D28" i="13" l="1"/>
  <c r="C28" i="13" s="1"/>
  <c r="AC50" i="24"/>
  <c r="AA52" i="24"/>
  <c r="AB51" i="24"/>
  <c r="AD51" i="24"/>
  <c r="A47" i="24"/>
  <c r="B46" i="24"/>
  <c r="AE50" i="24"/>
  <c r="AF50" i="24" s="1"/>
  <c r="AM36" i="24"/>
  <c r="E36" i="24"/>
  <c r="C37" i="24" s="1"/>
  <c r="D37" i="24" s="1"/>
  <c r="F37" i="24" s="1"/>
  <c r="AG49" i="24"/>
  <c r="AH49" i="24"/>
  <c r="AC48" i="22"/>
  <c r="AH47" i="22"/>
  <c r="B44" i="22"/>
  <c r="A45" i="22"/>
  <c r="AB49" i="22"/>
  <c r="AD49" i="22"/>
  <c r="AA50" i="22"/>
  <c r="AE48" i="22"/>
  <c r="AF48" i="22" s="1"/>
  <c r="A107" i="17"/>
  <c r="B106" i="17"/>
  <c r="AH47" i="20"/>
  <c r="AE48" i="20"/>
  <c r="AF48" i="20" s="1"/>
  <c r="AG48" i="20" s="1"/>
  <c r="B42" i="20"/>
  <c r="A43" i="20"/>
  <c r="AD49" i="20"/>
  <c r="AA50" i="20"/>
  <c r="AB49" i="20"/>
  <c r="AC48" i="20"/>
  <c r="AB46" i="15"/>
  <c r="AE48" i="18"/>
  <c r="AF48" i="18" s="1"/>
  <c r="AG48" i="18" s="1"/>
  <c r="AH47" i="18"/>
  <c r="AG47" i="18"/>
  <c r="A44" i="18"/>
  <c r="B43" i="18"/>
  <c r="AC48" i="18"/>
  <c r="AD49" i="18"/>
  <c r="AB49" i="18"/>
  <c r="AA50" i="18"/>
  <c r="AC45" i="15"/>
  <c r="AH44" i="15"/>
  <c r="AM29" i="17"/>
  <c r="AL29" i="17" s="1"/>
  <c r="C29" i="17" s="1"/>
  <c r="D29" i="17" s="1"/>
  <c r="AH47" i="17"/>
  <c r="AE48" i="17"/>
  <c r="AF48" i="17" s="1"/>
  <c r="AH48" i="17" s="1"/>
  <c r="AB49" i="17"/>
  <c r="AA50" i="17"/>
  <c r="AD49" i="17"/>
  <c r="B43" i="17"/>
  <c r="A44" i="17"/>
  <c r="AC48" i="17"/>
  <c r="AE45" i="15"/>
  <c r="AF45" i="15" s="1"/>
  <c r="AG45" i="15" s="1"/>
  <c r="AA47" i="15"/>
  <c r="AD46" i="15"/>
  <c r="B41" i="15"/>
  <c r="A42" i="15"/>
  <c r="B42" i="13"/>
  <c r="A43" i="13"/>
  <c r="X47" i="13"/>
  <c r="Y47" i="13" s="1"/>
  <c r="Z47" i="13" s="1"/>
  <c r="AA47" i="13" s="1"/>
  <c r="W48" i="13"/>
  <c r="AE51" i="24" l="1"/>
  <c r="AF51" i="24" s="1"/>
  <c r="AG51" i="24" s="1"/>
  <c r="A48" i="24"/>
  <c r="B47" i="24"/>
  <c r="AG50" i="24"/>
  <c r="AH50" i="24"/>
  <c r="AC51" i="24"/>
  <c r="AM37" i="24"/>
  <c r="E37" i="24"/>
  <c r="C38" i="24" s="1"/>
  <c r="D38" i="24" s="1"/>
  <c r="F38" i="24" s="1"/>
  <c r="AD52" i="24"/>
  <c r="AA53" i="24"/>
  <c r="AB52" i="24"/>
  <c r="AC49" i="22"/>
  <c r="AE49" i="22"/>
  <c r="AF49" i="22" s="1"/>
  <c r="AH49" i="22" s="1"/>
  <c r="AH48" i="22"/>
  <c r="AG48" i="22"/>
  <c r="B45" i="22"/>
  <c r="A46" i="22"/>
  <c r="AD50" i="22"/>
  <c r="AB50" i="22"/>
  <c r="AA51" i="22"/>
  <c r="B107" i="17"/>
  <c r="A108" i="17"/>
  <c r="AH48" i="20"/>
  <c r="AC49" i="20"/>
  <c r="AA51" i="20"/>
  <c r="AB50" i="20"/>
  <c r="AD50" i="20"/>
  <c r="AE49" i="20"/>
  <c r="AF49" i="20" s="1"/>
  <c r="B43" i="20"/>
  <c r="A44" i="20"/>
  <c r="AB47" i="15"/>
  <c r="AC46" i="15"/>
  <c r="AE49" i="18"/>
  <c r="AF49" i="18" s="1"/>
  <c r="AH49" i="18" s="1"/>
  <c r="AH48" i="18"/>
  <c r="AA51" i="18"/>
  <c r="AB50" i="18"/>
  <c r="AD50" i="18"/>
  <c r="A45" i="18"/>
  <c r="B44" i="18"/>
  <c r="AC49" i="18"/>
  <c r="AE46" i="15"/>
  <c r="AF46" i="15" s="1"/>
  <c r="AH46" i="15" s="1"/>
  <c r="F29" i="17"/>
  <c r="E29" i="17" s="1"/>
  <c r="G29" i="17" s="1"/>
  <c r="AE49" i="17"/>
  <c r="AF49" i="17" s="1"/>
  <c r="AH49" i="17" s="1"/>
  <c r="AG48" i="17"/>
  <c r="A45" i="17"/>
  <c r="B44" i="17"/>
  <c r="AB50" i="17"/>
  <c r="AD50" i="17"/>
  <c r="AA51" i="17"/>
  <c r="AC49" i="17"/>
  <c r="AH45" i="15"/>
  <c r="AA48" i="15"/>
  <c r="AD47" i="15"/>
  <c r="B42" i="15"/>
  <c r="A43" i="15"/>
  <c r="X48" i="13"/>
  <c r="Y48" i="13" s="1"/>
  <c r="Z48" i="13" s="1"/>
  <c r="AA48" i="13" s="1"/>
  <c r="W49" i="13"/>
  <c r="B43" i="13"/>
  <c r="A44" i="13"/>
  <c r="E28" i="13"/>
  <c r="AH51" i="24" l="1"/>
  <c r="AE52" i="24"/>
  <c r="AF52" i="24" s="1"/>
  <c r="AH52" i="24" s="1"/>
  <c r="AC52" i="24"/>
  <c r="E38" i="24"/>
  <c r="C39" i="24" s="1"/>
  <c r="D39" i="24" s="1"/>
  <c r="F39" i="24" s="1"/>
  <c r="AM38" i="24"/>
  <c r="A49" i="24"/>
  <c r="B48" i="24"/>
  <c r="AA54" i="24"/>
  <c r="AB53" i="24"/>
  <c r="AD53" i="24"/>
  <c r="AC50" i="22"/>
  <c r="AG49" i="22"/>
  <c r="AE50" i="22"/>
  <c r="AF50" i="22" s="1"/>
  <c r="AG50" i="22" s="1"/>
  <c r="B46" i="22"/>
  <c r="A47" i="22"/>
  <c r="AB51" i="22"/>
  <c r="AD51" i="22"/>
  <c r="AA52" i="22"/>
  <c r="B108" i="17"/>
  <c r="A109" i="17"/>
  <c r="AC50" i="20"/>
  <c r="AH49" i="20"/>
  <c r="AG49" i="20"/>
  <c r="AD51" i="20"/>
  <c r="AB51" i="20"/>
  <c r="AA52" i="20"/>
  <c r="A45" i="20"/>
  <c r="B44" i="20"/>
  <c r="AE50" i="20"/>
  <c r="AF50" i="20" s="1"/>
  <c r="AB48" i="15"/>
  <c r="AC47" i="15"/>
  <c r="AG49" i="18"/>
  <c r="AE50" i="18"/>
  <c r="AF50" i="18" s="1"/>
  <c r="AH50" i="18" s="1"/>
  <c r="A46" i="18"/>
  <c r="B45" i="18"/>
  <c r="AC50" i="18"/>
  <c r="AD51" i="18"/>
  <c r="AB51" i="18"/>
  <c r="AA52" i="18"/>
  <c r="AG46" i="15"/>
  <c r="AQ35" i="17"/>
  <c r="AN30" i="17"/>
  <c r="AO31" i="17"/>
  <c r="AP32" i="17"/>
  <c r="AG49" i="17"/>
  <c r="AE50" i="17"/>
  <c r="AF50" i="17" s="1"/>
  <c r="AH50" i="17" s="1"/>
  <c r="AC50" i="17"/>
  <c r="AA52" i="17"/>
  <c r="AD51" i="17"/>
  <c r="AB51" i="17"/>
  <c r="A46" i="17"/>
  <c r="B45" i="17"/>
  <c r="AE47" i="15"/>
  <c r="AF47" i="15" s="1"/>
  <c r="AG47" i="15" s="1"/>
  <c r="AA49" i="15"/>
  <c r="AD48" i="15"/>
  <c r="A44" i="15"/>
  <c r="B43" i="15"/>
  <c r="B44" i="13"/>
  <c r="A45" i="13"/>
  <c r="X49" i="13"/>
  <c r="Y49" i="13" s="1"/>
  <c r="Z49" i="13" s="1"/>
  <c r="AA49" i="13" s="1"/>
  <c r="W50" i="13"/>
  <c r="G28" i="13"/>
  <c r="AE53" i="24" l="1"/>
  <c r="AF53" i="24" s="1"/>
  <c r="AG53" i="24" s="1"/>
  <c r="AG52" i="24"/>
  <c r="A50" i="24"/>
  <c r="B49" i="24"/>
  <c r="AC53" i="24"/>
  <c r="AD54" i="24"/>
  <c r="AA55" i="24"/>
  <c r="AB54" i="24"/>
  <c r="AM39" i="24"/>
  <c r="E39" i="24"/>
  <c r="C40" i="24" s="1"/>
  <c r="D40" i="24" s="1"/>
  <c r="F40" i="24" s="1"/>
  <c r="C95" i="20"/>
  <c r="D95" i="20" s="1"/>
  <c r="F95" i="20" s="1"/>
  <c r="E95" i="20" s="1"/>
  <c r="AH50" i="22"/>
  <c r="AE51" i="22"/>
  <c r="AF51" i="22" s="1"/>
  <c r="AH51" i="22" s="1"/>
  <c r="B47" i="22"/>
  <c r="A48" i="22"/>
  <c r="AD52" i="22"/>
  <c r="AB52" i="22"/>
  <c r="AA53" i="22"/>
  <c r="AC51" i="22"/>
  <c r="AB49" i="15"/>
  <c r="A110" i="17"/>
  <c r="B109" i="17"/>
  <c r="AC51" i="20"/>
  <c r="B45" i="20"/>
  <c r="A46" i="20"/>
  <c r="AE51" i="20"/>
  <c r="AF51" i="20" s="1"/>
  <c r="AG50" i="20"/>
  <c r="AH50" i="20"/>
  <c r="AB52" i="20"/>
  <c r="AD52" i="20"/>
  <c r="AA53" i="20"/>
  <c r="AE48" i="15"/>
  <c r="AF48" i="15" s="1"/>
  <c r="AG48" i="15" s="1"/>
  <c r="AC48" i="15"/>
  <c r="AG50" i="18"/>
  <c r="AC51" i="18"/>
  <c r="AA53" i="18"/>
  <c r="AB52" i="18"/>
  <c r="AD52" i="18"/>
  <c r="AE51" i="18"/>
  <c r="AF51" i="18" s="1"/>
  <c r="B46" i="18"/>
  <c r="A47" i="18"/>
  <c r="AM30" i="17"/>
  <c r="AL30" i="17" s="1"/>
  <c r="C30" i="17" s="1"/>
  <c r="D30" i="17" s="1"/>
  <c r="AG50" i="17"/>
  <c r="AE51" i="17"/>
  <c r="AF51" i="17" s="1"/>
  <c r="AG51" i="17" s="1"/>
  <c r="AA53" i="17"/>
  <c r="AD52" i="17"/>
  <c r="AB52" i="17"/>
  <c r="B46" i="17"/>
  <c r="A47" i="17"/>
  <c r="AC51" i="17"/>
  <c r="AH47" i="15"/>
  <c r="AD49" i="15"/>
  <c r="AA50" i="15"/>
  <c r="A45" i="15"/>
  <c r="B44" i="15"/>
  <c r="F28" i="13"/>
  <c r="B45" i="13"/>
  <c r="A46" i="13"/>
  <c r="X50" i="13"/>
  <c r="Y50" i="13" s="1"/>
  <c r="Z50" i="13" s="1"/>
  <c r="AA50" i="13" s="1"/>
  <c r="W51" i="13"/>
  <c r="D29" i="13" l="1"/>
  <c r="C29" i="13" s="1"/>
  <c r="AH53" i="24"/>
  <c r="AC54" i="24"/>
  <c r="AM40" i="24"/>
  <c r="E40" i="24"/>
  <c r="C41" i="24" s="1"/>
  <c r="D41" i="24" s="1"/>
  <c r="F41" i="24" s="1"/>
  <c r="AA56" i="24"/>
  <c r="AB55" i="24"/>
  <c r="AD55" i="24"/>
  <c r="A51" i="24"/>
  <c r="B50" i="24"/>
  <c r="AE54" i="24"/>
  <c r="AF54" i="24" s="1"/>
  <c r="AG51" i="22"/>
  <c r="AC52" i="22"/>
  <c r="AE52" i="22"/>
  <c r="AF52" i="22" s="1"/>
  <c r="B48" i="22"/>
  <c r="A49" i="22"/>
  <c r="AB53" i="22"/>
  <c r="AD53" i="22"/>
  <c r="AA54" i="22"/>
  <c r="AE49" i="15"/>
  <c r="AF49" i="15" s="1"/>
  <c r="AG49" i="15" s="1"/>
  <c r="AB50" i="15"/>
  <c r="B110" i="17"/>
  <c r="A111" i="17"/>
  <c r="AC52" i="20"/>
  <c r="AH48" i="15"/>
  <c r="AA54" i="20"/>
  <c r="AB53" i="20"/>
  <c r="AD53" i="20"/>
  <c r="B46" i="20"/>
  <c r="A47" i="20"/>
  <c r="AE52" i="20"/>
  <c r="AF52" i="20" s="1"/>
  <c r="AH51" i="20"/>
  <c r="AG51" i="20"/>
  <c r="AC49" i="15"/>
  <c r="AE52" i="18"/>
  <c r="AF52" i="18" s="1"/>
  <c r="AG52" i="18" s="1"/>
  <c r="AH51" i="18"/>
  <c r="AG51" i="18"/>
  <c r="A48" i="18"/>
  <c r="B47" i="18"/>
  <c r="AC52" i="18"/>
  <c r="AD53" i="18"/>
  <c r="AB53" i="18"/>
  <c r="AA54" i="18"/>
  <c r="F30" i="17"/>
  <c r="E30" i="17" s="1"/>
  <c r="G30" i="17" s="1"/>
  <c r="AH51" i="17"/>
  <c r="AE52" i="17"/>
  <c r="AF52" i="17" s="1"/>
  <c r="AH52" i="17" s="1"/>
  <c r="B47" i="17"/>
  <c r="A48" i="17"/>
  <c r="AB53" i="17"/>
  <c r="AA54" i="17"/>
  <c r="AD53" i="17"/>
  <c r="AC52" i="17"/>
  <c r="AA51" i="15"/>
  <c r="AD50" i="15"/>
  <c r="B45" i="15"/>
  <c r="A46" i="15"/>
  <c r="B46" i="13"/>
  <c r="A47" i="13"/>
  <c r="X51" i="13"/>
  <c r="Y51" i="13" s="1"/>
  <c r="Z51" i="13" s="1"/>
  <c r="AA51" i="13" s="1"/>
  <c r="W52" i="13"/>
  <c r="E29" i="13"/>
  <c r="AE55" i="24" l="1"/>
  <c r="AF55" i="24" s="1"/>
  <c r="AH55" i="24" s="1"/>
  <c r="AH54" i="24"/>
  <c r="AG54" i="24"/>
  <c r="AC55" i="24"/>
  <c r="AM41" i="24"/>
  <c r="E41" i="24"/>
  <c r="C42" i="24" s="1"/>
  <c r="D42" i="24" s="1"/>
  <c r="F42" i="24" s="1"/>
  <c r="A52" i="24"/>
  <c r="B51" i="24"/>
  <c r="AD56" i="24"/>
  <c r="AA57" i="24"/>
  <c r="AB56" i="24"/>
  <c r="AC53" i="22"/>
  <c r="B49" i="22"/>
  <c r="A50" i="22"/>
  <c r="AD54" i="22"/>
  <c r="AB54" i="22"/>
  <c r="AA55" i="22"/>
  <c r="AE53" i="22"/>
  <c r="AF53" i="22" s="1"/>
  <c r="AH52" i="22"/>
  <c r="AG52" i="22"/>
  <c r="AB51" i="15"/>
  <c r="AH49" i="15"/>
  <c r="B111" i="17"/>
  <c r="A112" i="17"/>
  <c r="AC50" i="15"/>
  <c r="AE53" i="20"/>
  <c r="AF53" i="20" s="1"/>
  <c r="AG53" i="20" s="1"/>
  <c r="AG52" i="20"/>
  <c r="AH52" i="20"/>
  <c r="AC53" i="20"/>
  <c r="A48" i="20"/>
  <c r="B47" i="20"/>
  <c r="AA55" i="20"/>
  <c r="AD54" i="20"/>
  <c r="AB54" i="20"/>
  <c r="AH52" i="18"/>
  <c r="AE53" i="18"/>
  <c r="AF53" i="18" s="1"/>
  <c r="AG53" i="18" s="1"/>
  <c r="AA55" i="18"/>
  <c r="AB54" i="18"/>
  <c r="AD54" i="18"/>
  <c r="AC53" i="18"/>
  <c r="B48" i="18"/>
  <c r="A49" i="18"/>
  <c r="AE50" i="15"/>
  <c r="AF50" i="15" s="1"/>
  <c r="AH50" i="15" s="1"/>
  <c r="AN31" i="17"/>
  <c r="AG52" i="17"/>
  <c r="AE53" i="17"/>
  <c r="AF53" i="17" s="1"/>
  <c r="AG53" i="17" s="1"/>
  <c r="AB54" i="17"/>
  <c r="AA55" i="17"/>
  <c r="AD54" i="17"/>
  <c r="AC53" i="17"/>
  <c r="B48" i="17"/>
  <c r="A49" i="17"/>
  <c r="AA52" i="15"/>
  <c r="AD51" i="15"/>
  <c r="B46" i="15"/>
  <c r="A47" i="15"/>
  <c r="G29" i="13"/>
  <c r="F29" i="13" s="1"/>
  <c r="X52" i="13"/>
  <c r="Y52" i="13" s="1"/>
  <c r="Z52" i="13" s="1"/>
  <c r="AA52" i="13" s="1"/>
  <c r="W53" i="13"/>
  <c r="B47" i="13"/>
  <c r="A48" i="13"/>
  <c r="AG55" i="24" l="1"/>
  <c r="D30" i="13"/>
  <c r="C30" i="13" s="1"/>
  <c r="AE56" i="24"/>
  <c r="AF56" i="24" s="1"/>
  <c r="AG56" i="24" s="1"/>
  <c r="AA58" i="24"/>
  <c r="AB57" i="24"/>
  <c r="AD57" i="24"/>
  <c r="A53" i="24"/>
  <c r="B52" i="24"/>
  <c r="AC56" i="24"/>
  <c r="E42" i="24"/>
  <c r="C43" i="24" s="1"/>
  <c r="D43" i="24" s="1"/>
  <c r="F43" i="24" s="1"/>
  <c r="AM42" i="24"/>
  <c r="AC54" i="22"/>
  <c r="AH53" i="22"/>
  <c r="AG53" i="22"/>
  <c r="AE54" i="22"/>
  <c r="AF54" i="22" s="1"/>
  <c r="B50" i="22"/>
  <c r="A51" i="22"/>
  <c r="AB55" i="22"/>
  <c r="AD55" i="22"/>
  <c r="AA56" i="22"/>
  <c r="AB52" i="15"/>
  <c r="A113" i="17"/>
  <c r="B112" i="17"/>
  <c r="AC51" i="15"/>
  <c r="AH53" i="20"/>
  <c r="AC54" i="20"/>
  <c r="AE54" i="20"/>
  <c r="AF54" i="20" s="1"/>
  <c r="AA56" i="20"/>
  <c r="AB55" i="20"/>
  <c r="AD55" i="20"/>
  <c r="B48" i="20"/>
  <c r="A49" i="20"/>
  <c r="AC54" i="18"/>
  <c r="AH53" i="18"/>
  <c r="A50" i="18"/>
  <c r="B49" i="18"/>
  <c r="AD55" i="18"/>
  <c r="AB55" i="18"/>
  <c r="AA56" i="18"/>
  <c r="AE54" i="18"/>
  <c r="AF54" i="18" s="1"/>
  <c r="AM31" i="17"/>
  <c r="AL31" i="17" s="1"/>
  <c r="AG50" i="15"/>
  <c r="AE51" i="15"/>
  <c r="AF51" i="15" s="1"/>
  <c r="AH51" i="15" s="1"/>
  <c r="AH53" i="17"/>
  <c r="AC54" i="17"/>
  <c r="AE54" i="17"/>
  <c r="AF54" i="17" s="1"/>
  <c r="A50" i="17"/>
  <c r="B49" i="17"/>
  <c r="AD55" i="17"/>
  <c r="AB55" i="17"/>
  <c r="AA56" i="17"/>
  <c r="AA53" i="15"/>
  <c r="AD52" i="15"/>
  <c r="A48" i="15"/>
  <c r="B47" i="15"/>
  <c r="X53" i="13"/>
  <c r="Y53" i="13" s="1"/>
  <c r="Z53" i="13" s="1"/>
  <c r="AA53" i="13" s="1"/>
  <c r="W54" i="13"/>
  <c r="B48" i="13"/>
  <c r="A49" i="13"/>
  <c r="E30" i="13" l="1"/>
  <c r="G30" i="13" s="1"/>
  <c r="AH56" i="24"/>
  <c r="AE57" i="24"/>
  <c r="AF57" i="24" s="1"/>
  <c r="AG57" i="24" s="1"/>
  <c r="E43" i="24"/>
  <c r="C44" i="24" s="1"/>
  <c r="D44" i="24" s="1"/>
  <c r="F44" i="24" s="1"/>
  <c r="AM43" i="24"/>
  <c r="A54" i="24"/>
  <c r="B53" i="24"/>
  <c r="AC57" i="24"/>
  <c r="AD58" i="24"/>
  <c r="AA59" i="24"/>
  <c r="AB58" i="24"/>
  <c r="AC55" i="22"/>
  <c r="AE55" i="22"/>
  <c r="AF55" i="22" s="1"/>
  <c r="AG55" i="22" s="1"/>
  <c r="AD56" i="22"/>
  <c r="AB56" i="22"/>
  <c r="AA57" i="22"/>
  <c r="AH54" i="22"/>
  <c r="AG54" i="22"/>
  <c r="B51" i="22"/>
  <c r="A52" i="22"/>
  <c r="AB53" i="15"/>
  <c r="A114" i="17"/>
  <c r="B113" i="17"/>
  <c r="AC52" i="15"/>
  <c r="AE55" i="20"/>
  <c r="AF55" i="20" s="1"/>
  <c r="AH55" i="20" s="1"/>
  <c r="AC55" i="20"/>
  <c r="AA57" i="20"/>
  <c r="AB56" i="20"/>
  <c r="AD56" i="20"/>
  <c r="A50" i="20"/>
  <c r="B49" i="20"/>
  <c r="AH54" i="20"/>
  <c r="AG54" i="20"/>
  <c r="AC55" i="18"/>
  <c r="AG54" i="18"/>
  <c r="AH54" i="18"/>
  <c r="AE55" i="18"/>
  <c r="AF55" i="18" s="1"/>
  <c r="AA57" i="18"/>
  <c r="AB56" i="18"/>
  <c r="AD56" i="18"/>
  <c r="B50" i="18"/>
  <c r="A51" i="18"/>
  <c r="C31" i="17"/>
  <c r="D31" i="17" s="1"/>
  <c r="F31" i="17" s="1"/>
  <c r="E31" i="17" s="1"/>
  <c r="G31" i="17" s="1"/>
  <c r="AG51" i="15"/>
  <c r="AC55" i="17"/>
  <c r="AH54" i="17"/>
  <c r="AG54" i="17"/>
  <c r="AE55" i="17"/>
  <c r="AF55" i="17" s="1"/>
  <c r="AA57" i="17"/>
  <c r="AD56" i="17"/>
  <c r="AB56" i="17"/>
  <c r="A51" i="17"/>
  <c r="B50" i="17"/>
  <c r="AE52" i="15"/>
  <c r="AF52" i="15" s="1"/>
  <c r="AG52" i="15" s="1"/>
  <c r="AA54" i="15"/>
  <c r="AD53" i="15"/>
  <c r="B48" i="15"/>
  <c r="A49" i="15"/>
  <c r="X54" i="13"/>
  <c r="Y54" i="13" s="1"/>
  <c r="Z54" i="13" s="1"/>
  <c r="AA54" i="13" s="1"/>
  <c r="W55" i="13"/>
  <c r="B49" i="13"/>
  <c r="A50" i="13"/>
  <c r="AH57" i="24" l="1"/>
  <c r="AC58" i="24"/>
  <c r="AM44" i="24"/>
  <c r="E44" i="24"/>
  <c r="C45" i="24" s="1"/>
  <c r="D45" i="24" s="1"/>
  <c r="F45" i="24" s="1"/>
  <c r="AB59" i="24"/>
  <c r="AA60" i="24"/>
  <c r="AD59" i="24"/>
  <c r="AE58" i="24"/>
  <c r="AF58" i="24" s="1"/>
  <c r="A55" i="24"/>
  <c r="B54" i="24"/>
  <c r="AH55" i="22"/>
  <c r="AC56" i="22"/>
  <c r="AB57" i="22"/>
  <c r="AD57" i="22"/>
  <c r="AA58" i="22"/>
  <c r="B52" i="22"/>
  <c r="A53" i="22"/>
  <c r="AE56" i="22"/>
  <c r="AF56" i="22" s="1"/>
  <c r="AB54" i="15"/>
  <c r="B114" i="17"/>
  <c r="A115" i="17"/>
  <c r="AC53" i="15"/>
  <c r="AG55" i="20"/>
  <c r="AE56" i="20"/>
  <c r="AF56" i="20" s="1"/>
  <c r="AG56" i="20" s="1"/>
  <c r="B50" i="20"/>
  <c r="A51" i="20"/>
  <c r="AC56" i="20"/>
  <c r="AA58" i="20"/>
  <c r="AB57" i="20"/>
  <c r="AD57" i="20"/>
  <c r="AE53" i="15"/>
  <c r="AF53" i="15" s="1"/>
  <c r="AG53" i="15" s="1"/>
  <c r="AE56" i="18"/>
  <c r="AF56" i="18" s="1"/>
  <c r="AH56" i="18" s="1"/>
  <c r="AD57" i="18"/>
  <c r="AB57" i="18"/>
  <c r="AA58" i="18"/>
  <c r="A52" i="18"/>
  <c r="B51" i="18"/>
  <c r="AH55" i="18"/>
  <c r="AG55" i="18"/>
  <c r="AC56" i="18"/>
  <c r="AN32" i="17"/>
  <c r="AO33" i="17"/>
  <c r="AE56" i="17"/>
  <c r="AF56" i="17" s="1"/>
  <c r="AH56" i="17" s="1"/>
  <c r="AA58" i="17"/>
  <c r="AD57" i="17"/>
  <c r="AB57" i="17"/>
  <c r="B51" i="17"/>
  <c r="A52" i="17"/>
  <c r="AG55" i="17"/>
  <c r="AH55" i="17"/>
  <c r="AC56" i="17"/>
  <c r="AH52" i="15"/>
  <c r="AD54" i="15"/>
  <c r="AA55" i="15"/>
  <c r="B49" i="15"/>
  <c r="A50" i="15"/>
  <c r="B50" i="13"/>
  <c r="A51" i="13"/>
  <c r="X55" i="13"/>
  <c r="Y55" i="13" s="1"/>
  <c r="Z55" i="13" s="1"/>
  <c r="AA55" i="13" s="1"/>
  <c r="W56" i="13"/>
  <c r="J30" i="13"/>
  <c r="F30" i="13"/>
  <c r="D31" i="13" l="1"/>
  <c r="C31" i="13" s="1"/>
  <c r="AC59" i="24"/>
  <c r="AE59" i="24"/>
  <c r="AF59" i="24" s="1"/>
  <c r="AM45" i="24"/>
  <c r="E45" i="24"/>
  <c r="C46" i="24" s="1"/>
  <c r="D46" i="24" s="1"/>
  <c r="F46" i="24" s="1"/>
  <c r="AH58" i="24"/>
  <c r="AG58" i="24"/>
  <c r="A56" i="24"/>
  <c r="B55" i="24"/>
  <c r="AA61" i="24"/>
  <c r="AB60" i="24"/>
  <c r="AD60" i="24"/>
  <c r="AE57" i="22"/>
  <c r="AF57" i="22" s="1"/>
  <c r="AG57" i="22" s="1"/>
  <c r="AH56" i="22"/>
  <c r="AG56" i="22"/>
  <c r="AA59" i="22"/>
  <c r="AD58" i="22"/>
  <c r="AB58" i="22"/>
  <c r="B53" i="22"/>
  <c r="A54" i="22"/>
  <c r="AC57" i="22"/>
  <c r="AB55" i="15"/>
  <c r="B115" i="17"/>
  <c r="A116" i="17"/>
  <c r="AC54" i="15"/>
  <c r="AH56" i="20"/>
  <c r="AC57" i="20"/>
  <c r="AA59" i="20"/>
  <c r="AB58" i="20"/>
  <c r="AD58" i="20"/>
  <c r="AE57" i="20"/>
  <c r="AF57" i="20" s="1"/>
  <c r="A52" i="20"/>
  <c r="B51" i="20"/>
  <c r="AH53" i="15"/>
  <c r="AG56" i="18"/>
  <c r="B52" i="18"/>
  <c r="A53" i="18"/>
  <c r="AC57" i="18"/>
  <c r="AA59" i="18"/>
  <c r="AB58" i="18"/>
  <c r="AD58" i="18"/>
  <c r="AE57" i="18"/>
  <c r="AF57" i="18" s="1"/>
  <c r="AM32" i="17"/>
  <c r="AL32" i="17" s="1"/>
  <c r="C32" i="17" s="1"/>
  <c r="D32" i="17" s="1"/>
  <c r="AG56" i="17"/>
  <c r="AE57" i="17"/>
  <c r="AF57" i="17" s="1"/>
  <c r="AH57" i="17" s="1"/>
  <c r="B52" i="17"/>
  <c r="A53" i="17"/>
  <c r="AB58" i="17"/>
  <c r="AA59" i="17"/>
  <c r="AD58" i="17"/>
  <c r="AC57" i="17"/>
  <c r="AE54" i="15"/>
  <c r="AF54" i="15" s="1"/>
  <c r="AH54" i="15" s="1"/>
  <c r="AD55" i="15"/>
  <c r="AA56" i="15"/>
  <c r="A51" i="15"/>
  <c r="B50" i="15"/>
  <c r="E31" i="13"/>
  <c r="X56" i="13"/>
  <c r="Y56" i="13" s="1"/>
  <c r="Z56" i="13" s="1"/>
  <c r="AA56" i="13" s="1"/>
  <c r="W57" i="13"/>
  <c r="B51" i="13"/>
  <c r="A52" i="13"/>
  <c r="AE60" i="24" l="1"/>
  <c r="AF60" i="24" s="1"/>
  <c r="AG60" i="24" s="1"/>
  <c r="E46" i="24"/>
  <c r="C47" i="24" s="1"/>
  <c r="D47" i="24" s="1"/>
  <c r="F47" i="24" s="1"/>
  <c r="AM46" i="24"/>
  <c r="A57" i="24"/>
  <c r="B56" i="24"/>
  <c r="AC60" i="24"/>
  <c r="AG59" i="24"/>
  <c r="AH59" i="24"/>
  <c r="AD61" i="24"/>
  <c r="AA62" i="24"/>
  <c r="AB61" i="24"/>
  <c r="AH57" i="22"/>
  <c r="AC58" i="22"/>
  <c r="AB59" i="22"/>
  <c r="AD59" i="22"/>
  <c r="AA60" i="22"/>
  <c r="B54" i="22"/>
  <c r="A55" i="22"/>
  <c r="AE58" i="22"/>
  <c r="AF58" i="22" s="1"/>
  <c r="AB56" i="15"/>
  <c r="B116" i="17"/>
  <c r="A117" i="17"/>
  <c r="AC55" i="15"/>
  <c r="AE58" i="20"/>
  <c r="AF58" i="20" s="1"/>
  <c r="AH58" i="20" s="1"/>
  <c r="B52" i="20"/>
  <c r="A53" i="20"/>
  <c r="AC58" i="20"/>
  <c r="AB59" i="20"/>
  <c r="AA60" i="20"/>
  <c r="AD59" i="20"/>
  <c r="AG57" i="20"/>
  <c r="AH57" i="20"/>
  <c r="AE58" i="18"/>
  <c r="AF58" i="18" s="1"/>
  <c r="A54" i="18"/>
  <c r="B53" i="18"/>
  <c r="AD59" i="18"/>
  <c r="AA60" i="18"/>
  <c r="AB59" i="18"/>
  <c r="AH57" i="18"/>
  <c r="AG57" i="18"/>
  <c r="AC58" i="18"/>
  <c r="AE55" i="15"/>
  <c r="AF55" i="15" s="1"/>
  <c r="AH55" i="15" s="1"/>
  <c r="F32" i="17"/>
  <c r="E32" i="17" s="1"/>
  <c r="G32" i="17" s="1"/>
  <c r="AE58" i="17"/>
  <c r="AF58" i="17" s="1"/>
  <c r="AH58" i="17" s="1"/>
  <c r="AG57" i="17"/>
  <c r="A54" i="17"/>
  <c r="B53" i="17"/>
  <c r="AB59" i="17"/>
  <c r="AA60" i="17"/>
  <c r="AD59" i="17"/>
  <c r="AC58" i="17"/>
  <c r="AG54" i="15"/>
  <c r="AA57" i="15"/>
  <c r="AD56" i="15"/>
  <c r="A52" i="15"/>
  <c r="B51" i="15"/>
  <c r="G31" i="13"/>
  <c r="F31" i="13" s="1"/>
  <c r="B52" i="13"/>
  <c r="A53" i="13"/>
  <c r="X57" i="13"/>
  <c r="Y57" i="13" s="1"/>
  <c r="Z57" i="13" s="1"/>
  <c r="AA57" i="13" s="1"/>
  <c r="W58" i="13"/>
  <c r="D32" i="13" l="1"/>
  <c r="C32" i="13" s="1"/>
  <c r="AH60" i="24"/>
  <c r="AE61" i="24"/>
  <c r="AF61" i="24" s="1"/>
  <c r="AG61" i="24" s="1"/>
  <c r="AA63" i="24"/>
  <c r="AB62" i="24"/>
  <c r="AD62" i="24"/>
  <c r="A58" i="24"/>
  <c r="B57" i="24"/>
  <c r="E47" i="24"/>
  <c r="C48" i="24" s="1"/>
  <c r="D48" i="24" s="1"/>
  <c r="F48" i="24" s="1"/>
  <c r="AM47" i="24"/>
  <c r="AM20" i="24" s="1"/>
  <c r="AO47" i="24"/>
  <c r="AN47" i="24"/>
  <c r="AC61" i="24"/>
  <c r="AE59" i="22"/>
  <c r="AF59" i="22" s="1"/>
  <c r="AG59" i="22" s="1"/>
  <c r="AH58" i="22"/>
  <c r="AG58" i="22"/>
  <c r="AA61" i="22"/>
  <c r="AB60" i="22"/>
  <c r="AD60" i="22"/>
  <c r="B55" i="22"/>
  <c r="A56" i="22"/>
  <c r="AC59" i="22"/>
  <c r="AB57" i="15"/>
  <c r="A118" i="17"/>
  <c r="B117" i="17"/>
  <c r="AC56" i="15"/>
  <c r="AG58" i="20"/>
  <c r="AC59" i="20"/>
  <c r="AE59" i="20"/>
  <c r="AF59" i="20" s="1"/>
  <c r="AD60" i="20"/>
  <c r="AA61" i="20"/>
  <c r="AB60" i="20"/>
  <c r="B53" i="20"/>
  <c r="A54" i="20"/>
  <c r="AG55" i="15"/>
  <c r="AE59" i="18"/>
  <c r="AF59" i="18" s="1"/>
  <c r="AG59" i="18" s="1"/>
  <c r="AC59" i="18"/>
  <c r="B54" i="18"/>
  <c r="A55" i="18"/>
  <c r="AA61" i="18"/>
  <c r="AB60" i="18"/>
  <c r="AD60" i="18"/>
  <c r="AG58" i="18"/>
  <c r="AH58" i="18"/>
  <c r="AG58" i="17"/>
  <c r="AE56" i="15"/>
  <c r="AF56" i="15" s="1"/>
  <c r="AH56" i="15" s="1"/>
  <c r="AN33" i="17"/>
  <c r="AP35" i="17"/>
  <c r="AA61" i="17"/>
  <c r="AD60" i="17"/>
  <c r="AB60" i="17"/>
  <c r="AC59" i="17"/>
  <c r="AE59" i="17"/>
  <c r="AF59" i="17" s="1"/>
  <c r="B54" i="17"/>
  <c r="A55" i="17"/>
  <c r="AA58" i="15"/>
  <c r="AD57" i="15"/>
  <c r="A53" i="15"/>
  <c r="B52" i="15"/>
  <c r="X58" i="13"/>
  <c r="Y58" i="13" s="1"/>
  <c r="Z58" i="13" s="1"/>
  <c r="AA58" i="13" s="1"/>
  <c r="W59" i="13"/>
  <c r="B53" i="13"/>
  <c r="A54" i="13"/>
  <c r="E32" i="13" l="1"/>
  <c r="AH61" i="24"/>
  <c r="AE62" i="24"/>
  <c r="AF62" i="24" s="1"/>
  <c r="AH62" i="24" s="1"/>
  <c r="AC62" i="24"/>
  <c r="A59" i="24"/>
  <c r="B58" i="24"/>
  <c r="E48" i="24"/>
  <c r="C49" i="24" s="1"/>
  <c r="D49" i="24" s="1"/>
  <c r="F49" i="24" s="1"/>
  <c r="E49" i="24" s="1"/>
  <c r="C50" i="24" s="1"/>
  <c r="D50" i="24" s="1"/>
  <c r="F50" i="24" s="1"/>
  <c r="E50" i="24" s="1"/>
  <c r="C51" i="24" s="1"/>
  <c r="D51" i="24" s="1"/>
  <c r="F51" i="24" s="1"/>
  <c r="E51" i="24" s="1"/>
  <c r="C52" i="24" s="1"/>
  <c r="D52" i="24" s="1"/>
  <c r="F52" i="24" s="1"/>
  <c r="E52" i="24" s="1"/>
  <c r="C53" i="24" s="1"/>
  <c r="D53" i="24" s="1"/>
  <c r="F53" i="24" s="1"/>
  <c r="E53" i="24" s="1"/>
  <c r="C54" i="24" s="1"/>
  <c r="D54" i="24" s="1"/>
  <c r="F54" i="24" s="1"/>
  <c r="E54" i="24" s="1"/>
  <c r="C55" i="24" s="1"/>
  <c r="D55" i="24" s="1"/>
  <c r="F55" i="24" s="1"/>
  <c r="E55" i="24" s="1"/>
  <c r="C56" i="24" s="1"/>
  <c r="D56" i="24" s="1"/>
  <c r="F56" i="24" s="1"/>
  <c r="E56" i="24" s="1"/>
  <c r="C57" i="24" s="1"/>
  <c r="D57" i="24" s="1"/>
  <c r="F57" i="24" s="1"/>
  <c r="E57" i="24" s="1"/>
  <c r="AD63" i="24"/>
  <c r="AA64" i="24"/>
  <c r="AB63" i="24"/>
  <c r="AH59" i="22"/>
  <c r="AE60" i="22"/>
  <c r="AF60" i="22" s="1"/>
  <c r="AH60" i="22" s="1"/>
  <c r="AB61" i="22"/>
  <c r="AA62" i="22"/>
  <c r="AD61" i="22"/>
  <c r="B56" i="22"/>
  <c r="A57" i="22"/>
  <c r="AC60" i="22"/>
  <c r="AB58" i="15"/>
  <c r="A119" i="17"/>
  <c r="B118" i="17"/>
  <c r="AC57" i="15"/>
  <c r="AE60" i="20"/>
  <c r="AF60" i="20" s="1"/>
  <c r="AH60" i="20" s="1"/>
  <c r="AD61" i="20"/>
  <c r="AA62" i="20"/>
  <c r="AB61" i="20"/>
  <c r="A55" i="20"/>
  <c r="B54" i="20"/>
  <c r="AG59" i="20"/>
  <c r="AH59" i="20"/>
  <c r="AC60" i="20"/>
  <c r="AH59" i="18"/>
  <c r="AG56" i="15"/>
  <c r="AE60" i="18"/>
  <c r="AF60" i="18" s="1"/>
  <c r="AH60" i="18" s="1"/>
  <c r="AC60" i="18"/>
  <c r="A56" i="18"/>
  <c r="B55" i="18"/>
  <c r="AD61" i="18"/>
  <c r="AB61" i="18"/>
  <c r="AA62" i="18"/>
  <c r="AM33" i="17"/>
  <c r="AL33" i="17" s="1"/>
  <c r="C33" i="17" s="1"/>
  <c r="D33" i="17" s="1"/>
  <c r="AD61" i="17"/>
  <c r="AB61" i="17"/>
  <c r="AA62" i="17"/>
  <c r="B55" i="17"/>
  <c r="A56" i="17"/>
  <c r="AC60" i="17"/>
  <c r="AG59" i="17"/>
  <c r="AH59" i="17"/>
  <c r="AE60" i="17"/>
  <c r="AF60" i="17" s="1"/>
  <c r="AE57" i="15"/>
  <c r="AF57" i="15" s="1"/>
  <c r="AG57" i="15" s="1"/>
  <c r="AA59" i="15"/>
  <c r="AD58" i="15"/>
  <c r="B53" i="15"/>
  <c r="A54" i="15"/>
  <c r="G32" i="13"/>
  <c r="F32" i="13" s="1"/>
  <c r="X59" i="13"/>
  <c r="Y59" i="13" s="1"/>
  <c r="Z59" i="13" s="1"/>
  <c r="AA59" i="13" s="1"/>
  <c r="W60" i="13"/>
  <c r="B54" i="13"/>
  <c r="A55" i="13"/>
  <c r="AG62" i="24" l="1"/>
  <c r="D33" i="13"/>
  <c r="C33" i="13" s="1"/>
  <c r="AC63" i="24"/>
  <c r="C58" i="24"/>
  <c r="D58" i="24" s="1"/>
  <c r="F58" i="24" s="1"/>
  <c r="E58" i="24" s="1"/>
  <c r="AA65" i="24"/>
  <c r="AB64" i="24"/>
  <c r="AD64" i="24"/>
  <c r="A60" i="24"/>
  <c r="B59" i="24"/>
  <c r="AE63" i="24"/>
  <c r="AF63" i="24" s="1"/>
  <c r="AG60" i="22"/>
  <c r="AE61" i="22"/>
  <c r="AF61" i="22" s="1"/>
  <c r="AG61" i="22" s="1"/>
  <c r="AA63" i="22"/>
  <c r="AD62" i="22"/>
  <c r="AB62" i="22"/>
  <c r="B57" i="22"/>
  <c r="A58" i="22"/>
  <c r="AC61" i="22"/>
  <c r="AE58" i="15"/>
  <c r="AF58" i="15" s="1"/>
  <c r="AG58" i="15" s="1"/>
  <c r="AB59" i="15"/>
  <c r="B119" i="17"/>
  <c r="A120" i="17"/>
  <c r="AC58" i="15"/>
  <c r="AG60" i="20"/>
  <c r="AE61" i="20"/>
  <c r="AF61" i="20" s="1"/>
  <c r="AG61" i="20" s="1"/>
  <c r="A56" i="20"/>
  <c r="B55" i="20"/>
  <c r="AC61" i="20"/>
  <c r="AB62" i="20"/>
  <c r="AD62" i="20"/>
  <c r="AA63" i="20"/>
  <c r="AG60" i="18"/>
  <c r="AC61" i="18"/>
  <c r="AA63" i="18"/>
  <c r="AB62" i="18"/>
  <c r="AD62" i="18"/>
  <c r="AE61" i="18"/>
  <c r="AF61" i="18" s="1"/>
  <c r="B56" i="18"/>
  <c r="A57" i="18"/>
  <c r="F33" i="17"/>
  <c r="E33" i="17" s="1"/>
  <c r="G33" i="17" s="1"/>
  <c r="AH60" i="17"/>
  <c r="AG60" i="17"/>
  <c r="AB62" i="17"/>
  <c r="AA63" i="17"/>
  <c r="AD62" i="17"/>
  <c r="AC61" i="17"/>
  <c r="A57" i="17"/>
  <c r="B56" i="17"/>
  <c r="AE61" i="17"/>
  <c r="AF61" i="17" s="1"/>
  <c r="AH57" i="15"/>
  <c r="AD59" i="15"/>
  <c r="AA60" i="15"/>
  <c r="A55" i="15"/>
  <c r="B54" i="15"/>
  <c r="X60" i="13"/>
  <c r="Y60" i="13" s="1"/>
  <c r="Z60" i="13" s="1"/>
  <c r="AA60" i="13" s="1"/>
  <c r="W61" i="13"/>
  <c r="B55" i="13"/>
  <c r="A56" i="13"/>
  <c r="E33" i="13" l="1"/>
  <c r="AC64" i="24"/>
  <c r="C59" i="24"/>
  <c r="D59" i="24" s="1"/>
  <c r="F59" i="24" s="1"/>
  <c r="E59" i="24" s="1"/>
  <c r="A61" i="24"/>
  <c r="B60" i="24"/>
  <c r="C60" i="24" s="1"/>
  <c r="D60" i="24" s="1"/>
  <c r="F60" i="24" s="1"/>
  <c r="E60" i="24" s="1"/>
  <c r="AD65" i="24"/>
  <c r="AA66" i="24"/>
  <c r="AB65" i="24"/>
  <c r="AH63" i="24"/>
  <c r="AG63" i="24"/>
  <c r="AE64" i="24"/>
  <c r="AF64" i="24" s="1"/>
  <c r="AB60" i="15"/>
  <c r="AH61" i="22"/>
  <c r="AC62" i="22"/>
  <c r="B58" i="22"/>
  <c r="A59" i="22"/>
  <c r="AA64" i="22"/>
  <c r="AD63" i="22"/>
  <c r="AB63" i="22"/>
  <c r="AE62" i="22"/>
  <c r="AF62" i="22" s="1"/>
  <c r="AH58" i="15"/>
  <c r="B120" i="17"/>
  <c r="A121" i="17"/>
  <c r="AC59" i="15"/>
  <c r="AH61" i="20"/>
  <c r="AE62" i="20"/>
  <c r="AF62" i="20" s="1"/>
  <c r="AH62" i="20" s="1"/>
  <c r="AD63" i="20"/>
  <c r="AA64" i="20"/>
  <c r="AB63" i="20"/>
  <c r="B56" i="20"/>
  <c r="A57" i="20"/>
  <c r="AC62" i="20"/>
  <c r="AE62" i="18"/>
  <c r="AF62" i="18" s="1"/>
  <c r="AG62" i="18" s="1"/>
  <c r="A58" i="18"/>
  <c r="B57" i="18"/>
  <c r="AC62" i="18"/>
  <c r="AH61" i="18"/>
  <c r="AG61" i="18"/>
  <c r="AD63" i="18"/>
  <c r="AB63" i="18"/>
  <c r="AA64" i="18"/>
  <c r="AE59" i="15"/>
  <c r="AF59" i="15" s="1"/>
  <c r="AG59" i="15" s="1"/>
  <c r="AN34" i="17"/>
  <c r="AO35" i="17"/>
  <c r="AC62" i="17"/>
  <c r="AH61" i="17"/>
  <c r="AG61" i="17"/>
  <c r="A58" i="17"/>
  <c r="B57" i="17"/>
  <c r="AE62" i="17"/>
  <c r="AF62" i="17" s="1"/>
  <c r="AA64" i="17"/>
  <c r="AD63" i="17"/>
  <c r="AB63" i="17"/>
  <c r="AD60" i="15"/>
  <c r="AA61" i="15"/>
  <c r="A56" i="15"/>
  <c r="B55" i="15"/>
  <c r="G33" i="13"/>
  <c r="F33" i="13" s="1"/>
  <c r="B56" i="13"/>
  <c r="A57" i="13"/>
  <c r="X61" i="13"/>
  <c r="Y61" i="13" s="1"/>
  <c r="Z61" i="13" s="1"/>
  <c r="AA61" i="13" s="1"/>
  <c r="W62" i="13"/>
  <c r="D34" i="13" l="1"/>
  <c r="C34" i="13" s="1"/>
  <c r="AN59" i="24"/>
  <c r="AO59" i="24"/>
  <c r="AE65" i="24"/>
  <c r="AF65" i="24" s="1"/>
  <c r="AH65" i="24" s="1"/>
  <c r="AA67" i="24"/>
  <c r="AB66" i="24"/>
  <c r="AC66" i="24" s="1"/>
  <c r="AD66" i="24"/>
  <c r="AE66" i="24" s="1"/>
  <c r="AF66" i="24" s="1"/>
  <c r="AG64" i="24"/>
  <c r="AH64" i="24"/>
  <c r="AC65" i="24"/>
  <c r="A62" i="24"/>
  <c r="B61" i="24"/>
  <c r="C61" i="24" s="1"/>
  <c r="D61" i="24" s="1"/>
  <c r="F61" i="24" s="1"/>
  <c r="E61" i="24" s="1"/>
  <c r="AE60" i="15"/>
  <c r="AF60" i="15" s="1"/>
  <c r="AH60" i="15" s="1"/>
  <c r="AB61" i="15"/>
  <c r="AC63" i="22"/>
  <c r="AE63" i="22"/>
  <c r="AF63" i="22" s="1"/>
  <c r="AH63" i="22" s="1"/>
  <c r="AG62" i="22"/>
  <c r="AH62" i="22"/>
  <c r="AA65" i="22"/>
  <c r="AB64" i="22"/>
  <c r="AD64" i="22"/>
  <c r="A60" i="22"/>
  <c r="B59" i="22"/>
  <c r="A122" i="17"/>
  <c r="B121" i="17"/>
  <c r="AC60" i="15"/>
  <c r="AG62" i="20"/>
  <c r="AE63" i="20"/>
  <c r="AF63" i="20" s="1"/>
  <c r="AG63" i="20" s="1"/>
  <c r="A58" i="20"/>
  <c r="B57" i="20"/>
  <c r="AC63" i="20"/>
  <c r="AB64" i="20"/>
  <c r="AA65" i="20"/>
  <c r="AD64" i="20"/>
  <c r="AH59" i="15"/>
  <c r="AH62" i="18"/>
  <c r="AE63" i="18"/>
  <c r="AF63" i="18" s="1"/>
  <c r="AG63" i="18" s="1"/>
  <c r="B58" i="18"/>
  <c r="A59" i="18"/>
  <c r="AA65" i="18"/>
  <c r="AB64" i="18"/>
  <c r="AD64" i="18"/>
  <c r="AC63" i="18"/>
  <c r="AM34" i="17"/>
  <c r="AL34" i="17" s="1"/>
  <c r="C34" i="17" s="1"/>
  <c r="D34" i="17" s="1"/>
  <c r="AC63" i="17"/>
  <c r="B58" i="17"/>
  <c r="A59" i="17"/>
  <c r="AE63" i="17"/>
  <c r="AF63" i="17" s="1"/>
  <c r="AA65" i="17"/>
  <c r="AD64" i="17"/>
  <c r="AB64" i="17"/>
  <c r="AH62" i="17"/>
  <c r="AG62" i="17"/>
  <c r="AA62" i="15"/>
  <c r="AD61" i="15"/>
  <c r="B56" i="15"/>
  <c r="A57" i="15"/>
  <c r="B57" i="13"/>
  <c r="A58" i="13"/>
  <c r="X62" i="13"/>
  <c r="Y62" i="13" s="1"/>
  <c r="Z62" i="13" s="1"/>
  <c r="AA62" i="13" s="1"/>
  <c r="W63" i="13"/>
  <c r="E34" i="13" l="1"/>
  <c r="AG65" i="24"/>
  <c r="AD67" i="24"/>
  <c r="AE67" i="24" s="1"/>
  <c r="AF67" i="24" s="1"/>
  <c r="AA68" i="24"/>
  <c r="AB67" i="24"/>
  <c r="AC67" i="24" s="1"/>
  <c r="A63" i="24"/>
  <c r="B62" i="24"/>
  <c r="C62" i="24" s="1"/>
  <c r="D62" i="24" s="1"/>
  <c r="F62" i="24" s="1"/>
  <c r="E62" i="24" s="1"/>
  <c r="AG66" i="24"/>
  <c r="AH66" i="24"/>
  <c r="AB62" i="15"/>
  <c r="AG60" i="15"/>
  <c r="AE64" i="22"/>
  <c r="AF64" i="22" s="1"/>
  <c r="AH64" i="22" s="1"/>
  <c r="AG63" i="22"/>
  <c r="A61" i="22"/>
  <c r="B60" i="22"/>
  <c r="C60" i="22" s="1"/>
  <c r="D60" i="22" s="1"/>
  <c r="F60" i="22" s="1"/>
  <c r="E60" i="22" s="1"/>
  <c r="AC64" i="22"/>
  <c r="AA66" i="22"/>
  <c r="AD65" i="22"/>
  <c r="AB65" i="22"/>
  <c r="A123" i="17"/>
  <c r="B122" i="17"/>
  <c r="AC61" i="15"/>
  <c r="AH63" i="20"/>
  <c r="AE64" i="20"/>
  <c r="AF64" i="20" s="1"/>
  <c r="AH64" i="20" s="1"/>
  <c r="AB65" i="20"/>
  <c r="AD65" i="20"/>
  <c r="AA66" i="20"/>
  <c r="B58" i="20"/>
  <c r="A59" i="20"/>
  <c r="AC64" i="20"/>
  <c r="AH63" i="18"/>
  <c r="AD65" i="18"/>
  <c r="AB65" i="18"/>
  <c r="AA66" i="18"/>
  <c r="A60" i="18"/>
  <c r="B59" i="18"/>
  <c r="AC64" i="18"/>
  <c r="AE64" i="18"/>
  <c r="AF64" i="18" s="1"/>
  <c r="F34" i="17"/>
  <c r="E34" i="17" s="1"/>
  <c r="G34" i="17" s="1"/>
  <c r="AE64" i="17"/>
  <c r="AF64" i="17" s="1"/>
  <c r="AG64" i="17" s="1"/>
  <c r="AA66" i="17"/>
  <c r="AB65" i="17"/>
  <c r="AD65" i="17"/>
  <c r="AG63" i="17"/>
  <c r="AH63" i="17"/>
  <c r="AC64" i="17"/>
  <c r="B59" i="17"/>
  <c r="A60" i="17"/>
  <c r="AE61" i="15"/>
  <c r="AF61" i="15" s="1"/>
  <c r="AH61" i="15" s="1"/>
  <c r="AD62" i="15"/>
  <c r="AA63" i="15"/>
  <c r="B57" i="15"/>
  <c r="A58" i="15"/>
  <c r="G34" i="13"/>
  <c r="F34" i="13" s="1"/>
  <c r="B58" i="13"/>
  <c r="A59" i="13"/>
  <c r="X63" i="13"/>
  <c r="Y63" i="13" s="1"/>
  <c r="Z63" i="13" s="1"/>
  <c r="AA63" i="13" s="1"/>
  <c r="W64" i="13"/>
  <c r="D35" i="13" l="1"/>
  <c r="C35" i="13" s="1"/>
  <c r="AA69" i="24"/>
  <c r="AB68" i="24"/>
  <c r="AC68" i="24" s="1"/>
  <c r="AD68" i="24"/>
  <c r="AE68" i="24" s="1"/>
  <c r="AF68" i="24" s="1"/>
  <c r="A64" i="24"/>
  <c r="B63" i="24"/>
  <c r="C63" i="24" s="1"/>
  <c r="D63" i="24" s="1"/>
  <c r="F63" i="24" s="1"/>
  <c r="E63" i="24" s="1"/>
  <c r="AH67" i="24"/>
  <c r="AG67" i="24"/>
  <c r="AG64" i="22"/>
  <c r="AE65" i="22"/>
  <c r="AF65" i="22" s="1"/>
  <c r="AG65" i="22" s="1"/>
  <c r="AA67" i="22"/>
  <c r="AD66" i="22"/>
  <c r="AE66" i="22" s="1"/>
  <c r="AF66" i="22" s="1"/>
  <c r="AB66" i="22"/>
  <c r="AC66" i="22" s="1"/>
  <c r="AC65" i="22"/>
  <c r="A62" i="22"/>
  <c r="B61" i="22"/>
  <c r="C61" i="22" s="1"/>
  <c r="D61" i="22" s="1"/>
  <c r="F61" i="22" s="1"/>
  <c r="E61" i="22" s="1"/>
  <c r="AC62" i="15"/>
  <c r="B123" i="17"/>
  <c r="A124" i="17"/>
  <c r="AG64" i="20"/>
  <c r="AE65" i="20"/>
  <c r="AF65" i="20" s="1"/>
  <c r="AG65" i="20" s="1"/>
  <c r="AD66" i="20"/>
  <c r="AA67" i="20"/>
  <c r="AB66" i="20"/>
  <c r="B59" i="20"/>
  <c r="A60" i="20"/>
  <c r="AC65" i="20"/>
  <c r="B60" i="18"/>
  <c r="C60" i="18" s="1"/>
  <c r="D60" i="18" s="1"/>
  <c r="F60" i="18" s="1"/>
  <c r="E60" i="18" s="1"/>
  <c r="A61" i="18"/>
  <c r="AA67" i="18"/>
  <c r="AB66" i="18"/>
  <c r="AD66" i="18"/>
  <c r="AC65" i="18"/>
  <c r="AG64" i="18"/>
  <c r="AH64" i="18"/>
  <c r="AE65" i="18"/>
  <c r="AF65" i="18" s="1"/>
  <c r="AN35" i="17"/>
  <c r="AH64" i="17"/>
  <c r="AE65" i="17"/>
  <c r="AF65" i="17" s="1"/>
  <c r="AH65" i="17" s="1"/>
  <c r="AC65" i="17"/>
  <c r="AA67" i="17"/>
  <c r="AB66" i="17"/>
  <c r="AD66" i="17"/>
  <c r="A61" i="17"/>
  <c r="B60" i="17"/>
  <c r="AG61" i="15"/>
  <c r="AE62" i="15"/>
  <c r="AF62" i="15" s="1"/>
  <c r="AG62" i="15" s="1"/>
  <c r="AD63" i="15"/>
  <c r="AA64" i="15"/>
  <c r="AB63" i="15"/>
  <c r="A59" i="15"/>
  <c r="B58" i="15"/>
  <c r="X64" i="13"/>
  <c r="Y64" i="13" s="1"/>
  <c r="Z64" i="13" s="1"/>
  <c r="AA64" i="13" s="1"/>
  <c r="W65" i="13"/>
  <c r="B59" i="13"/>
  <c r="A60" i="13"/>
  <c r="E35" i="13" l="1"/>
  <c r="G35" i="13" s="1"/>
  <c r="F35" i="13" s="1"/>
  <c r="A65" i="24"/>
  <c r="B64" i="24"/>
  <c r="C64" i="24" s="1"/>
  <c r="D64" i="24" s="1"/>
  <c r="F64" i="24" s="1"/>
  <c r="E64" i="24" s="1"/>
  <c r="AG68" i="24"/>
  <c r="AH68" i="24"/>
  <c r="AD69" i="24"/>
  <c r="AE69" i="24" s="1"/>
  <c r="AF69" i="24" s="1"/>
  <c r="AA70" i="24"/>
  <c r="AB69" i="24"/>
  <c r="AC69" i="24" s="1"/>
  <c r="AH65" i="22"/>
  <c r="AG66" i="22"/>
  <c r="AH66" i="22"/>
  <c r="A63" i="22"/>
  <c r="B62" i="22"/>
  <c r="C62" i="22" s="1"/>
  <c r="D62" i="22" s="1"/>
  <c r="F62" i="22" s="1"/>
  <c r="E62" i="22" s="1"/>
  <c r="AA68" i="22"/>
  <c r="AD67" i="22"/>
  <c r="AE67" i="22" s="1"/>
  <c r="AF67" i="22" s="1"/>
  <c r="AB67" i="22"/>
  <c r="AC67" i="22" s="1"/>
  <c r="A125" i="17"/>
  <c r="B124" i="17"/>
  <c r="AC66" i="20"/>
  <c r="AE66" i="20"/>
  <c r="AF66" i="20" s="1"/>
  <c r="AH66" i="20" s="1"/>
  <c r="AH65" i="20"/>
  <c r="B60" i="20"/>
  <c r="A61" i="20"/>
  <c r="AD67" i="20"/>
  <c r="AA68" i="20"/>
  <c r="AB67" i="20"/>
  <c r="AC66" i="18"/>
  <c r="AD67" i="18"/>
  <c r="AB67" i="18"/>
  <c r="AA68" i="18"/>
  <c r="A62" i="18"/>
  <c r="B61" i="18"/>
  <c r="C61" i="18" s="1"/>
  <c r="D61" i="18" s="1"/>
  <c r="F61" i="18" s="1"/>
  <c r="E61" i="18" s="1"/>
  <c r="AH65" i="18"/>
  <c r="AG65" i="18"/>
  <c r="AE66" i="18"/>
  <c r="AF66" i="18" s="1"/>
  <c r="AM35" i="17"/>
  <c r="AL35" i="17" s="1"/>
  <c r="AB64" i="15"/>
  <c r="AG65" i="17"/>
  <c r="AC66" i="17"/>
  <c r="AA68" i="17"/>
  <c r="AD67" i="17"/>
  <c r="AB67" i="17"/>
  <c r="A62" i="17"/>
  <c r="B61" i="17"/>
  <c r="AE66" i="17"/>
  <c r="AF66" i="17" s="1"/>
  <c r="AH62" i="15"/>
  <c r="AE63" i="15"/>
  <c r="AF63" i="15" s="1"/>
  <c r="AG63" i="15" s="1"/>
  <c r="AC63" i="15"/>
  <c r="AD64" i="15"/>
  <c r="AA65" i="15"/>
  <c r="A60" i="15"/>
  <c r="B59" i="15"/>
  <c r="B60" i="13"/>
  <c r="A61" i="13"/>
  <c r="X65" i="13"/>
  <c r="Y65" i="13" s="1"/>
  <c r="Z65" i="13" s="1"/>
  <c r="AA65" i="13" s="1"/>
  <c r="W66" i="13"/>
  <c r="D36" i="13" l="1"/>
  <c r="C36" i="13" s="1"/>
  <c r="AA71" i="24"/>
  <c r="AB70" i="24"/>
  <c r="AC70" i="24" s="1"/>
  <c r="AD70" i="24"/>
  <c r="AE70" i="24" s="1"/>
  <c r="AF70" i="24" s="1"/>
  <c r="AH69" i="24"/>
  <c r="AG69" i="24"/>
  <c r="A66" i="24"/>
  <c r="B65" i="24"/>
  <c r="C65" i="24" s="1"/>
  <c r="D65" i="24" s="1"/>
  <c r="F65" i="24" s="1"/>
  <c r="E65" i="24" s="1"/>
  <c r="A64" i="22"/>
  <c r="B63" i="22"/>
  <c r="C63" i="22" s="1"/>
  <c r="D63" i="22" s="1"/>
  <c r="F63" i="22" s="1"/>
  <c r="E63" i="22" s="1"/>
  <c r="AH67" i="22"/>
  <c r="AG67" i="22"/>
  <c r="AA69" i="22"/>
  <c r="AB68" i="22"/>
  <c r="AC68" i="22" s="1"/>
  <c r="AD68" i="22"/>
  <c r="AE68" i="22" s="1"/>
  <c r="AF68" i="22" s="1"/>
  <c r="A126" i="17"/>
  <c r="B125" i="17"/>
  <c r="AG66" i="20"/>
  <c r="AE67" i="20"/>
  <c r="AF67" i="20" s="1"/>
  <c r="AH67" i="20" s="1"/>
  <c r="AC67" i="20"/>
  <c r="AB68" i="20"/>
  <c r="AA69" i="20"/>
  <c r="AD68" i="20"/>
  <c r="A62" i="20"/>
  <c r="B61" i="20"/>
  <c r="AE64" i="15"/>
  <c r="AF64" i="15" s="1"/>
  <c r="AH64" i="15" s="1"/>
  <c r="AB65" i="15"/>
  <c r="AC64" i="15"/>
  <c r="AC67" i="18"/>
  <c r="B62" i="18"/>
  <c r="C62" i="18" s="1"/>
  <c r="D62" i="18" s="1"/>
  <c r="F62" i="18" s="1"/>
  <c r="E62" i="18" s="1"/>
  <c r="A63" i="18"/>
  <c r="AG66" i="18"/>
  <c r="AH66" i="18"/>
  <c r="AA69" i="18"/>
  <c r="AB68" i="18"/>
  <c r="AD68" i="18"/>
  <c r="AE67" i="18"/>
  <c r="AF67" i="18" s="1"/>
  <c r="C35" i="17"/>
  <c r="D35" i="17" s="1"/>
  <c r="F35" i="17" s="1"/>
  <c r="E35" i="17" s="1"/>
  <c r="G35" i="17" s="1"/>
  <c r="AC67" i="17"/>
  <c r="AD68" i="17"/>
  <c r="AA69" i="17"/>
  <c r="AB68" i="17"/>
  <c r="B62" i="17"/>
  <c r="A63" i="17"/>
  <c r="AE67" i="17"/>
  <c r="AF67" i="17" s="1"/>
  <c r="AG66" i="17"/>
  <c r="AH66" i="17"/>
  <c r="AH63" i="15"/>
  <c r="AD65" i="15"/>
  <c r="AA66" i="15"/>
  <c r="A61" i="15"/>
  <c r="B60" i="15"/>
  <c r="X66" i="13"/>
  <c r="Y66" i="13" s="1"/>
  <c r="Z66" i="13" s="1"/>
  <c r="AA66" i="13" s="1"/>
  <c r="W67" i="13"/>
  <c r="B61" i="13"/>
  <c r="A62" i="13"/>
  <c r="E36" i="13" l="1"/>
  <c r="G36" i="13" s="1"/>
  <c r="F36" i="13" s="1"/>
  <c r="AG70" i="24"/>
  <c r="AH70" i="24"/>
  <c r="A67" i="24"/>
  <c r="B66" i="24"/>
  <c r="C66" i="24" s="1"/>
  <c r="D66" i="24" s="1"/>
  <c r="F66" i="24" s="1"/>
  <c r="E66" i="24" s="1"/>
  <c r="AA72" i="24"/>
  <c r="AD71" i="24"/>
  <c r="AE71" i="24" s="1"/>
  <c r="AF71" i="24" s="1"/>
  <c r="AB71" i="24"/>
  <c r="AC71" i="24" s="1"/>
  <c r="AG68" i="22"/>
  <c r="AH68" i="22"/>
  <c r="AB69" i="22"/>
  <c r="AC69" i="22" s="1"/>
  <c r="AA70" i="22"/>
  <c r="AD69" i="22"/>
  <c r="AE69" i="22" s="1"/>
  <c r="AF69" i="22" s="1"/>
  <c r="B64" i="22"/>
  <c r="C64" i="22" s="1"/>
  <c r="D64" i="22" s="1"/>
  <c r="F64" i="22" s="1"/>
  <c r="E64" i="22" s="1"/>
  <c r="A65" i="22"/>
  <c r="B126" i="17"/>
  <c r="A127" i="17"/>
  <c r="AG67" i="20"/>
  <c r="AE68" i="20"/>
  <c r="AF68" i="20" s="1"/>
  <c r="AH68" i="20" s="1"/>
  <c r="AC68" i="20"/>
  <c r="AG64" i="15"/>
  <c r="AC65" i="15"/>
  <c r="A63" i="20"/>
  <c r="B62" i="20"/>
  <c r="AD69" i="20"/>
  <c r="AA70" i="20"/>
  <c r="AB69" i="20"/>
  <c r="AB66" i="15"/>
  <c r="AE65" i="15"/>
  <c r="AF65" i="15" s="1"/>
  <c r="AG65" i="15" s="1"/>
  <c r="AE68" i="18"/>
  <c r="AF68" i="18" s="1"/>
  <c r="AG68" i="18" s="1"/>
  <c r="AC68" i="18"/>
  <c r="A64" i="18"/>
  <c r="B63" i="18"/>
  <c r="C63" i="18" s="1"/>
  <c r="D63" i="18" s="1"/>
  <c r="F63" i="18" s="1"/>
  <c r="E63" i="18" s="1"/>
  <c r="AH67" i="18"/>
  <c r="AG67" i="18"/>
  <c r="AA70" i="18"/>
  <c r="AD69" i="18"/>
  <c r="AB69" i="18"/>
  <c r="AQ41" i="17"/>
  <c r="AR47" i="17"/>
  <c r="AN36" i="17"/>
  <c r="AO37" i="17"/>
  <c r="AP38" i="17"/>
  <c r="AE68" i="17"/>
  <c r="AF68" i="17" s="1"/>
  <c r="AG68" i="17" s="1"/>
  <c r="B63" i="17"/>
  <c r="A64" i="17"/>
  <c r="AB69" i="17"/>
  <c r="AD69" i="17"/>
  <c r="AA70" i="17"/>
  <c r="AH67" i="17"/>
  <c r="AG67" i="17"/>
  <c r="AC68" i="17"/>
  <c r="AA67" i="15"/>
  <c r="AD66" i="15"/>
  <c r="B61" i="15"/>
  <c r="A62" i="15"/>
  <c r="X67" i="13"/>
  <c r="Y67" i="13" s="1"/>
  <c r="Z67" i="13" s="1"/>
  <c r="AA67" i="13" s="1"/>
  <c r="W68" i="13"/>
  <c r="B62" i="13"/>
  <c r="A63" i="13"/>
  <c r="D37" i="13" l="1"/>
  <c r="C37" i="13" s="1"/>
  <c r="A68" i="24"/>
  <c r="B67" i="24"/>
  <c r="C67" i="24" s="1"/>
  <c r="D67" i="24" s="1"/>
  <c r="F67" i="24" s="1"/>
  <c r="E67" i="24" s="1"/>
  <c r="AH71" i="24"/>
  <c r="AG71" i="24"/>
  <c r="AA73" i="24"/>
  <c r="AD72" i="24"/>
  <c r="AE72" i="24" s="1"/>
  <c r="AF72" i="24" s="1"/>
  <c r="AB72" i="24"/>
  <c r="AC72" i="24" s="1"/>
  <c r="AA71" i="22"/>
  <c r="AD70" i="22"/>
  <c r="AE70" i="22" s="1"/>
  <c r="AF70" i="22" s="1"/>
  <c r="AB70" i="22"/>
  <c r="AC70" i="22" s="1"/>
  <c r="A66" i="22"/>
  <c r="B65" i="22"/>
  <c r="C65" i="22" s="1"/>
  <c r="D65" i="22" s="1"/>
  <c r="F65" i="22" s="1"/>
  <c r="E65" i="22" s="1"/>
  <c r="AG69" i="22"/>
  <c r="AH69" i="22"/>
  <c r="B127" i="17"/>
  <c r="A128" i="17"/>
  <c r="AG68" i="20"/>
  <c r="AC69" i="20"/>
  <c r="AE69" i="20"/>
  <c r="AF69" i="20" s="1"/>
  <c r="AH69" i="20" s="1"/>
  <c r="AC66" i="15"/>
  <c r="AB70" i="20"/>
  <c r="AA71" i="20"/>
  <c r="AD70" i="20"/>
  <c r="A64" i="20"/>
  <c r="B63" i="20"/>
  <c r="AB67" i="15"/>
  <c r="AH65" i="15"/>
  <c r="AH68" i="18"/>
  <c r="AE69" i="18"/>
  <c r="AF69" i="18" s="1"/>
  <c r="AH69" i="18" s="1"/>
  <c r="AA71" i="18"/>
  <c r="AD70" i="18"/>
  <c r="AB70" i="18"/>
  <c r="AC69" i="18"/>
  <c r="A65" i="18"/>
  <c r="B64" i="18"/>
  <c r="C64" i="18" s="1"/>
  <c r="D64" i="18" s="1"/>
  <c r="F64" i="18" s="1"/>
  <c r="E64" i="18" s="1"/>
  <c r="AM52" i="17"/>
  <c r="AM36" i="17"/>
  <c r="AH68" i="17"/>
  <c r="AE69" i="17"/>
  <c r="AF69" i="17" s="1"/>
  <c r="AH69" i="17" s="1"/>
  <c r="AA71" i="17"/>
  <c r="AD70" i="17"/>
  <c r="AB70" i="17"/>
  <c r="B64" i="17"/>
  <c r="A65" i="17"/>
  <c r="AC69" i="17"/>
  <c r="AE66" i="15"/>
  <c r="AF66" i="15" s="1"/>
  <c r="AG66" i="15" s="1"/>
  <c r="AA68" i="15"/>
  <c r="AD67" i="15"/>
  <c r="B62" i="15"/>
  <c r="A63" i="15"/>
  <c r="W69" i="13"/>
  <c r="X68" i="13"/>
  <c r="Y68" i="13" s="1"/>
  <c r="Z68" i="13" s="1"/>
  <c r="AA68" i="13" s="1"/>
  <c r="B63" i="13"/>
  <c r="A64" i="13"/>
  <c r="E37" i="13" l="1"/>
  <c r="G37" i="13" s="1"/>
  <c r="F37" i="13" s="1"/>
  <c r="AH72" i="24"/>
  <c r="AG72" i="24"/>
  <c r="AA74" i="24"/>
  <c r="AD73" i="24"/>
  <c r="AE73" i="24" s="1"/>
  <c r="AF73" i="24" s="1"/>
  <c r="AB73" i="24"/>
  <c r="AC73" i="24" s="1"/>
  <c r="A69" i="24"/>
  <c r="B68" i="24"/>
  <c r="C68" i="24" s="1"/>
  <c r="D68" i="24" s="1"/>
  <c r="F68" i="24" s="1"/>
  <c r="E68" i="24" s="1"/>
  <c r="B66" i="22"/>
  <c r="C66" i="22" s="1"/>
  <c r="D66" i="22" s="1"/>
  <c r="F66" i="22" s="1"/>
  <c r="E66" i="22" s="1"/>
  <c r="A67" i="22"/>
  <c r="AG70" i="22"/>
  <c r="AH70" i="22"/>
  <c r="AA72" i="22"/>
  <c r="AD71" i="22"/>
  <c r="AE71" i="22" s="1"/>
  <c r="AF71" i="22" s="1"/>
  <c r="AB71" i="22"/>
  <c r="AC71" i="22" s="1"/>
  <c r="B128" i="17"/>
  <c r="A129" i="17"/>
  <c r="AC70" i="20"/>
  <c r="AG69" i="20"/>
  <c r="AE70" i="20"/>
  <c r="AF70" i="20" s="1"/>
  <c r="AH70" i="20" s="1"/>
  <c r="AB68" i="15"/>
  <c r="AC67" i="15"/>
  <c r="AB71" i="20"/>
  <c r="AD71" i="20"/>
  <c r="A65" i="20"/>
  <c r="B64" i="20"/>
  <c r="AG69" i="18"/>
  <c r="AE70" i="18"/>
  <c r="AF70" i="18" s="1"/>
  <c r="AC70" i="18"/>
  <c r="A66" i="18"/>
  <c r="B65" i="18"/>
  <c r="C65" i="18" s="1"/>
  <c r="D65" i="18" s="1"/>
  <c r="F65" i="18" s="1"/>
  <c r="E65" i="18" s="1"/>
  <c r="AB71" i="18"/>
  <c r="AA72" i="18"/>
  <c r="AD71" i="18"/>
  <c r="AL36" i="17"/>
  <c r="C36" i="17" s="1"/>
  <c r="D36" i="17" s="1"/>
  <c r="F36" i="17" s="1"/>
  <c r="E36" i="17" s="1"/>
  <c r="G36" i="17" s="1"/>
  <c r="AG69" i="17"/>
  <c r="AC70" i="17"/>
  <c r="AE70" i="17"/>
  <c r="AF70" i="17" s="1"/>
  <c r="A66" i="17"/>
  <c r="B65" i="17"/>
  <c r="AA72" i="17"/>
  <c r="AD71" i="17"/>
  <c r="AB71" i="17"/>
  <c r="AH66" i="15"/>
  <c r="AE67" i="15"/>
  <c r="AF67" i="15" s="1"/>
  <c r="AH67" i="15" s="1"/>
  <c r="AA69" i="15"/>
  <c r="AD68" i="15"/>
  <c r="A64" i="15"/>
  <c r="B63" i="15"/>
  <c r="B64" i="13"/>
  <c r="A65" i="13"/>
  <c r="W70" i="13"/>
  <c r="X69" i="13"/>
  <c r="Y69" i="13" s="1"/>
  <c r="Z69" i="13" s="1"/>
  <c r="AA69" i="13" s="1"/>
  <c r="D38" i="13" l="1"/>
  <c r="C38" i="13" s="1"/>
  <c r="AH73" i="24"/>
  <c r="AG73" i="24"/>
  <c r="AA75" i="24"/>
  <c r="AD74" i="24"/>
  <c r="AE74" i="24" s="1"/>
  <c r="AF74" i="24" s="1"/>
  <c r="AB74" i="24"/>
  <c r="AC74" i="24" s="1"/>
  <c r="A70" i="24"/>
  <c r="B69" i="24"/>
  <c r="C69" i="24" s="1"/>
  <c r="D69" i="24" s="1"/>
  <c r="F69" i="24" s="1"/>
  <c r="E69" i="24" s="1"/>
  <c r="AH71" i="22"/>
  <c r="AG71" i="22"/>
  <c r="A68" i="22"/>
  <c r="B67" i="22"/>
  <c r="C67" i="22" s="1"/>
  <c r="D67" i="22" s="1"/>
  <c r="F67" i="22" s="1"/>
  <c r="E67" i="22" s="1"/>
  <c r="AA73" i="22"/>
  <c r="AD72" i="22"/>
  <c r="AE72" i="22" s="1"/>
  <c r="AF72" i="22" s="1"/>
  <c r="AB72" i="22"/>
  <c r="AC72" i="22" s="1"/>
  <c r="A130" i="17"/>
  <c r="B129" i="17"/>
  <c r="AG70" i="20"/>
  <c r="AE71" i="20"/>
  <c r="AF71" i="20" s="1"/>
  <c r="AH71" i="20" s="1"/>
  <c r="AE26" i="20" s="1"/>
  <c r="AC71" i="20"/>
  <c r="AB69" i="15"/>
  <c r="AC68" i="15"/>
  <c r="A66" i="20"/>
  <c r="B65" i="20"/>
  <c r="AE71" i="18"/>
  <c r="AF71" i="18" s="1"/>
  <c r="AH71" i="18" s="1"/>
  <c r="AA73" i="18"/>
  <c r="AD72" i="18"/>
  <c r="AB72" i="18"/>
  <c r="B66" i="18"/>
  <c r="C66" i="18" s="1"/>
  <c r="D66" i="18" s="1"/>
  <c r="F66" i="18" s="1"/>
  <c r="E66" i="18" s="1"/>
  <c r="A67" i="18"/>
  <c r="AC71" i="18"/>
  <c r="AG70" i="18"/>
  <c r="AH70" i="18"/>
  <c r="AN37" i="17"/>
  <c r="AM54" i="17"/>
  <c r="AM37" i="17"/>
  <c r="AG70" i="17"/>
  <c r="AH70" i="17"/>
  <c r="B66" i="17"/>
  <c r="A67" i="17"/>
  <c r="AB72" i="17"/>
  <c r="AD72" i="17"/>
  <c r="AA73" i="17"/>
  <c r="AC71" i="17"/>
  <c r="AE71" i="17"/>
  <c r="AF71" i="17" s="1"/>
  <c r="AG67" i="15"/>
  <c r="AE68" i="15"/>
  <c r="AF68" i="15" s="1"/>
  <c r="AH68" i="15" s="1"/>
  <c r="AD69" i="15"/>
  <c r="AA70" i="15"/>
  <c r="B64" i="15"/>
  <c r="A65" i="15"/>
  <c r="B65" i="13"/>
  <c r="A66" i="13"/>
  <c r="W71" i="13"/>
  <c r="X70" i="13"/>
  <c r="Y70" i="13" s="1"/>
  <c r="Z70" i="13" s="1"/>
  <c r="AA70" i="13" s="1"/>
  <c r="E38" i="13" l="1"/>
  <c r="G38" i="13" s="1"/>
  <c r="F38" i="13" s="1"/>
  <c r="AH74" i="24"/>
  <c r="AG74" i="24"/>
  <c r="AA76" i="24"/>
  <c r="AD75" i="24"/>
  <c r="AE75" i="24" s="1"/>
  <c r="AF75" i="24" s="1"/>
  <c r="AB75" i="24"/>
  <c r="AC75" i="24" s="1"/>
  <c r="A71" i="24"/>
  <c r="B71" i="24" s="1"/>
  <c r="C71" i="24" s="1"/>
  <c r="B70" i="24"/>
  <c r="C70" i="24" s="1"/>
  <c r="D70" i="24" s="1"/>
  <c r="F70" i="24" s="1"/>
  <c r="E70" i="24" s="1"/>
  <c r="A69" i="22"/>
  <c r="B68" i="22"/>
  <c r="C68" i="22" s="1"/>
  <c r="D68" i="22" s="1"/>
  <c r="F68" i="22" s="1"/>
  <c r="E68" i="22" s="1"/>
  <c r="AH72" i="22"/>
  <c r="AG72" i="22"/>
  <c r="AA74" i="22"/>
  <c r="AD73" i="22"/>
  <c r="AE73" i="22" s="1"/>
  <c r="AF73" i="22" s="1"/>
  <c r="AB73" i="22"/>
  <c r="AC73" i="22" s="1"/>
  <c r="B130" i="17"/>
  <c r="A131" i="17"/>
  <c r="AG71" i="20"/>
  <c r="AE25" i="20" s="1"/>
  <c r="G16" i="20" s="1"/>
  <c r="AB70" i="15"/>
  <c r="AC69" i="15"/>
  <c r="B66" i="20"/>
  <c r="A67" i="20"/>
  <c r="AG71" i="18"/>
  <c r="AE72" i="18"/>
  <c r="AF72" i="18" s="1"/>
  <c r="A68" i="18"/>
  <c r="B67" i="18"/>
  <c r="C67" i="18" s="1"/>
  <c r="D67" i="18" s="1"/>
  <c r="F67" i="18" s="1"/>
  <c r="E67" i="18" s="1"/>
  <c r="AC72" i="18"/>
  <c r="AB73" i="18"/>
  <c r="AA74" i="18"/>
  <c r="AD73" i="18"/>
  <c r="AL37" i="17"/>
  <c r="C37" i="17" s="1"/>
  <c r="D37" i="17" s="1"/>
  <c r="F37" i="17" s="1"/>
  <c r="E37" i="17" s="1"/>
  <c r="G37" i="17" s="1"/>
  <c r="AM55" i="17"/>
  <c r="AE69" i="15"/>
  <c r="AF69" i="15" s="1"/>
  <c r="AH69" i="15" s="1"/>
  <c r="AC72" i="17"/>
  <c r="AH71" i="17"/>
  <c r="AG71" i="17"/>
  <c r="AB73" i="17"/>
  <c r="AD73" i="17"/>
  <c r="AA74" i="17"/>
  <c r="AE72" i="17"/>
  <c r="AF72" i="17" s="1"/>
  <c r="A68" i="17"/>
  <c r="B67" i="17"/>
  <c r="AG68" i="15"/>
  <c r="AD70" i="15"/>
  <c r="AA71" i="15"/>
  <c r="B65" i="15"/>
  <c r="A66" i="15"/>
  <c r="B66" i="13"/>
  <c r="A67" i="13"/>
  <c r="W72" i="13"/>
  <c r="X71" i="13"/>
  <c r="Y71" i="13" s="1"/>
  <c r="Z71" i="13" s="1"/>
  <c r="AA71" i="13" s="1"/>
  <c r="D39" i="13" l="1"/>
  <c r="C39" i="13" s="1"/>
  <c r="AG75" i="24"/>
  <c r="AH75" i="24"/>
  <c r="AA77" i="24"/>
  <c r="AD76" i="24"/>
  <c r="AE76" i="24" s="1"/>
  <c r="AF76" i="24" s="1"/>
  <c r="AB76" i="24"/>
  <c r="AC76" i="24" s="1"/>
  <c r="D71" i="24"/>
  <c r="C22" i="24"/>
  <c r="AH73" i="22"/>
  <c r="AG73" i="22"/>
  <c r="AA75" i="22"/>
  <c r="AB74" i="22"/>
  <c r="AC74" i="22" s="1"/>
  <c r="AD74" i="22"/>
  <c r="AE74" i="22" s="1"/>
  <c r="AF74" i="22" s="1"/>
  <c r="A70" i="22"/>
  <c r="B69" i="22"/>
  <c r="C69" i="22" s="1"/>
  <c r="D69" i="22" s="1"/>
  <c r="F69" i="22" s="1"/>
  <c r="E69" i="22" s="1"/>
  <c r="B131" i="17"/>
  <c r="A132" i="17"/>
  <c r="BG23" i="20"/>
  <c r="BG24" i="20" s="1"/>
  <c r="E23" i="20"/>
  <c r="DO24" i="20" s="1"/>
  <c r="AB71" i="15"/>
  <c r="AC70" i="15"/>
  <c r="A68" i="20"/>
  <c r="B67" i="20"/>
  <c r="AG69" i="15"/>
  <c r="AE73" i="18"/>
  <c r="AF73" i="18" s="1"/>
  <c r="AG73" i="18" s="1"/>
  <c r="AA75" i="18"/>
  <c r="AD74" i="18"/>
  <c r="AB74" i="18"/>
  <c r="A69" i="18"/>
  <c r="B68" i="18"/>
  <c r="C68" i="18" s="1"/>
  <c r="D68" i="18" s="1"/>
  <c r="F68" i="18" s="1"/>
  <c r="E68" i="18" s="1"/>
  <c r="AC73" i="18"/>
  <c r="AG72" i="18"/>
  <c r="AH72" i="18"/>
  <c r="AN38" i="17"/>
  <c r="AM38" i="17" s="1"/>
  <c r="AL38" i="17" s="1"/>
  <c r="AO39" i="17"/>
  <c r="AM56" i="17"/>
  <c r="AE70" i="15"/>
  <c r="AF70" i="15" s="1"/>
  <c r="AG70" i="15" s="1"/>
  <c r="AE73" i="17"/>
  <c r="AF73" i="17" s="1"/>
  <c r="AG73" i="17" s="1"/>
  <c r="AD74" i="17"/>
  <c r="AB74" i="17"/>
  <c r="AA75" i="17"/>
  <c r="A69" i="17"/>
  <c r="B68" i="17"/>
  <c r="AG72" i="17"/>
  <c r="AH72" i="17"/>
  <c r="AC73" i="17"/>
  <c r="AD71" i="15"/>
  <c r="AA72" i="15"/>
  <c r="B66" i="15"/>
  <c r="A67" i="15"/>
  <c r="B67" i="13"/>
  <c r="A68" i="13"/>
  <c r="W73" i="13"/>
  <c r="X72" i="13"/>
  <c r="Y72" i="13" s="1"/>
  <c r="Z72" i="13" s="1"/>
  <c r="AA72" i="13" s="1"/>
  <c r="E39" i="13" l="1"/>
  <c r="G39" i="13" s="1"/>
  <c r="F39" i="13" s="1"/>
  <c r="AG76" i="24"/>
  <c r="AH76" i="24"/>
  <c r="AA78" i="24"/>
  <c r="AD77" i="24"/>
  <c r="AE77" i="24" s="1"/>
  <c r="AF77" i="24" s="1"/>
  <c r="AB77" i="24"/>
  <c r="AC77" i="24" s="1"/>
  <c r="F71" i="24"/>
  <c r="D22" i="24"/>
  <c r="AY65" i="20"/>
  <c r="AW73" i="20"/>
  <c r="AW75" i="20"/>
  <c r="AW77" i="20"/>
  <c r="AW79" i="20"/>
  <c r="AW81" i="20"/>
  <c r="AW83" i="20"/>
  <c r="AW85" i="20"/>
  <c r="AW87" i="20"/>
  <c r="AY77" i="20"/>
  <c r="AY83" i="20"/>
  <c r="AV73" i="20"/>
  <c r="AU73" i="20" s="1"/>
  <c r="AX74" i="20"/>
  <c r="AV75" i="20"/>
  <c r="AU75" i="20" s="1"/>
  <c r="AV77" i="20"/>
  <c r="AU77" i="20" s="1"/>
  <c r="AV79" i="20"/>
  <c r="AU79" i="20" s="1"/>
  <c r="AV81" i="20"/>
  <c r="AU81" i="20" s="1"/>
  <c r="AZ83" i="20"/>
  <c r="AV85" i="20"/>
  <c r="AU85" i="20" s="1"/>
  <c r="AX86" i="20"/>
  <c r="AV72" i="20"/>
  <c r="AU72" i="20" s="1"/>
  <c r="AV74" i="20"/>
  <c r="AU74" i="20" s="1"/>
  <c r="AV76" i="20"/>
  <c r="AU76" i="20" s="1"/>
  <c r="AX77" i="20"/>
  <c r="AV78" i="20"/>
  <c r="AU78" i="20" s="1"/>
  <c r="AV80" i="20"/>
  <c r="AU80" i="20" s="1"/>
  <c r="AV82" i="20"/>
  <c r="AU82" i="20" s="1"/>
  <c r="AX83" i="20"/>
  <c r="AV84" i="20"/>
  <c r="AU84" i="20" s="1"/>
  <c r="AV86" i="20"/>
  <c r="AU86" i="20" s="1"/>
  <c r="AV88" i="20"/>
  <c r="AU88" i="20" s="1"/>
  <c r="AX80" i="20"/>
  <c r="AV83" i="20"/>
  <c r="AU83" i="20" s="1"/>
  <c r="AV87" i="20"/>
  <c r="AU87" i="20" s="1"/>
  <c r="AA76" i="22"/>
  <c r="AD75" i="22"/>
  <c r="AE75" i="22" s="1"/>
  <c r="AF75" i="22" s="1"/>
  <c r="AB75" i="22"/>
  <c r="AC75" i="22" s="1"/>
  <c r="A71" i="22"/>
  <c r="B71" i="22" s="1"/>
  <c r="C71" i="22" s="1"/>
  <c r="D71" i="22" s="1"/>
  <c r="F71" i="22" s="1"/>
  <c r="E71" i="22" s="1"/>
  <c r="B70" i="22"/>
  <c r="C70" i="22" s="1"/>
  <c r="D70" i="22" s="1"/>
  <c r="F70" i="22" s="1"/>
  <c r="E70" i="22" s="1"/>
  <c r="AH74" i="22"/>
  <c r="AG74" i="22"/>
  <c r="B132" i="17"/>
  <c r="A133" i="17"/>
  <c r="BG25" i="20"/>
  <c r="BG26" i="20" s="1"/>
  <c r="BG27" i="20" s="1"/>
  <c r="BG28" i="20" s="1"/>
  <c r="BG29" i="20" s="1"/>
  <c r="BG30" i="20" s="1"/>
  <c r="BG31" i="20" s="1"/>
  <c r="BG32" i="20" s="1"/>
  <c r="BG33" i="20" s="1"/>
  <c r="BG34" i="20" s="1"/>
  <c r="BG35" i="20" s="1"/>
  <c r="AV37" i="20"/>
  <c r="AU37" i="20" s="1"/>
  <c r="AX29" i="20"/>
  <c r="AV52" i="20"/>
  <c r="AU52" i="20" s="1"/>
  <c r="AW37" i="20"/>
  <c r="AV30" i="20"/>
  <c r="AU30" i="20" s="1"/>
  <c r="AW27" i="20"/>
  <c r="AW55" i="20"/>
  <c r="AZ35" i="20"/>
  <c r="AX68" i="20"/>
  <c r="AV31" i="20"/>
  <c r="AV45" i="20"/>
  <c r="AW71" i="20"/>
  <c r="AW39" i="20"/>
  <c r="AX47" i="20"/>
  <c r="AW59" i="20"/>
  <c r="AW63" i="20"/>
  <c r="AY59" i="20"/>
  <c r="AQ29" i="20"/>
  <c r="AV49" i="20"/>
  <c r="AW25" i="20"/>
  <c r="AV56" i="20"/>
  <c r="AU56" i="20" s="1"/>
  <c r="AX71" i="20"/>
  <c r="AW45" i="20"/>
  <c r="AV67" i="20"/>
  <c r="AY35" i="20"/>
  <c r="AV36" i="20"/>
  <c r="AU36" i="20" s="1"/>
  <c r="AX44" i="20"/>
  <c r="AW67" i="20"/>
  <c r="AY41" i="20"/>
  <c r="AY47" i="20"/>
  <c r="AW69" i="20"/>
  <c r="AV69" i="20"/>
  <c r="AU69" i="20" s="1"/>
  <c r="AZ47" i="20"/>
  <c r="AV46" i="20"/>
  <c r="AU46" i="20" s="1"/>
  <c r="AV24" i="20"/>
  <c r="AU24" i="20" s="1"/>
  <c r="AV65" i="20"/>
  <c r="AU65" i="20" s="1"/>
  <c r="AV57" i="20"/>
  <c r="AV53" i="20"/>
  <c r="AV60" i="20"/>
  <c r="AU60" i="20" s="1"/>
  <c r="AV62" i="20"/>
  <c r="AU62" i="20" s="1"/>
  <c r="AV28" i="20"/>
  <c r="AU28" i="20" s="1"/>
  <c r="AV66" i="20"/>
  <c r="AU66" i="20" s="1"/>
  <c r="AX41" i="20"/>
  <c r="AV55" i="20"/>
  <c r="AU55" i="20" s="1"/>
  <c r="AW57" i="20"/>
  <c r="AX50" i="20"/>
  <c r="AV70" i="20"/>
  <c r="AU70" i="20" s="1"/>
  <c r="AV44" i="20"/>
  <c r="AU44" i="20" s="1"/>
  <c r="AV42" i="20"/>
  <c r="AU42" i="20" s="1"/>
  <c r="AX38" i="20"/>
  <c r="AP26" i="20"/>
  <c r="AW51" i="20"/>
  <c r="AV54" i="20"/>
  <c r="AU54" i="20" s="1"/>
  <c r="AY71" i="20"/>
  <c r="AV27" i="20"/>
  <c r="AU27" i="20" s="1"/>
  <c r="AX62" i="20"/>
  <c r="AV40" i="20"/>
  <c r="AU40" i="20" s="1"/>
  <c r="AW53" i="20"/>
  <c r="AR35" i="20"/>
  <c r="AV35" i="20"/>
  <c r="AU35" i="20" s="1"/>
  <c r="AV71" i="20"/>
  <c r="AU71" i="20" s="1"/>
  <c r="AZ59" i="20"/>
  <c r="AX53" i="20"/>
  <c r="AV25" i="20"/>
  <c r="AU25" i="20" s="1"/>
  <c r="AV26" i="20"/>
  <c r="AU26" i="20" s="1"/>
  <c r="AV47" i="20"/>
  <c r="AV33" i="20"/>
  <c r="AN24" i="20"/>
  <c r="AM24" i="20" s="1"/>
  <c r="AL24" i="20" s="1"/>
  <c r="C24" i="20" s="1"/>
  <c r="AW43" i="20"/>
  <c r="AX32" i="20"/>
  <c r="AV34" i="20"/>
  <c r="AU34" i="20" s="1"/>
  <c r="AV50" i="20"/>
  <c r="AU50" i="20" s="1"/>
  <c r="AX26" i="20"/>
  <c r="AW47" i="20"/>
  <c r="AY29" i="20"/>
  <c r="AV63" i="20"/>
  <c r="AU63" i="20" s="1"/>
  <c r="AV59" i="20"/>
  <c r="AU59" i="20" s="1"/>
  <c r="AX65" i="20"/>
  <c r="AW41" i="20"/>
  <c r="AV58" i="20"/>
  <c r="AU58" i="20" s="1"/>
  <c r="AX59" i="20"/>
  <c r="AV61" i="20"/>
  <c r="AX56" i="20"/>
  <c r="AV38" i="20"/>
  <c r="AU38" i="20" s="1"/>
  <c r="AW29" i="20"/>
  <c r="AW35" i="20"/>
  <c r="AV48" i="20"/>
  <c r="AU48" i="20" s="1"/>
  <c r="AV64" i="20"/>
  <c r="AU64" i="20" s="1"/>
  <c r="AV32" i="20"/>
  <c r="AU32" i="20" s="1"/>
  <c r="AW65" i="20"/>
  <c r="AV51" i="20"/>
  <c r="AZ71" i="20"/>
  <c r="AY53" i="20"/>
  <c r="AW33" i="20"/>
  <c r="AV29" i="20"/>
  <c r="AV39" i="20"/>
  <c r="AW61" i="20"/>
  <c r="AW31" i="20"/>
  <c r="AX35" i="20"/>
  <c r="AV43" i="20"/>
  <c r="AO25" i="20"/>
  <c r="AV41" i="20"/>
  <c r="AU41" i="20" s="1"/>
  <c r="AW49" i="20"/>
  <c r="AV68" i="20"/>
  <c r="AU68" i="20" s="1"/>
  <c r="AE71" i="15"/>
  <c r="AF71" i="15" s="1"/>
  <c r="AG71" i="15" s="1"/>
  <c r="AB72" i="15"/>
  <c r="A69" i="20"/>
  <c r="B68" i="20"/>
  <c r="AC71" i="15"/>
  <c r="AH70" i="15"/>
  <c r="AH73" i="18"/>
  <c r="AE74" i="18"/>
  <c r="AF74" i="18" s="1"/>
  <c r="AG74" i="18" s="1"/>
  <c r="AA76" i="18"/>
  <c r="AD75" i="18"/>
  <c r="AB75" i="18"/>
  <c r="A70" i="18"/>
  <c r="B69" i="18"/>
  <c r="C69" i="18" s="1"/>
  <c r="D69" i="18" s="1"/>
  <c r="F69" i="18" s="1"/>
  <c r="E69" i="18" s="1"/>
  <c r="AC74" i="18"/>
  <c r="C38" i="17"/>
  <c r="D38" i="17" s="1"/>
  <c r="F38" i="17" s="1"/>
  <c r="E38" i="17" s="1"/>
  <c r="G38" i="17" s="1"/>
  <c r="AM57" i="17"/>
  <c r="AH73" i="17"/>
  <c r="AC74" i="17"/>
  <c r="AE74" i="17"/>
  <c r="AF74" i="17" s="1"/>
  <c r="A70" i="17"/>
  <c r="B69" i="17"/>
  <c r="AA76" i="17"/>
  <c r="AD75" i="17"/>
  <c r="AB75" i="17"/>
  <c r="AA73" i="15"/>
  <c r="AD72" i="15"/>
  <c r="B67" i="15"/>
  <c r="A68" i="15"/>
  <c r="W74" i="13"/>
  <c r="X73" i="13"/>
  <c r="Y73" i="13" s="1"/>
  <c r="Z73" i="13" s="1"/>
  <c r="AA73" i="13" s="1"/>
  <c r="B68" i="13"/>
  <c r="A69" i="13"/>
  <c r="D40" i="13" l="1"/>
  <c r="C40" i="13" s="1"/>
  <c r="AG77" i="24"/>
  <c r="AE25" i="24" s="1"/>
  <c r="AH77" i="24"/>
  <c r="AE26" i="24" s="1"/>
  <c r="E71" i="24"/>
  <c r="B19" i="24"/>
  <c r="F22" i="24"/>
  <c r="AA79" i="24"/>
  <c r="AD78" i="24"/>
  <c r="D24" i="20"/>
  <c r="F24" i="20" s="1"/>
  <c r="AH75" i="22"/>
  <c r="AG75" i="22"/>
  <c r="AA77" i="22"/>
  <c r="AD76" i="22"/>
  <c r="AE76" i="22" s="1"/>
  <c r="AF76" i="22" s="1"/>
  <c r="AB76" i="22"/>
  <c r="AC76" i="22" s="1"/>
  <c r="AU57" i="20"/>
  <c r="AU43" i="20"/>
  <c r="AU29" i="20"/>
  <c r="AU51" i="20"/>
  <c r="AU33" i="20"/>
  <c r="AU49" i="20"/>
  <c r="AU45" i="20"/>
  <c r="AU39" i="20"/>
  <c r="AU67" i="20"/>
  <c r="AU61" i="20"/>
  <c r="AU47" i="20"/>
  <c r="AU53" i="20"/>
  <c r="AU31" i="20"/>
  <c r="A134" i="17"/>
  <c r="B133" i="17"/>
  <c r="AH71" i="15"/>
  <c r="AC72" i="15"/>
  <c r="AB73" i="15"/>
  <c r="A70" i="20"/>
  <c r="B69" i="20"/>
  <c r="AE72" i="15"/>
  <c r="AF72" i="15" s="1"/>
  <c r="AG72" i="15" s="1"/>
  <c r="AH74" i="18"/>
  <c r="AE75" i="18"/>
  <c r="AF75" i="18" s="1"/>
  <c r="AH75" i="18" s="1"/>
  <c r="AA77" i="18"/>
  <c r="AB76" i="18"/>
  <c r="AD76" i="18"/>
  <c r="B70" i="18"/>
  <c r="C70" i="18" s="1"/>
  <c r="D70" i="18" s="1"/>
  <c r="F70" i="18" s="1"/>
  <c r="E70" i="18" s="1"/>
  <c r="A71" i="18"/>
  <c r="AC75" i="18"/>
  <c r="AN39" i="17"/>
  <c r="AP41" i="17"/>
  <c r="AM58" i="17"/>
  <c r="AM39" i="17"/>
  <c r="AE75" i="17"/>
  <c r="AF75" i="17" s="1"/>
  <c r="AH75" i="17" s="1"/>
  <c r="AA77" i="17"/>
  <c r="AB76" i="17"/>
  <c r="AD76" i="17"/>
  <c r="AG74" i="17"/>
  <c r="AH74" i="17"/>
  <c r="B70" i="17"/>
  <c r="A71" i="17"/>
  <c r="AC75" i="17"/>
  <c r="AA74" i="15"/>
  <c r="AD73" i="15"/>
  <c r="A69" i="15"/>
  <c r="B68" i="15"/>
  <c r="A70" i="13"/>
  <c r="B69" i="13"/>
  <c r="W75" i="13"/>
  <c r="X74" i="13"/>
  <c r="Y74" i="13" s="1"/>
  <c r="Z74" i="13" s="1"/>
  <c r="AA74" i="13" s="1"/>
  <c r="E40" i="13" l="1"/>
  <c r="G40" i="13" s="1"/>
  <c r="F40" i="13" s="1"/>
  <c r="AF24" i="24"/>
  <c r="F16" i="24" s="1"/>
  <c r="AA80" i="24"/>
  <c r="AD79" i="24"/>
  <c r="AH76" i="22"/>
  <c r="AG76" i="22"/>
  <c r="AA78" i="22"/>
  <c r="AB77" i="22"/>
  <c r="AC77" i="22" s="1"/>
  <c r="AD77" i="22"/>
  <c r="AE77" i="22" s="1"/>
  <c r="AF77" i="22" s="1"/>
  <c r="B134" i="17"/>
  <c r="A135" i="17"/>
  <c r="E24" i="20"/>
  <c r="AB74" i="15"/>
  <c r="AC73" i="15"/>
  <c r="A71" i="20"/>
  <c r="A72" i="20" s="1"/>
  <c r="B70" i="20"/>
  <c r="AH72" i="15"/>
  <c r="AG75" i="18"/>
  <c r="AC76" i="18"/>
  <c r="A72" i="18"/>
  <c r="B71" i="18"/>
  <c r="C71" i="18" s="1"/>
  <c r="D71" i="18" s="1"/>
  <c r="F71" i="18" s="1"/>
  <c r="E71" i="18" s="1"/>
  <c r="AA78" i="18"/>
  <c r="AD77" i="18"/>
  <c r="AB77" i="18"/>
  <c r="AE76" i="18"/>
  <c r="AF76" i="18" s="1"/>
  <c r="AL39" i="17"/>
  <c r="C39" i="17" s="1"/>
  <c r="D39" i="17" s="1"/>
  <c r="F39" i="17" s="1"/>
  <c r="E39" i="17" s="1"/>
  <c r="AG75" i="17"/>
  <c r="AC76" i="17"/>
  <c r="B71" i="17"/>
  <c r="A72" i="17"/>
  <c r="AB77" i="17"/>
  <c r="AD77" i="17"/>
  <c r="AA78" i="17"/>
  <c r="AE76" i="17"/>
  <c r="AF76" i="17" s="1"/>
  <c r="AE73" i="15"/>
  <c r="AF73" i="15" s="1"/>
  <c r="AH73" i="15" s="1"/>
  <c r="AA75" i="15"/>
  <c r="AD74" i="15"/>
  <c r="A70" i="15"/>
  <c r="B69" i="15"/>
  <c r="X75" i="13"/>
  <c r="Y75" i="13" s="1"/>
  <c r="Z75" i="13" s="1"/>
  <c r="AA75" i="13" s="1"/>
  <c r="W76" i="13"/>
  <c r="A71" i="13"/>
  <c r="B70" i="13"/>
  <c r="B72" i="20" l="1"/>
  <c r="A73" i="20"/>
  <c r="D41" i="13"/>
  <c r="E41" i="13" s="1"/>
  <c r="AA81" i="24"/>
  <c r="AD80" i="24"/>
  <c r="G24" i="20"/>
  <c r="DO25" i="20"/>
  <c r="AD78" i="22"/>
  <c r="AA79" i="22"/>
  <c r="AH77" i="22"/>
  <c r="AE26" i="22" s="1"/>
  <c r="AG77" i="22"/>
  <c r="AE25" i="22" s="1"/>
  <c r="B135" i="17"/>
  <c r="A136" i="17"/>
  <c r="AB75" i="15"/>
  <c r="AE74" i="15"/>
  <c r="AF74" i="15" s="1"/>
  <c r="AG74" i="15" s="1"/>
  <c r="B71" i="20"/>
  <c r="G39" i="17"/>
  <c r="AN40" i="17"/>
  <c r="AO41" i="17"/>
  <c r="AC77" i="18"/>
  <c r="A73" i="18"/>
  <c r="B72" i="18"/>
  <c r="C72" i="18" s="1"/>
  <c r="D72" i="18" s="1"/>
  <c r="F72" i="18" s="1"/>
  <c r="E72" i="18" s="1"/>
  <c r="AD78" i="18"/>
  <c r="AA79" i="18"/>
  <c r="AG76" i="18"/>
  <c r="AH76" i="18"/>
  <c r="AE77" i="18"/>
  <c r="AF77" i="18" s="1"/>
  <c r="AM60" i="17"/>
  <c r="AM40" i="17"/>
  <c r="AC74" i="15"/>
  <c r="AE77" i="17"/>
  <c r="AF77" i="17" s="1"/>
  <c r="AG77" i="17" s="1"/>
  <c r="AD78" i="17"/>
  <c r="AA79" i="17"/>
  <c r="A73" i="17"/>
  <c r="B72" i="17"/>
  <c r="AC77" i="17"/>
  <c r="AH76" i="17"/>
  <c r="AG76" i="17"/>
  <c r="AG73" i="15"/>
  <c r="AD75" i="15"/>
  <c r="AA76" i="15"/>
  <c r="B70" i="15"/>
  <c r="A71" i="15"/>
  <c r="X76" i="13"/>
  <c r="Y76" i="13" s="1"/>
  <c r="Z76" i="13" s="1"/>
  <c r="AA76" i="13" s="1"/>
  <c r="W77" i="13"/>
  <c r="A72" i="13"/>
  <c r="B71" i="13"/>
  <c r="B73" i="20" l="1"/>
  <c r="A74" i="20"/>
  <c r="C41" i="13"/>
  <c r="G41" i="13" s="1"/>
  <c r="F41" i="13" s="1"/>
  <c r="AA82" i="24"/>
  <c r="AD81" i="24"/>
  <c r="AF24" i="22"/>
  <c r="F16" i="22" s="1"/>
  <c r="E23" i="22" s="1"/>
  <c r="C24" i="22" s="1"/>
  <c r="D24" i="22" s="1"/>
  <c r="AA80" i="22"/>
  <c r="AD79" i="22"/>
  <c r="A137" i="17"/>
  <c r="B136" i="17"/>
  <c r="AB76" i="15"/>
  <c r="AH74" i="15"/>
  <c r="AC75" i="15"/>
  <c r="AD79" i="18"/>
  <c r="AA80" i="18"/>
  <c r="AH77" i="18"/>
  <c r="AE26" i="18" s="1"/>
  <c r="AG77" i="18"/>
  <c r="AE25" i="18" s="1"/>
  <c r="AF24" i="18" s="1"/>
  <c r="F16" i="18" s="1"/>
  <c r="E23" i="18" s="1"/>
  <c r="C24" i="18" s="1"/>
  <c r="D24" i="18" s="1"/>
  <c r="F24" i="18" s="1"/>
  <c r="E24" i="18" s="1"/>
  <c r="C25" i="18" s="1"/>
  <c r="D25" i="18" s="1"/>
  <c r="F25" i="18" s="1"/>
  <c r="E25" i="18" s="1"/>
  <c r="C26" i="18" s="1"/>
  <c r="D26" i="18" s="1"/>
  <c r="F26" i="18" s="1"/>
  <c r="E26" i="18" s="1"/>
  <c r="C27" i="18" s="1"/>
  <c r="D27" i="18" s="1"/>
  <c r="F27" i="18" s="1"/>
  <c r="E27" i="18" s="1"/>
  <c r="C28" i="18" s="1"/>
  <c r="D28" i="18" s="1"/>
  <c r="F28" i="18" s="1"/>
  <c r="E28" i="18" s="1"/>
  <c r="C29" i="18" s="1"/>
  <c r="D29" i="18" s="1"/>
  <c r="F29" i="18" s="1"/>
  <c r="E29" i="18" s="1"/>
  <c r="C30" i="18" s="1"/>
  <c r="D30" i="18" s="1"/>
  <c r="F30" i="18" s="1"/>
  <c r="E30" i="18" s="1"/>
  <c r="C31" i="18" s="1"/>
  <c r="D31" i="18" s="1"/>
  <c r="F31" i="18" s="1"/>
  <c r="E31" i="18" s="1"/>
  <c r="C32" i="18" s="1"/>
  <c r="D32" i="18" s="1"/>
  <c r="F32" i="18" s="1"/>
  <c r="E32" i="18" s="1"/>
  <c r="C33" i="18" s="1"/>
  <c r="D33" i="18" s="1"/>
  <c r="F33" i="18" s="1"/>
  <c r="E33" i="18" s="1"/>
  <c r="C34" i="18" s="1"/>
  <c r="D34" i="18" s="1"/>
  <c r="F34" i="18" s="1"/>
  <c r="E34" i="18" s="1"/>
  <c r="C35" i="18" s="1"/>
  <c r="D35" i="18" s="1"/>
  <c r="F35" i="18" s="1"/>
  <c r="E35" i="18" s="1"/>
  <c r="C36" i="18" s="1"/>
  <c r="D36" i="18" s="1"/>
  <c r="F36" i="18" s="1"/>
  <c r="E36" i="18" s="1"/>
  <c r="C37" i="18" s="1"/>
  <c r="D37" i="18" s="1"/>
  <c r="F37" i="18" s="1"/>
  <c r="E37" i="18" s="1"/>
  <c r="C38" i="18" s="1"/>
  <c r="D38" i="18" s="1"/>
  <c r="F38" i="18" s="1"/>
  <c r="E38" i="18" s="1"/>
  <c r="C39" i="18" s="1"/>
  <c r="D39" i="18" s="1"/>
  <c r="F39" i="18" s="1"/>
  <c r="E39" i="18" s="1"/>
  <c r="C40" i="18" s="1"/>
  <c r="D40" i="18" s="1"/>
  <c r="F40" i="18" s="1"/>
  <c r="E40" i="18" s="1"/>
  <c r="C41" i="18" s="1"/>
  <c r="D41" i="18" s="1"/>
  <c r="F41" i="18" s="1"/>
  <c r="E41" i="18" s="1"/>
  <c r="C42" i="18" s="1"/>
  <c r="D42" i="18" s="1"/>
  <c r="F42" i="18" s="1"/>
  <c r="E42" i="18" s="1"/>
  <c r="C43" i="18" s="1"/>
  <c r="D43" i="18" s="1"/>
  <c r="F43" i="18" s="1"/>
  <c r="E43" i="18" s="1"/>
  <c r="C44" i="18" s="1"/>
  <c r="D44" i="18" s="1"/>
  <c r="F44" i="18" s="1"/>
  <c r="E44" i="18" s="1"/>
  <c r="C45" i="18" s="1"/>
  <c r="D45" i="18" s="1"/>
  <c r="F45" i="18" s="1"/>
  <c r="E45" i="18" s="1"/>
  <c r="C46" i="18" s="1"/>
  <c r="D46" i="18" s="1"/>
  <c r="F46" i="18" s="1"/>
  <c r="E46" i="18" s="1"/>
  <c r="C47" i="18" s="1"/>
  <c r="D47" i="18" s="1"/>
  <c r="F47" i="18" s="1"/>
  <c r="E47" i="18" s="1"/>
  <c r="C48" i="18" s="1"/>
  <c r="D48" i="18" s="1"/>
  <c r="F48" i="18" s="1"/>
  <c r="E48" i="18" s="1"/>
  <c r="C49" i="18" s="1"/>
  <c r="D49" i="18" s="1"/>
  <c r="F49" i="18" s="1"/>
  <c r="E49" i="18" s="1"/>
  <c r="C50" i="18" s="1"/>
  <c r="D50" i="18" s="1"/>
  <c r="F50" i="18" s="1"/>
  <c r="E50" i="18" s="1"/>
  <c r="C51" i="18" s="1"/>
  <c r="D51" i="18" s="1"/>
  <c r="F51" i="18" s="1"/>
  <c r="E51" i="18" s="1"/>
  <c r="C52" i="18" s="1"/>
  <c r="D52" i="18" s="1"/>
  <c r="F52" i="18" s="1"/>
  <c r="E52" i="18" s="1"/>
  <c r="C53" i="18" s="1"/>
  <c r="D53" i="18" s="1"/>
  <c r="F53" i="18" s="1"/>
  <c r="E53" i="18" s="1"/>
  <c r="C54" i="18" s="1"/>
  <c r="D54" i="18" s="1"/>
  <c r="F54" i="18" s="1"/>
  <c r="E54" i="18" s="1"/>
  <c r="C55" i="18" s="1"/>
  <c r="D55" i="18" s="1"/>
  <c r="F55" i="18" s="1"/>
  <c r="E55" i="18" s="1"/>
  <c r="C56" i="18" s="1"/>
  <c r="D56" i="18" s="1"/>
  <c r="F56" i="18" s="1"/>
  <c r="E56" i="18" s="1"/>
  <c r="C57" i="18" s="1"/>
  <c r="D57" i="18" s="1"/>
  <c r="F57" i="18" s="1"/>
  <c r="E57" i="18" s="1"/>
  <c r="C58" i="18" s="1"/>
  <c r="D58" i="18" s="1"/>
  <c r="F58" i="18" s="1"/>
  <c r="E58" i="18" s="1"/>
  <c r="C59" i="18" s="1"/>
  <c r="D59" i="18" s="1"/>
  <c r="F59" i="18" s="1"/>
  <c r="E59" i="18" s="1"/>
  <c r="A74" i="18"/>
  <c r="B73" i="18"/>
  <c r="C73" i="18" s="1"/>
  <c r="D73" i="18" s="1"/>
  <c r="F73" i="18" s="1"/>
  <c r="E73" i="18" s="1"/>
  <c r="AL40" i="17"/>
  <c r="C40" i="17" s="1"/>
  <c r="D40" i="17" s="1"/>
  <c r="F40" i="17" s="1"/>
  <c r="E40" i="17" s="1"/>
  <c r="G40" i="17" s="1"/>
  <c r="AM61" i="17"/>
  <c r="AE75" i="15"/>
  <c r="AF75" i="15" s="1"/>
  <c r="AG75" i="15" s="1"/>
  <c r="AH77" i="17"/>
  <c r="AE26" i="17" s="1"/>
  <c r="A74" i="17"/>
  <c r="B73" i="17"/>
  <c r="AA80" i="17"/>
  <c r="AD79" i="17"/>
  <c r="AE25" i="17"/>
  <c r="AD76" i="15"/>
  <c r="AA77" i="15"/>
  <c r="A72" i="15"/>
  <c r="B71" i="15"/>
  <c r="A73" i="13"/>
  <c r="B72" i="13"/>
  <c r="X77" i="13"/>
  <c r="Y77" i="13" s="1"/>
  <c r="Z77" i="13" s="1"/>
  <c r="AA77" i="13" s="1"/>
  <c r="W78" i="13"/>
  <c r="B74" i="20" l="1"/>
  <c r="A75" i="20"/>
  <c r="D42" i="13"/>
  <c r="E42" i="13" s="1"/>
  <c r="AA83" i="24"/>
  <c r="AD82" i="24"/>
  <c r="F24" i="22"/>
  <c r="AA81" i="22"/>
  <c r="AD80" i="22"/>
  <c r="B137" i="17"/>
  <c r="A138" i="17"/>
  <c r="AE76" i="15"/>
  <c r="AF76" i="15" s="1"/>
  <c r="AH76" i="15" s="1"/>
  <c r="AC76" i="15"/>
  <c r="AH75" i="15"/>
  <c r="AD80" i="18"/>
  <c r="AA81" i="18"/>
  <c r="A75" i="18"/>
  <c r="B74" i="18"/>
  <c r="C74" i="18" s="1"/>
  <c r="D74" i="18" s="1"/>
  <c r="F74" i="18" s="1"/>
  <c r="E74" i="18" s="1"/>
  <c r="AN41" i="17"/>
  <c r="AM41" i="17" s="1"/>
  <c r="AM62" i="17"/>
  <c r="B74" i="17"/>
  <c r="A75" i="17"/>
  <c r="AD80" i="17"/>
  <c r="AA81" i="17"/>
  <c r="AD77" i="15"/>
  <c r="AA78" i="15"/>
  <c r="AB77" i="15"/>
  <c r="A73" i="15"/>
  <c r="B72" i="15"/>
  <c r="X78" i="13"/>
  <c r="Y78" i="13" s="1"/>
  <c r="Z78" i="13" s="1"/>
  <c r="AA78" i="13" s="1"/>
  <c r="W79" i="13"/>
  <c r="A74" i="13"/>
  <c r="B73" i="13"/>
  <c r="A76" i="20" l="1"/>
  <c r="B75" i="20"/>
  <c r="C42" i="13"/>
  <c r="G42" i="13" s="1"/>
  <c r="F42" i="13" s="1"/>
  <c r="D43" i="13" s="1"/>
  <c r="C43" i="13" s="1"/>
  <c r="AA84" i="24"/>
  <c r="AD83" i="24"/>
  <c r="AM24" i="22"/>
  <c r="AA82" i="22"/>
  <c r="AD81" i="22"/>
  <c r="E24" i="22"/>
  <c r="C25" i="22" s="1"/>
  <c r="B138" i="17"/>
  <c r="A139" i="17"/>
  <c r="AG76" i="15"/>
  <c r="A76" i="18"/>
  <c r="B75" i="18"/>
  <c r="C75" i="18" s="1"/>
  <c r="D75" i="18" s="1"/>
  <c r="F75" i="18" s="1"/>
  <c r="E75" i="18" s="1"/>
  <c r="AD81" i="18"/>
  <c r="AA82" i="18"/>
  <c r="AL41" i="17"/>
  <c r="C41" i="17" s="1"/>
  <c r="D41" i="17" s="1"/>
  <c r="F41" i="17" s="1"/>
  <c r="E41" i="17" s="1"/>
  <c r="G41" i="17" s="1"/>
  <c r="AM63" i="17"/>
  <c r="AC77" i="15"/>
  <c r="AD81" i="17"/>
  <c r="AA82" i="17"/>
  <c r="A76" i="17"/>
  <c r="B75" i="17"/>
  <c r="AE77" i="15"/>
  <c r="AF77" i="15" s="1"/>
  <c r="AH77" i="15" s="1"/>
  <c r="AE26" i="15" s="1"/>
  <c r="AF24" i="15" s="1"/>
  <c r="E23" i="15" s="1"/>
  <c r="AD78" i="15"/>
  <c r="AA79" i="15"/>
  <c r="B73" i="15"/>
  <c r="A74" i="15"/>
  <c r="A75" i="13"/>
  <c r="B74" i="13"/>
  <c r="X79" i="13"/>
  <c r="Y79" i="13" s="1"/>
  <c r="Z79" i="13" s="1"/>
  <c r="AA79" i="13" s="1"/>
  <c r="W80" i="13"/>
  <c r="A77" i="20" l="1"/>
  <c r="B76" i="20"/>
  <c r="E43" i="13"/>
  <c r="AA85" i="24"/>
  <c r="AD84" i="24"/>
  <c r="D25" i="22"/>
  <c r="AA83" i="22"/>
  <c r="AD82" i="22"/>
  <c r="A140" i="17"/>
  <c r="B139" i="17"/>
  <c r="AW285" i="15"/>
  <c r="AW283" i="15"/>
  <c r="AY281" i="15"/>
  <c r="AV280" i="15"/>
  <c r="AU280" i="15" s="1"/>
  <c r="AV277" i="15"/>
  <c r="AU277" i="15" s="1"/>
  <c r="AZ275" i="15"/>
  <c r="AV275" i="15"/>
  <c r="AV286" i="15"/>
  <c r="AU286" i="15" s="1"/>
  <c r="AV285" i="15"/>
  <c r="AU285" i="15" s="1"/>
  <c r="AV283" i="15"/>
  <c r="AU283" i="15" s="1"/>
  <c r="AX281" i="15"/>
  <c r="AX278" i="15"/>
  <c r="AY275" i="15"/>
  <c r="AV274" i="15"/>
  <c r="AU274" i="15" s="1"/>
  <c r="AV271" i="15"/>
  <c r="AU271" i="15" s="1"/>
  <c r="AY269" i="15"/>
  <c r="AV268" i="15"/>
  <c r="AU268" i="15" s="1"/>
  <c r="AX266" i="15"/>
  <c r="AV264" i="15"/>
  <c r="AU264" i="15" s="1"/>
  <c r="AX263" i="15"/>
  <c r="AV259" i="15"/>
  <c r="AU259" i="15" s="1"/>
  <c r="AV257" i="15"/>
  <c r="AV255" i="15"/>
  <c r="AU255" i="15" s="1"/>
  <c r="AV253" i="15"/>
  <c r="AU253" i="15" s="1"/>
  <c r="AY251" i="15"/>
  <c r="AV250" i="15"/>
  <c r="AU250" i="15" s="1"/>
  <c r="AX248" i="15"/>
  <c r="AV246" i="15"/>
  <c r="AU246" i="15" s="1"/>
  <c r="AW245" i="15"/>
  <c r="AX242" i="15"/>
  <c r="AZ239" i="15"/>
  <c r="AV239" i="15"/>
  <c r="AV237" i="15"/>
  <c r="AU237" i="15" s="1"/>
  <c r="AV235" i="15"/>
  <c r="AU235" i="15" s="1"/>
  <c r="AX233" i="15"/>
  <c r="AX230" i="15"/>
  <c r="AY227" i="15"/>
  <c r="AV226" i="15"/>
  <c r="AU226" i="15" s="1"/>
  <c r="AV225" i="15"/>
  <c r="AU225" i="15" s="1"/>
  <c r="AW223" i="15"/>
  <c r="AW221" i="15"/>
  <c r="AV218" i="15"/>
  <c r="AW215" i="15"/>
  <c r="AW213" i="15"/>
  <c r="AV212" i="15"/>
  <c r="AV210" i="15"/>
  <c r="AU210" i="15" s="1"/>
  <c r="AW209" i="15"/>
  <c r="AW207" i="15"/>
  <c r="AW205" i="15"/>
  <c r="AZ203" i="15"/>
  <c r="AV203" i="15"/>
  <c r="AV201" i="15"/>
  <c r="AU201" i="15" s="1"/>
  <c r="AV199" i="15"/>
  <c r="AU199" i="15" s="1"/>
  <c r="AX197" i="15"/>
  <c r="AX194" i="15"/>
  <c r="AY191" i="15"/>
  <c r="AV190" i="15"/>
  <c r="AU190" i="15" s="1"/>
  <c r="AX188" i="15"/>
  <c r="AX185" i="15"/>
  <c r="AX182" i="15"/>
  <c r="AV180" i="15"/>
  <c r="AU180" i="15" s="1"/>
  <c r="AX179" i="15"/>
  <c r="AX176" i="15"/>
  <c r="AV174" i="15"/>
  <c r="AU174" i="15" s="1"/>
  <c r="AW173" i="15"/>
  <c r="AW171" i="15"/>
  <c r="AW169" i="15"/>
  <c r="AX167" i="15"/>
  <c r="AX164" i="15"/>
  <c r="AX161" i="15"/>
  <c r="AX158" i="15"/>
  <c r="AV156" i="15"/>
  <c r="AU156" i="15" s="1"/>
  <c r="AX155" i="15"/>
  <c r="AX152" i="15"/>
  <c r="AV150" i="15"/>
  <c r="AU150" i="15" s="1"/>
  <c r="AW149" i="15"/>
  <c r="AW147" i="15"/>
  <c r="AW145" i="15"/>
  <c r="AW143" i="15"/>
  <c r="AW141" i="15"/>
  <c r="AW139" i="15"/>
  <c r="AW137" i="15"/>
  <c r="AW135" i="15"/>
  <c r="AV134" i="15"/>
  <c r="AW131" i="15"/>
  <c r="AW129" i="15"/>
  <c r="AV128" i="15"/>
  <c r="AV125" i="15"/>
  <c r="AV123" i="15"/>
  <c r="AU123" i="15" s="1"/>
  <c r="AV121" i="15"/>
  <c r="AU121" i="15" s="1"/>
  <c r="AZ119" i="15"/>
  <c r="AV119" i="15"/>
  <c r="AV284" i="15"/>
  <c r="AV281" i="15"/>
  <c r="AV276" i="15"/>
  <c r="AU276" i="15" s="1"/>
  <c r="AX272" i="15"/>
  <c r="AV270" i="15"/>
  <c r="AU270" i="15" s="1"/>
  <c r="AV269" i="15"/>
  <c r="AV266" i="15"/>
  <c r="AZ263" i="15"/>
  <c r="AV262" i="15"/>
  <c r="AU262" i="15" s="1"/>
  <c r="AV261" i="15"/>
  <c r="AU261" i="15" s="1"/>
  <c r="AW259" i="15"/>
  <c r="AV256" i="15"/>
  <c r="AU256" i="15" s="1"/>
  <c r="AV254" i="15"/>
  <c r="AZ251" i="15"/>
  <c r="AW247" i="15"/>
  <c r="AX245" i="15"/>
  <c r="AV242" i="15"/>
  <c r="AV240" i="15"/>
  <c r="AU240" i="15" s="1"/>
  <c r="AX239" i="15"/>
  <c r="AW237" i="15"/>
  <c r="AV234" i="15"/>
  <c r="AU234" i="15" s="1"/>
  <c r="AV233" i="15"/>
  <c r="AV231" i="15"/>
  <c r="AU231" i="15" s="1"/>
  <c r="AV229" i="15"/>
  <c r="AU229" i="15" s="1"/>
  <c r="AZ227" i="15"/>
  <c r="AX224" i="15"/>
  <c r="AV222" i="15"/>
  <c r="AU222" i="15" s="1"/>
  <c r="AX221" i="15"/>
  <c r="AW217" i="15"/>
  <c r="AZ215" i="15"/>
  <c r="AV214" i="15"/>
  <c r="AU214" i="15" s="1"/>
  <c r="AX212" i="15"/>
  <c r="AV208" i="15"/>
  <c r="AU208" i="15" s="1"/>
  <c r="AV206" i="15"/>
  <c r="AY203" i="15"/>
  <c r="AW199" i="15"/>
  <c r="AW197" i="15"/>
  <c r="AW195" i="15"/>
  <c r="AW193" i="15"/>
  <c r="AV191" i="15"/>
  <c r="AV188" i="15"/>
  <c r="AV186" i="15"/>
  <c r="AU186" i="15" s="1"/>
  <c r="AV185" i="15"/>
  <c r="AV183" i="15"/>
  <c r="AU183" i="15" s="1"/>
  <c r="AV181" i="15"/>
  <c r="AU181" i="15" s="1"/>
  <c r="AW179" i="15"/>
  <c r="AW177" i="15"/>
  <c r="AW175" i="15"/>
  <c r="AX173" i="15"/>
  <c r="AV171" i="15"/>
  <c r="AU171" i="15" s="1"/>
  <c r="AZ167" i="15"/>
  <c r="AV166" i="15"/>
  <c r="AU166" i="15" s="1"/>
  <c r="AW161" i="15"/>
  <c r="AW157" i="15"/>
  <c r="AY155" i="15"/>
  <c r="AV152" i="15"/>
  <c r="AY149" i="15"/>
  <c r="AV145" i="15"/>
  <c r="AU145" i="15" s="1"/>
  <c r="AZ143" i="15"/>
  <c r="AV142" i="15"/>
  <c r="AU142" i="15" s="1"/>
  <c r="AV140" i="15"/>
  <c r="AV137" i="15"/>
  <c r="AV132" i="15"/>
  <c r="AU132" i="15" s="1"/>
  <c r="AX131" i="15"/>
  <c r="AV129" i="15"/>
  <c r="AU129" i="15" s="1"/>
  <c r="AV127" i="15"/>
  <c r="AU127" i="15" s="1"/>
  <c r="AX125" i="15"/>
  <c r="AW123" i="15"/>
  <c r="AX119" i="15"/>
  <c r="AU119" i="15" s="1"/>
  <c r="AW117" i="15"/>
  <c r="AW115" i="15"/>
  <c r="AV113" i="15"/>
  <c r="AV111" i="15"/>
  <c r="AU111" i="15" s="1"/>
  <c r="AW109" i="15"/>
  <c r="AZ107" i="15"/>
  <c r="AV107" i="15"/>
  <c r="AW105" i="15"/>
  <c r="AV104" i="15"/>
  <c r="AV101" i="15"/>
  <c r="AV99" i="15"/>
  <c r="AU99" i="15" s="1"/>
  <c r="AV97" i="15"/>
  <c r="AU97" i="15" s="1"/>
  <c r="AZ95" i="15"/>
  <c r="AV95" i="15"/>
  <c r="AV93" i="15"/>
  <c r="AU93" i="15" s="1"/>
  <c r="AV91" i="15"/>
  <c r="AU91" i="15" s="1"/>
  <c r="AV282" i="15"/>
  <c r="AU282" i="15" s="1"/>
  <c r="AW279" i="15"/>
  <c r="AW277" i="15"/>
  <c r="AW275" i="15"/>
  <c r="AW267" i="15"/>
  <c r="AX260" i="15"/>
  <c r="AW257" i="15"/>
  <c r="AW253" i="15"/>
  <c r="AW251" i="15"/>
  <c r="AV249" i="15"/>
  <c r="AU249" i="15" s="1"/>
  <c r="AY245" i="15"/>
  <c r="AW241" i="15"/>
  <c r="AW229" i="15"/>
  <c r="AX227" i="15"/>
  <c r="AV223" i="15"/>
  <c r="AU223" i="15" s="1"/>
  <c r="AY221" i="15"/>
  <c r="AV217" i="15"/>
  <c r="AU217" i="15" s="1"/>
  <c r="AX215" i="15"/>
  <c r="AV204" i="15"/>
  <c r="AU204" i="15" s="1"/>
  <c r="AV202" i="15"/>
  <c r="AU202" i="15" s="1"/>
  <c r="AV200" i="15"/>
  <c r="AV197" i="15"/>
  <c r="AV192" i="15"/>
  <c r="AU192" i="15" s="1"/>
  <c r="AW191" i="15"/>
  <c r="AW187" i="15"/>
  <c r="AY185" i="15"/>
  <c r="AW183" i="15"/>
  <c r="AV178" i="15"/>
  <c r="AU178" i="15" s="1"/>
  <c r="AV176" i="15"/>
  <c r="AV173" i="15"/>
  <c r="AV170" i="15"/>
  <c r="AV167" i="15"/>
  <c r="AV161" i="15"/>
  <c r="AW159" i="15"/>
  <c r="AV154" i="15"/>
  <c r="AU154" i="15" s="1"/>
  <c r="AV153" i="15"/>
  <c r="AU153" i="15" s="1"/>
  <c r="AX149" i="15"/>
  <c r="AV147" i="15"/>
  <c r="AU147" i="15" s="1"/>
  <c r="AV144" i="15"/>
  <c r="AU144" i="15" s="1"/>
  <c r="AV143" i="15"/>
  <c r="AV139" i="15"/>
  <c r="AU139" i="15" s="1"/>
  <c r="AW133" i="15"/>
  <c r="AY131" i="15"/>
  <c r="AW119" i="15"/>
  <c r="AX116" i="15"/>
  <c r="AV114" i="15"/>
  <c r="AU114" i="15" s="1"/>
  <c r="AW113" i="15"/>
  <c r="AV108" i="15"/>
  <c r="AU108" i="15" s="1"/>
  <c r="AW107" i="15"/>
  <c r="AV105" i="15"/>
  <c r="AU105" i="15" s="1"/>
  <c r="AV103" i="15"/>
  <c r="AU103" i="15" s="1"/>
  <c r="AX101" i="15"/>
  <c r="AW99" i="15"/>
  <c r="AX95" i="15"/>
  <c r="AU95" i="15" s="1"/>
  <c r="AW93" i="15"/>
  <c r="AX89" i="15"/>
  <c r="AX86" i="15"/>
  <c r="AV84" i="15"/>
  <c r="AU84" i="15" s="1"/>
  <c r="AX83" i="15"/>
  <c r="AV80" i="15"/>
  <c r="AV77" i="15"/>
  <c r="AV75" i="15"/>
  <c r="AU75" i="15" s="1"/>
  <c r="AV73" i="15"/>
  <c r="AU73" i="15" s="1"/>
  <c r="AY71" i="15"/>
  <c r="AV70" i="15"/>
  <c r="AU70" i="15" s="1"/>
  <c r="AX68" i="15"/>
  <c r="AV66" i="15"/>
  <c r="AU66" i="15" s="1"/>
  <c r="AW65" i="15"/>
  <c r="AW63" i="15"/>
  <c r="AW61" i="15"/>
  <c r="AZ59" i="15"/>
  <c r="AV59" i="15"/>
  <c r="AV57" i="15"/>
  <c r="AU57" i="15" s="1"/>
  <c r="AV55" i="15"/>
  <c r="AU55" i="15" s="1"/>
  <c r="AX53" i="15"/>
  <c r="AV50" i="15"/>
  <c r="AW47" i="15"/>
  <c r="AW45" i="15"/>
  <c r="AW43" i="15"/>
  <c r="AY41" i="15"/>
  <c r="AV40" i="15"/>
  <c r="AU40" i="15" s="1"/>
  <c r="AX38" i="15"/>
  <c r="AV36" i="15"/>
  <c r="AU36" i="15" s="1"/>
  <c r="AX35" i="15"/>
  <c r="AV32" i="15"/>
  <c r="AV29" i="15"/>
  <c r="AV27" i="15"/>
  <c r="AU27" i="15" s="1"/>
  <c r="AV25" i="15"/>
  <c r="AU25" i="15" s="1"/>
  <c r="AV279" i="15"/>
  <c r="AU279" i="15" s="1"/>
  <c r="AV272" i="15"/>
  <c r="AX269" i="15"/>
  <c r="AV267" i="15"/>
  <c r="AU267" i="15" s="1"/>
  <c r="AY263" i="15"/>
  <c r="AV260" i="15"/>
  <c r="AV252" i="15"/>
  <c r="AU252" i="15" s="1"/>
  <c r="AV251" i="15"/>
  <c r="AV248" i="15"/>
  <c r="AV245" i="15"/>
  <c r="AW243" i="15"/>
  <c r="AV241" i="15"/>
  <c r="AU241" i="15" s="1"/>
  <c r="AY239" i="15"/>
  <c r="AX236" i="15"/>
  <c r="AY233" i="15"/>
  <c r="AW231" i="15"/>
  <c r="AW227" i="15"/>
  <c r="AW225" i="15"/>
  <c r="AV221" i="15"/>
  <c r="AW219" i="15"/>
  <c r="AV216" i="15"/>
  <c r="AU216" i="15" s="1"/>
  <c r="AV215" i="15"/>
  <c r="AW211" i="15"/>
  <c r="AY209" i="15"/>
  <c r="AV207" i="15"/>
  <c r="AU207" i="15" s="1"/>
  <c r="AV198" i="15"/>
  <c r="AU198" i="15" s="1"/>
  <c r="AV196" i="15"/>
  <c r="AU196" i="15" s="1"/>
  <c r="AV194" i="15"/>
  <c r="AV187" i="15"/>
  <c r="AU187" i="15" s="1"/>
  <c r="AW185" i="15"/>
  <c r="AZ179" i="15"/>
  <c r="AV175" i="15"/>
  <c r="AU175" i="15" s="1"/>
  <c r="AV172" i="15"/>
  <c r="AU172" i="15" s="1"/>
  <c r="AV169" i="15"/>
  <c r="AU169" i="15" s="1"/>
  <c r="AV164" i="15"/>
  <c r="AV162" i="15"/>
  <c r="AU162" i="15" s="1"/>
  <c r="AV160" i="15"/>
  <c r="AU160" i="15" s="1"/>
  <c r="AV159" i="15"/>
  <c r="AU159" i="15" s="1"/>
  <c r="AZ155" i="15"/>
  <c r="AW151" i="15"/>
  <c r="AV149" i="15"/>
  <c r="AX146" i="15"/>
  <c r="AY137" i="15"/>
  <c r="AV135" i="15"/>
  <c r="AU135" i="15" s="1"/>
  <c r="AV133" i="15"/>
  <c r="AU133" i="15" s="1"/>
  <c r="AV131" i="15"/>
  <c r="AX128" i="15"/>
  <c r="AY125" i="15"/>
  <c r="AX122" i="15"/>
  <c r="AV120" i="15"/>
  <c r="AU120" i="15" s="1"/>
  <c r="AV118" i="15"/>
  <c r="AU118" i="15" s="1"/>
  <c r="AV116" i="15"/>
  <c r="AV112" i="15"/>
  <c r="AU112" i="15" s="1"/>
  <c r="AX110" i="15"/>
  <c r="AV106" i="15"/>
  <c r="AU106" i="15" s="1"/>
  <c r="AV102" i="15"/>
  <c r="AU102" i="15" s="1"/>
  <c r="AW101" i="15"/>
  <c r="AX98" i="15"/>
  <c r="AV96" i="15"/>
  <c r="AU96" i="15" s="1"/>
  <c r="AW95" i="15"/>
  <c r="AX92" i="15"/>
  <c r="AV90" i="15"/>
  <c r="AU90" i="15" s="1"/>
  <c r="AW89" i="15"/>
  <c r="AV86" i="15"/>
  <c r="AW83" i="15"/>
  <c r="AW81" i="15"/>
  <c r="AW79" i="15"/>
  <c r="AY77" i="15"/>
  <c r="AV76" i="15"/>
  <c r="AU76" i="15" s="1"/>
  <c r="AX74" i="15"/>
  <c r="AV72" i="15"/>
  <c r="AU72" i="15" s="1"/>
  <c r="AX71" i="15"/>
  <c r="AV68" i="15"/>
  <c r="AV65" i="15"/>
  <c r="AV63" i="15"/>
  <c r="AU63" i="15" s="1"/>
  <c r="AV61" i="15"/>
  <c r="AU61" i="15" s="1"/>
  <c r="AY59" i="15"/>
  <c r="AV58" i="15"/>
  <c r="AU58" i="15" s="1"/>
  <c r="AX56" i="15"/>
  <c r="AV54" i="15"/>
  <c r="AU54" i="15" s="1"/>
  <c r="AW53" i="15"/>
  <c r="AW51" i="15"/>
  <c r="AV278" i="15"/>
  <c r="AW271" i="15"/>
  <c r="AW263" i="15"/>
  <c r="AW261" i="15"/>
  <c r="AX251" i="15"/>
  <c r="AV243" i="15"/>
  <c r="AU243" i="15" s="1"/>
  <c r="AV236" i="15"/>
  <c r="AV232" i="15"/>
  <c r="AU232" i="15" s="1"/>
  <c r="AX209" i="15"/>
  <c r="AV205" i="15"/>
  <c r="AU205" i="15" s="1"/>
  <c r="AY197" i="15"/>
  <c r="AV193" i="15"/>
  <c r="AU193" i="15" s="1"/>
  <c r="AX191" i="15"/>
  <c r="AU191" i="15" s="1"/>
  <c r="AY179" i="15"/>
  <c r="AX170" i="15"/>
  <c r="AW165" i="15"/>
  <c r="AV163" i="15"/>
  <c r="AU163" i="15" s="1"/>
  <c r="AV148" i="15"/>
  <c r="AU148" i="15" s="1"/>
  <c r="AV141" i="15"/>
  <c r="AU141" i="15" s="1"/>
  <c r="AZ131" i="15"/>
  <c r="AW127" i="15"/>
  <c r="AV124" i="15"/>
  <c r="AU124" i="15" s="1"/>
  <c r="AV117" i="15"/>
  <c r="AU117" i="15" s="1"/>
  <c r="AY113" i="15"/>
  <c r="AY107" i="15"/>
  <c r="AY101" i="15"/>
  <c r="AW97" i="15"/>
  <c r="AV94" i="15"/>
  <c r="AU94" i="15" s="1"/>
  <c r="AV88" i="15"/>
  <c r="AU88" i="15" s="1"/>
  <c r="AV87" i="15"/>
  <c r="AU87" i="15" s="1"/>
  <c r="AZ83" i="15"/>
  <c r="AV78" i="15"/>
  <c r="AU78" i="15" s="1"/>
  <c r="AV67" i="15"/>
  <c r="AU67" i="15" s="1"/>
  <c r="AV64" i="15"/>
  <c r="AU64" i="15" s="1"/>
  <c r="AV60" i="15"/>
  <c r="AU60" i="15" s="1"/>
  <c r="AV49" i="15"/>
  <c r="AU49" i="15" s="1"/>
  <c r="AY47" i="15"/>
  <c r="AV43" i="15"/>
  <c r="AU43" i="15" s="1"/>
  <c r="AW41" i="15"/>
  <c r="AV39" i="15"/>
  <c r="AU39" i="15" s="1"/>
  <c r="AV35" i="15"/>
  <c r="AV33" i="15"/>
  <c r="AU33" i="15" s="1"/>
  <c r="AV30" i="15"/>
  <c r="AU30" i="15" s="1"/>
  <c r="AW29" i="15"/>
  <c r="AX26" i="15"/>
  <c r="AV24" i="15"/>
  <c r="AU24" i="15" s="1"/>
  <c r="AW281" i="15"/>
  <c r="AW273" i="15"/>
  <c r="AW265" i="15"/>
  <c r="AV263" i="15"/>
  <c r="AW255" i="15"/>
  <c r="AV244" i="15"/>
  <c r="AU244" i="15" s="1"/>
  <c r="AW239" i="15"/>
  <c r="AW235" i="15"/>
  <c r="AV228" i="15"/>
  <c r="AU228" i="15" s="1"/>
  <c r="AY215" i="15"/>
  <c r="AV211" i="15"/>
  <c r="AU211" i="15" s="1"/>
  <c r="AV209" i="15"/>
  <c r="AW201" i="15"/>
  <c r="AV182" i="15"/>
  <c r="AV179" i="15"/>
  <c r="AY167" i="15"/>
  <c r="AV165" i="15"/>
  <c r="AU165" i="15" s="1"/>
  <c r="AW155" i="15"/>
  <c r="AW153" i="15"/>
  <c r="AY143" i="15"/>
  <c r="AX140" i="15"/>
  <c r="AV130" i="15"/>
  <c r="AU130" i="15" s="1"/>
  <c r="AV126" i="15"/>
  <c r="AU126" i="15" s="1"/>
  <c r="AV115" i="15"/>
  <c r="AU115" i="15" s="1"/>
  <c r="AX113" i="15"/>
  <c r="AV110" i="15"/>
  <c r="AX107" i="15"/>
  <c r="AU107" i="15" s="1"/>
  <c r="AX104" i="15"/>
  <c r="AV100" i="15"/>
  <c r="AU100" i="15" s="1"/>
  <c r="AW85" i="15"/>
  <c r="AY83" i="15"/>
  <c r="AV81" i="15"/>
  <c r="AU81" i="15" s="1"/>
  <c r="AW75" i="15"/>
  <c r="AZ71" i="15"/>
  <c r="AW69" i="15"/>
  <c r="AW57" i="15"/>
  <c r="AY53" i="15"/>
  <c r="AV51" i="15"/>
  <c r="AU51" i="15" s="1"/>
  <c r="AV48" i="15"/>
  <c r="AU48" i="15" s="1"/>
  <c r="AX47" i="15"/>
  <c r="AV45" i="15"/>
  <c r="AU45" i="15" s="1"/>
  <c r="AV42" i="15"/>
  <c r="AU42" i="15" s="1"/>
  <c r="AV41" i="15"/>
  <c r="AV38" i="15"/>
  <c r="AZ35" i="15"/>
  <c r="AV34" i="15"/>
  <c r="AU34" i="15" s="1"/>
  <c r="AX32" i="15"/>
  <c r="AV28" i="15"/>
  <c r="AU28" i="15" s="1"/>
  <c r="AV26" i="15"/>
  <c r="AV273" i="15"/>
  <c r="AU273" i="15" s="1"/>
  <c r="AV265" i="15"/>
  <c r="AU265" i="15" s="1"/>
  <c r="AY257" i="15"/>
  <c r="AX254" i="15"/>
  <c r="AW249" i="15"/>
  <c r="AV238" i="15"/>
  <c r="AU238" i="15" s="1"/>
  <c r="AV219" i="15"/>
  <c r="AU219" i="15" s="1"/>
  <c r="AX203" i="15"/>
  <c r="AX200" i="15"/>
  <c r="AV195" i="15"/>
  <c r="AU195" i="15" s="1"/>
  <c r="AW189" i="15"/>
  <c r="AV184" i="15"/>
  <c r="AU184" i="15" s="1"/>
  <c r="AW181" i="15"/>
  <c r="AY173" i="15"/>
  <c r="AV168" i="15"/>
  <c r="AU168" i="15" s="1"/>
  <c r="AW167" i="15"/>
  <c r="AV158" i="15"/>
  <c r="AV155" i="15"/>
  <c r="AV151" i="15"/>
  <c r="AU151" i="15" s="1"/>
  <c r="AV146" i="15"/>
  <c r="AX143" i="15"/>
  <c r="AX137" i="15"/>
  <c r="AX134" i="15"/>
  <c r="AU134" i="15" s="1"/>
  <c r="AV122" i="15"/>
  <c r="AY119" i="15"/>
  <c r="AV109" i="15"/>
  <c r="AU109" i="15" s="1"/>
  <c r="AW103" i="15"/>
  <c r="AV92" i="15"/>
  <c r="AY89" i="15"/>
  <c r="AV85" i="15"/>
  <c r="AU85" i="15" s="1"/>
  <c r="AV83" i="15"/>
  <c r="AX80" i="15"/>
  <c r="AX77" i="15"/>
  <c r="AV74" i="15"/>
  <c r="AW71" i="15"/>
  <c r="AV69" i="15"/>
  <c r="AU69" i="15" s="1"/>
  <c r="AY65" i="15"/>
  <c r="AX62" i="15"/>
  <c r="AX59" i="15"/>
  <c r="AU59" i="15" s="1"/>
  <c r="AV56" i="15"/>
  <c r="AV53" i="15"/>
  <c r="AX50" i="15"/>
  <c r="AV47" i="15"/>
  <c r="AX44" i="15"/>
  <c r="AW37" i="15"/>
  <c r="AY35" i="15"/>
  <c r="AW31" i="15"/>
  <c r="AY29" i="15"/>
  <c r="AW25" i="15"/>
  <c r="AX284" i="15"/>
  <c r="AX275" i="15"/>
  <c r="AW269" i="15"/>
  <c r="AV258" i="15"/>
  <c r="AU258" i="15" s="1"/>
  <c r="AX257" i="15"/>
  <c r="AV247" i="15"/>
  <c r="AU247" i="15" s="1"/>
  <c r="AW233" i="15"/>
  <c r="AV230" i="15"/>
  <c r="AV227" i="15"/>
  <c r="AV224" i="15"/>
  <c r="AV220" i="15"/>
  <c r="AU220" i="15" s="1"/>
  <c r="AX218" i="15"/>
  <c r="AV213" i="15"/>
  <c r="AU213" i="15" s="1"/>
  <c r="AX206" i="15"/>
  <c r="AW203" i="15"/>
  <c r="AZ191" i="15"/>
  <c r="AV189" i="15"/>
  <c r="AU189" i="15" s="1"/>
  <c r="AV177" i="15"/>
  <c r="AU177" i="15" s="1"/>
  <c r="AW163" i="15"/>
  <c r="AY161" i="15"/>
  <c r="AV157" i="15"/>
  <c r="AU157" i="15" s="1"/>
  <c r="AV138" i="15"/>
  <c r="AU138" i="15" s="1"/>
  <c r="AV136" i="15"/>
  <c r="AU136" i="15" s="1"/>
  <c r="AW125" i="15"/>
  <c r="AW121" i="15"/>
  <c r="AW111" i="15"/>
  <c r="AV98" i="15"/>
  <c r="AY95" i="15"/>
  <c r="AW91" i="15"/>
  <c r="AV89" i="15"/>
  <c r="AW87" i="15"/>
  <c r="AV82" i="15"/>
  <c r="AU82" i="15" s="1"/>
  <c r="AV79" i="15"/>
  <c r="AU79" i="15" s="1"/>
  <c r="AW77" i="15"/>
  <c r="AW73" i="15"/>
  <c r="AV71" i="15"/>
  <c r="AW67" i="15"/>
  <c r="AX65" i="15"/>
  <c r="AV62" i="15"/>
  <c r="AW59" i="15"/>
  <c r="AW55" i="15"/>
  <c r="AV52" i="15"/>
  <c r="AU52" i="15" s="1"/>
  <c r="AW49" i="15"/>
  <c r="AZ47" i="15"/>
  <c r="AV46" i="15"/>
  <c r="AU46" i="15" s="1"/>
  <c r="AV44" i="15"/>
  <c r="AX41" i="15"/>
  <c r="AW39" i="15"/>
  <c r="AV37" i="15"/>
  <c r="AU37" i="15" s="1"/>
  <c r="AW35" i="15"/>
  <c r="AW33" i="15"/>
  <c r="AV31" i="15"/>
  <c r="AU31" i="15" s="1"/>
  <c r="AX29" i="15"/>
  <c r="AW27" i="15"/>
  <c r="AR35" i="15"/>
  <c r="AQ29" i="15"/>
  <c r="AP26" i="15"/>
  <c r="AN24" i="15"/>
  <c r="AM24" i="15" s="1"/>
  <c r="AL24" i="15" s="1"/>
  <c r="C24" i="15" s="1"/>
  <c r="D24" i="15" s="1"/>
  <c r="AO25" i="15"/>
  <c r="AD82" i="18"/>
  <c r="AA83" i="18"/>
  <c r="B76" i="18"/>
  <c r="C76" i="18" s="1"/>
  <c r="D76" i="18" s="1"/>
  <c r="F76" i="18" s="1"/>
  <c r="E76" i="18" s="1"/>
  <c r="A77" i="18"/>
  <c r="AO43" i="17"/>
  <c r="AQ47" i="17"/>
  <c r="AN42" i="17"/>
  <c r="AM42" i="17" s="1"/>
  <c r="AP44" i="17"/>
  <c r="AM64" i="17"/>
  <c r="AD82" i="17"/>
  <c r="AA83" i="17"/>
  <c r="A77" i="17"/>
  <c r="B76" i="17"/>
  <c r="AG77" i="15"/>
  <c r="AE25" i="15" s="1"/>
  <c r="AA80" i="15"/>
  <c r="AD79" i="15"/>
  <c r="B74" i="15"/>
  <c r="A75" i="15"/>
  <c r="G43" i="13"/>
  <c r="F43" i="13" s="1"/>
  <c r="W81" i="13"/>
  <c r="X80" i="13"/>
  <c r="Y80" i="13" s="1"/>
  <c r="Z80" i="13" s="1"/>
  <c r="AA80" i="13" s="1"/>
  <c r="A76" i="13"/>
  <c r="B75" i="13"/>
  <c r="B77" i="20" l="1"/>
  <c r="A78" i="20"/>
  <c r="D44" i="13"/>
  <c r="C44" i="13" s="1"/>
  <c r="AA86" i="24"/>
  <c r="AD85" i="24"/>
  <c r="AA84" i="22"/>
  <c r="AD83" i="22"/>
  <c r="F25" i="22"/>
  <c r="AU218" i="15"/>
  <c r="AU77" i="15"/>
  <c r="AU200" i="15"/>
  <c r="A141" i="17"/>
  <c r="B140" i="17"/>
  <c r="AU125" i="15"/>
  <c r="AU239" i="15"/>
  <c r="AU113" i="15"/>
  <c r="AU170" i="15"/>
  <c r="AU143" i="15"/>
  <c r="AU74" i="15"/>
  <c r="AU98" i="15"/>
  <c r="AU146" i="15"/>
  <c r="AU236" i="15"/>
  <c r="AU38" i="15"/>
  <c r="AU68" i="15"/>
  <c r="AU227" i="15"/>
  <c r="AU176" i="15"/>
  <c r="AU194" i="15"/>
  <c r="AU233" i="15"/>
  <c r="AU248" i="15"/>
  <c r="AU281" i="15"/>
  <c r="AU41" i="15"/>
  <c r="AU44" i="15"/>
  <c r="AU80" i="15"/>
  <c r="AU254" i="15"/>
  <c r="AU140" i="15"/>
  <c r="AU86" i="15"/>
  <c r="AU116" i="15"/>
  <c r="AU224" i="15"/>
  <c r="AU152" i="15"/>
  <c r="AU179" i="15"/>
  <c r="AU188" i="15"/>
  <c r="AU242" i="15"/>
  <c r="AU35" i="15"/>
  <c r="AU155" i="15"/>
  <c r="AU164" i="15"/>
  <c r="AU110" i="15"/>
  <c r="AU215" i="15"/>
  <c r="AU260" i="15"/>
  <c r="AU158" i="15"/>
  <c r="AU185" i="15"/>
  <c r="AU203" i="15"/>
  <c r="AU92" i="15"/>
  <c r="AU122" i="15"/>
  <c r="AU149" i="15"/>
  <c r="AU161" i="15"/>
  <c r="AU197" i="15"/>
  <c r="AU266" i="15"/>
  <c r="AU65" i="15"/>
  <c r="AU206" i="15"/>
  <c r="AU275" i="15"/>
  <c r="AU47" i="15"/>
  <c r="AU104" i="15"/>
  <c r="AU71" i="15"/>
  <c r="AU89" i="15"/>
  <c r="AU101" i="15"/>
  <c r="AU173" i="15"/>
  <c r="AU29" i="15"/>
  <c r="AU257" i="15"/>
  <c r="AU284" i="15"/>
  <c r="AU50" i="15"/>
  <c r="AU62" i="15"/>
  <c r="AU137" i="15"/>
  <c r="AU32" i="15"/>
  <c r="AU26" i="15"/>
  <c r="AU209" i="15"/>
  <c r="AU251" i="15"/>
  <c r="AU56" i="15"/>
  <c r="AU128" i="15"/>
  <c r="AU269" i="15"/>
  <c r="AU53" i="15"/>
  <c r="AU83" i="15"/>
  <c r="AU131" i="15"/>
  <c r="AU212" i="15"/>
  <c r="AU221" i="15"/>
  <c r="AU245" i="15"/>
  <c r="AU272" i="15"/>
  <c r="AU167" i="15"/>
  <c r="AU182" i="15"/>
  <c r="AU230" i="15"/>
  <c r="AU263" i="15"/>
  <c r="AU278" i="15"/>
  <c r="AD83" i="18"/>
  <c r="AA84" i="18"/>
  <c r="A78" i="18"/>
  <c r="B77" i="18"/>
  <c r="C77" i="18" s="1"/>
  <c r="D77" i="18" s="1"/>
  <c r="F77" i="18" s="1"/>
  <c r="E77" i="18" s="1"/>
  <c r="AL42" i="17"/>
  <c r="C42" i="17" s="1"/>
  <c r="D42" i="17" s="1"/>
  <c r="F42" i="17" s="1"/>
  <c r="E42" i="17" s="1"/>
  <c r="AM65" i="17"/>
  <c r="AM43" i="17"/>
  <c r="AD83" i="17"/>
  <c r="AA84" i="17"/>
  <c r="A78" i="17"/>
  <c r="B77" i="17"/>
  <c r="AD80" i="15"/>
  <c r="AA81" i="15"/>
  <c r="A76" i="15"/>
  <c r="B75" i="15"/>
  <c r="F24" i="15"/>
  <c r="A77" i="13"/>
  <c r="B76" i="13"/>
  <c r="W82" i="13"/>
  <c r="X81" i="13"/>
  <c r="Y81" i="13" s="1"/>
  <c r="Z81" i="13" s="1"/>
  <c r="AA81" i="13" s="1"/>
  <c r="B78" i="20" l="1"/>
  <c r="A79" i="20"/>
  <c r="E44" i="13"/>
  <c r="G44" i="13" s="1"/>
  <c r="F44" i="13" s="1"/>
  <c r="AA87" i="24"/>
  <c r="AD86" i="24"/>
  <c r="AM25" i="22"/>
  <c r="E25" i="22"/>
  <c r="C26" i="22" s="1"/>
  <c r="AA85" i="22"/>
  <c r="AD84" i="22"/>
  <c r="B141" i="17"/>
  <c r="A142" i="17"/>
  <c r="AN43" i="17"/>
  <c r="G42" i="17"/>
  <c r="AD84" i="18"/>
  <c r="AA85" i="18"/>
  <c r="A79" i="18"/>
  <c r="B78" i="18"/>
  <c r="C78" i="18" s="1"/>
  <c r="D78" i="18" s="1"/>
  <c r="F78" i="18" s="1"/>
  <c r="E78" i="18" s="1"/>
  <c r="AL43" i="17"/>
  <c r="C43" i="17" s="1"/>
  <c r="D43" i="17" s="1"/>
  <c r="F43" i="17" s="1"/>
  <c r="E43" i="17" s="1"/>
  <c r="AM66" i="17"/>
  <c r="A79" i="17"/>
  <c r="B78" i="17"/>
  <c r="AA85" i="17"/>
  <c r="AD84" i="17"/>
  <c r="AD81" i="15"/>
  <c r="AA82" i="15"/>
  <c r="E24" i="15"/>
  <c r="A77" i="15"/>
  <c r="B76" i="15"/>
  <c r="A78" i="13"/>
  <c r="B77" i="13"/>
  <c r="W83" i="13"/>
  <c r="X82" i="13"/>
  <c r="Y82" i="13" s="1"/>
  <c r="Z82" i="13" s="1"/>
  <c r="AA82" i="13" s="1"/>
  <c r="A80" i="20" l="1"/>
  <c r="B79" i="20"/>
  <c r="AN25" i="15"/>
  <c r="AM25" i="15" s="1"/>
  <c r="AL25" i="15" s="1"/>
  <c r="C25" i="15" s="1"/>
  <c r="D25" i="15" s="1"/>
  <c r="BB25" i="15"/>
  <c r="D45" i="13"/>
  <c r="C45" i="13" s="1"/>
  <c r="AA88" i="24"/>
  <c r="AD87" i="24"/>
  <c r="AA86" i="22"/>
  <c r="AD85" i="22"/>
  <c r="D26" i="22"/>
  <c r="B142" i="17"/>
  <c r="A143" i="17"/>
  <c r="G43" i="17"/>
  <c r="AN44" i="17"/>
  <c r="AO45" i="17"/>
  <c r="AD85" i="18"/>
  <c r="AA86" i="18"/>
  <c r="A80" i="18"/>
  <c r="B79" i="18"/>
  <c r="C79" i="18" s="1"/>
  <c r="D79" i="18" s="1"/>
  <c r="F79" i="18" s="1"/>
  <c r="E79" i="18" s="1"/>
  <c r="AM44" i="17"/>
  <c r="AM67" i="17"/>
  <c r="G24" i="15"/>
  <c r="B79" i="17"/>
  <c r="A80" i="17"/>
  <c r="AA86" i="17"/>
  <c r="AD85" i="17"/>
  <c r="AA83" i="15"/>
  <c r="AD82" i="15"/>
  <c r="B77" i="15"/>
  <c r="A78" i="15"/>
  <c r="W84" i="13"/>
  <c r="X83" i="13"/>
  <c r="Y83" i="13" s="1"/>
  <c r="Z83" i="13" s="1"/>
  <c r="AA83" i="13" s="1"/>
  <c r="A79" i="13"/>
  <c r="B78" i="13"/>
  <c r="A81" i="20" l="1"/>
  <c r="B80" i="20"/>
  <c r="E45" i="13"/>
  <c r="G45" i="13" s="1"/>
  <c r="F45" i="13" s="1"/>
  <c r="AA89" i="24"/>
  <c r="AD88" i="24"/>
  <c r="F26" i="22"/>
  <c r="AA87" i="22"/>
  <c r="AD86" i="22"/>
  <c r="A144" i="17"/>
  <c r="B143" i="17"/>
  <c r="A81" i="18"/>
  <c r="B80" i="18"/>
  <c r="C80" i="18" s="1"/>
  <c r="D80" i="18" s="1"/>
  <c r="F80" i="18" s="1"/>
  <c r="E80" i="18" s="1"/>
  <c r="AA87" i="18"/>
  <c r="AD86" i="18"/>
  <c r="AL44" i="17"/>
  <c r="C44" i="17" s="1"/>
  <c r="D44" i="17" s="1"/>
  <c r="F44" i="17" s="1"/>
  <c r="E44" i="17" s="1"/>
  <c r="G44" i="17" s="1"/>
  <c r="AM68" i="17"/>
  <c r="AA87" i="17"/>
  <c r="AD86" i="17"/>
  <c r="A81" i="17"/>
  <c r="B80" i="17"/>
  <c r="AA84" i="15"/>
  <c r="AD83" i="15"/>
  <c r="A79" i="15"/>
  <c r="B78" i="15"/>
  <c r="W85" i="13"/>
  <c r="X84" i="13"/>
  <c r="Y84" i="13" s="1"/>
  <c r="Z84" i="13" s="1"/>
  <c r="AA84" i="13" s="1"/>
  <c r="A80" i="13"/>
  <c r="B79" i="13"/>
  <c r="B81" i="20" l="1"/>
  <c r="A82" i="20"/>
  <c r="D46" i="13"/>
  <c r="C46" i="13" s="1"/>
  <c r="AA90" i="24"/>
  <c r="AD89" i="24"/>
  <c r="AM26" i="22"/>
  <c r="AA88" i="22"/>
  <c r="AD87" i="22"/>
  <c r="E26" i="22"/>
  <c r="C27" i="22" s="1"/>
  <c r="D27" i="22" s="1"/>
  <c r="F27" i="22" s="1"/>
  <c r="A145" i="17"/>
  <c r="B144" i="17"/>
  <c r="AA88" i="18"/>
  <c r="AD87" i="18"/>
  <c r="A82" i="18"/>
  <c r="B81" i="18"/>
  <c r="C81" i="18" s="1"/>
  <c r="D81" i="18" s="1"/>
  <c r="F81" i="18" s="1"/>
  <c r="E81" i="18" s="1"/>
  <c r="AN45" i="17"/>
  <c r="AM45" i="17" s="1"/>
  <c r="AP47" i="17"/>
  <c r="AM69" i="17"/>
  <c r="AM51" i="17"/>
  <c r="AD87" i="17"/>
  <c r="AA88" i="17"/>
  <c r="A82" i="17"/>
  <c r="B81" i="17"/>
  <c r="AA85" i="15"/>
  <c r="AD84" i="15"/>
  <c r="A80" i="15"/>
  <c r="B79" i="15"/>
  <c r="F25" i="15"/>
  <c r="A81" i="13"/>
  <c r="B80" i="13"/>
  <c r="W86" i="13"/>
  <c r="X85" i="13"/>
  <c r="Y85" i="13" s="1"/>
  <c r="Z85" i="13" s="1"/>
  <c r="AA85" i="13" s="1"/>
  <c r="A83" i="20" l="1"/>
  <c r="B82" i="20"/>
  <c r="E46" i="13"/>
  <c r="G46" i="13" s="1"/>
  <c r="F46" i="13" s="1"/>
  <c r="AA91" i="24"/>
  <c r="AD90" i="24"/>
  <c r="AS27" i="22"/>
  <c r="AU29" i="22"/>
  <c r="AA89" i="22"/>
  <c r="AD88" i="22"/>
  <c r="B145" i="17"/>
  <c r="A146" i="17"/>
  <c r="A83" i="18"/>
  <c r="B82" i="18"/>
  <c r="C82" i="18" s="1"/>
  <c r="D82" i="18" s="1"/>
  <c r="F82" i="18" s="1"/>
  <c r="E82" i="18" s="1"/>
  <c r="AA89" i="18"/>
  <c r="AD88" i="18"/>
  <c r="AL45" i="17"/>
  <c r="C45" i="17" s="1"/>
  <c r="D45" i="17" s="1"/>
  <c r="F45" i="17" s="1"/>
  <c r="E45" i="17" s="1"/>
  <c r="AM70" i="17"/>
  <c r="A83" i="17"/>
  <c r="B82" i="17"/>
  <c r="AA89" i="17"/>
  <c r="AD88" i="17"/>
  <c r="AA86" i="15"/>
  <c r="AD85" i="15"/>
  <c r="B80" i="15"/>
  <c r="A81" i="15"/>
  <c r="E25" i="15"/>
  <c r="BB26" i="15" s="1"/>
  <c r="B81" i="13"/>
  <c r="A82" i="13"/>
  <c r="W87" i="13"/>
  <c r="X86" i="13"/>
  <c r="Y86" i="13" s="1"/>
  <c r="Z86" i="13" s="1"/>
  <c r="AA86" i="13" s="1"/>
  <c r="A84" i="20" l="1"/>
  <c r="B83" i="20"/>
  <c r="D47" i="13"/>
  <c r="C47" i="13" s="1"/>
  <c r="AA92" i="24"/>
  <c r="AD91" i="24"/>
  <c r="AM27" i="22"/>
  <c r="AP27" i="22"/>
  <c r="AQ27" i="22" s="1"/>
  <c r="AA90" i="22"/>
  <c r="AD89" i="22"/>
  <c r="E27" i="22"/>
  <c r="C28" i="22" s="1"/>
  <c r="D28" i="22" s="1"/>
  <c r="B146" i="17"/>
  <c r="A147" i="17"/>
  <c r="G45" i="17"/>
  <c r="AN46" i="17"/>
  <c r="AM46" i="17" s="1"/>
  <c r="AO47" i="17"/>
  <c r="AD89" i="18"/>
  <c r="AA90" i="18"/>
  <c r="A84" i="18"/>
  <c r="B83" i="18"/>
  <c r="C83" i="18" s="1"/>
  <c r="D83" i="18" s="1"/>
  <c r="F83" i="18" s="1"/>
  <c r="E83" i="18" s="1"/>
  <c r="AO27" i="15"/>
  <c r="AN26" i="15"/>
  <c r="AM26" i="15" s="1"/>
  <c r="AL46" i="17"/>
  <c r="G25" i="15"/>
  <c r="AD89" i="17"/>
  <c r="AA90" i="17"/>
  <c r="A84" i="17"/>
  <c r="B83" i="17"/>
  <c r="AA87" i="15"/>
  <c r="AD86" i="15"/>
  <c r="A82" i="15"/>
  <c r="B81" i="15"/>
  <c r="B82" i="13"/>
  <c r="A83" i="13"/>
  <c r="W88" i="13"/>
  <c r="X87" i="13"/>
  <c r="Y87" i="13" s="1"/>
  <c r="Z87" i="13" s="1"/>
  <c r="AA87" i="13" s="1"/>
  <c r="A85" i="20" l="1"/>
  <c r="B84" i="20"/>
  <c r="BH84" i="20"/>
  <c r="E47" i="13"/>
  <c r="G47" i="13" s="1"/>
  <c r="F47" i="13" s="1"/>
  <c r="AA93" i="24"/>
  <c r="AD92" i="24"/>
  <c r="F28" i="22"/>
  <c r="AA91" i="22"/>
  <c r="AD90" i="22"/>
  <c r="A148" i="17"/>
  <c r="B147" i="17"/>
  <c r="AL26" i="15"/>
  <c r="C26" i="15" s="1"/>
  <c r="D26" i="15" s="1"/>
  <c r="C46" i="17"/>
  <c r="D46" i="17" s="1"/>
  <c r="F46" i="17" s="1"/>
  <c r="E46" i="17" s="1"/>
  <c r="A85" i="18"/>
  <c r="B84" i="18"/>
  <c r="C84" i="18" s="1"/>
  <c r="D84" i="18" s="1"/>
  <c r="F84" i="18" s="1"/>
  <c r="E84" i="18" s="1"/>
  <c r="AA91" i="18"/>
  <c r="AD90" i="18"/>
  <c r="AM47" i="17"/>
  <c r="AM72" i="17"/>
  <c r="AA91" i="17"/>
  <c r="AD90" i="17"/>
  <c r="A85" i="17"/>
  <c r="B84" i="17"/>
  <c r="AD87" i="15"/>
  <c r="AA88" i="15"/>
  <c r="A83" i="15"/>
  <c r="B82" i="15"/>
  <c r="W89" i="13"/>
  <c r="X88" i="13"/>
  <c r="Y88" i="13" s="1"/>
  <c r="Z88" i="13" s="1"/>
  <c r="AA88" i="13" s="1"/>
  <c r="B83" i="13"/>
  <c r="A84" i="13"/>
  <c r="BH85" i="20" l="1"/>
  <c r="A86" i="20"/>
  <c r="B85" i="20"/>
  <c r="D48" i="13"/>
  <c r="C48" i="13" s="1"/>
  <c r="AA94" i="24"/>
  <c r="AD93" i="24"/>
  <c r="AM28" i="22"/>
  <c r="AA92" i="22"/>
  <c r="AD91" i="22"/>
  <c r="E28" i="22"/>
  <c r="C29" i="22" s="1"/>
  <c r="D29" i="22" s="1"/>
  <c r="F29" i="22" s="1"/>
  <c r="B148" i="17"/>
  <c r="A149" i="17"/>
  <c r="G46" i="17"/>
  <c r="AN47" i="17"/>
  <c r="AD91" i="18"/>
  <c r="AA92" i="18"/>
  <c r="A86" i="18"/>
  <c r="B86" i="18" s="1"/>
  <c r="C86" i="18" s="1"/>
  <c r="B85" i="18"/>
  <c r="C85" i="18" s="1"/>
  <c r="D85" i="18" s="1"/>
  <c r="F85" i="18" s="1"/>
  <c r="E85" i="18" s="1"/>
  <c r="AL47" i="17"/>
  <c r="C47" i="17" s="1"/>
  <c r="D47" i="17" s="1"/>
  <c r="F47" i="17" s="1"/>
  <c r="E47" i="17" s="1"/>
  <c r="AM73" i="17"/>
  <c r="AD91" i="17"/>
  <c r="AA92" i="17"/>
  <c r="B85" i="17"/>
  <c r="A86" i="17"/>
  <c r="B86" i="17" s="1"/>
  <c r="AA89" i="15"/>
  <c r="AD88" i="15"/>
  <c r="F26" i="15"/>
  <c r="A84" i="15"/>
  <c r="B83" i="15"/>
  <c r="B84" i="13"/>
  <c r="A85" i="13"/>
  <c r="W90" i="13"/>
  <c r="X89" i="13"/>
  <c r="Y89" i="13" s="1"/>
  <c r="Z89" i="13" s="1"/>
  <c r="AA89" i="13" s="1"/>
  <c r="BH86" i="20" l="1"/>
  <c r="A87" i="20"/>
  <c r="B86" i="20"/>
  <c r="E48" i="13"/>
  <c r="G48" i="13" s="1"/>
  <c r="F48" i="13" s="1"/>
  <c r="AA95" i="24"/>
  <c r="AD94" i="24"/>
  <c r="E29" i="22"/>
  <c r="C30" i="22" s="1"/>
  <c r="D30" i="22" s="1"/>
  <c r="F30" i="22" s="1"/>
  <c r="AN30" i="22" s="1"/>
  <c r="AM29" i="22"/>
  <c r="AA93" i="22"/>
  <c r="AD92" i="22"/>
  <c r="B149" i="17"/>
  <c r="A150" i="17"/>
  <c r="G47" i="17"/>
  <c r="AQ53" i="17"/>
  <c r="AM53" i="17" s="1"/>
  <c r="AA93" i="18"/>
  <c r="AD92" i="18"/>
  <c r="D86" i="18"/>
  <c r="C22" i="18"/>
  <c r="AL48" i="17"/>
  <c r="AR59" i="17"/>
  <c r="AM59" i="17" s="1"/>
  <c r="AP50" i="17"/>
  <c r="AM50" i="17" s="1"/>
  <c r="AO49" i="17"/>
  <c r="AM49" i="17" s="1"/>
  <c r="AN48" i="17"/>
  <c r="AM48" i="17" s="1"/>
  <c r="C48" i="17" s="1"/>
  <c r="D48" i="17" s="1"/>
  <c r="F48" i="17" s="1"/>
  <c r="E48" i="17" s="1"/>
  <c r="AM74" i="17"/>
  <c r="AA93" i="17"/>
  <c r="AD92" i="17"/>
  <c r="AA90" i="15"/>
  <c r="AD89" i="15"/>
  <c r="A85" i="15"/>
  <c r="B84" i="15"/>
  <c r="E26" i="15"/>
  <c r="BB27" i="15" s="1"/>
  <c r="B85" i="13"/>
  <c r="A86" i="13"/>
  <c r="W91" i="13"/>
  <c r="X90" i="13"/>
  <c r="Y90" i="13" s="1"/>
  <c r="Z90" i="13" s="1"/>
  <c r="AA90" i="13" s="1"/>
  <c r="BH87" i="20" l="1"/>
  <c r="A88" i="20"/>
  <c r="B87" i="20"/>
  <c r="D49" i="13"/>
  <c r="C49" i="13" s="1"/>
  <c r="AA96" i="24"/>
  <c r="AD95" i="24"/>
  <c r="E30" i="22"/>
  <c r="C31" i="22" s="1"/>
  <c r="AM30" i="22"/>
  <c r="AA94" i="22"/>
  <c r="AD93" i="22"/>
  <c r="A151" i="17"/>
  <c r="B150" i="17"/>
  <c r="F86" i="18"/>
  <c r="B19" i="18" s="1"/>
  <c r="D22" i="18"/>
  <c r="AA94" i="18"/>
  <c r="AD93" i="18"/>
  <c r="G48" i="17"/>
  <c r="AL49" i="17"/>
  <c r="C49" i="17" s="1"/>
  <c r="D49" i="17" s="1"/>
  <c r="F49" i="17" s="1"/>
  <c r="AN49" i="17"/>
  <c r="AN27" i="15"/>
  <c r="AM27" i="15" s="1"/>
  <c r="AL27" i="15" s="1"/>
  <c r="C27" i="15" s="1"/>
  <c r="D27" i="15" s="1"/>
  <c r="AP29" i="15"/>
  <c r="AM75" i="17"/>
  <c r="G26" i="15"/>
  <c r="AD93" i="17"/>
  <c r="AA94" i="17"/>
  <c r="AA91" i="15"/>
  <c r="AD90" i="15"/>
  <c r="A86" i="15"/>
  <c r="B85" i="15"/>
  <c r="W92" i="13"/>
  <c r="X91" i="13"/>
  <c r="Y91" i="13" s="1"/>
  <c r="Z91" i="13" s="1"/>
  <c r="AA91" i="13" s="1"/>
  <c r="B86" i="13"/>
  <c r="A87" i="13"/>
  <c r="BH88" i="20" l="1"/>
  <c r="A89" i="20"/>
  <c r="B88" i="20"/>
  <c r="E49" i="13"/>
  <c r="G49" i="13" s="1"/>
  <c r="F49" i="13" s="1"/>
  <c r="AA97" i="24"/>
  <c r="AD96" i="24"/>
  <c r="D31" i="22"/>
  <c r="AA95" i="22"/>
  <c r="AD94" i="22"/>
  <c r="A152" i="17"/>
  <c r="B151" i="17"/>
  <c r="B86" i="15"/>
  <c r="A87" i="15"/>
  <c r="E49" i="17"/>
  <c r="AN50" i="17" s="1"/>
  <c r="AA95" i="18"/>
  <c r="AD94" i="18"/>
  <c r="E86" i="18"/>
  <c r="F22" i="18"/>
  <c r="AM76" i="17"/>
  <c r="AA95" i="17"/>
  <c r="AD94" i="17"/>
  <c r="AD91" i="15"/>
  <c r="AA92" i="15"/>
  <c r="B87" i="13"/>
  <c r="A88" i="13"/>
  <c r="W93" i="13"/>
  <c r="X92" i="13"/>
  <c r="Y92" i="13" s="1"/>
  <c r="Z92" i="13" s="1"/>
  <c r="AA92" i="13" s="1"/>
  <c r="BH89" i="20" l="1"/>
  <c r="A90" i="20"/>
  <c r="B89" i="20"/>
  <c r="D50" i="13"/>
  <c r="C50" i="13" s="1"/>
  <c r="AA98" i="24"/>
  <c r="AD97" i="24"/>
  <c r="F31" i="22"/>
  <c r="AA96" i="22"/>
  <c r="AD95" i="22"/>
  <c r="B152" i="17"/>
  <c r="A153" i="17"/>
  <c r="B87" i="15"/>
  <c r="A88" i="15"/>
  <c r="AL50" i="17"/>
  <c r="C50" i="17" s="1"/>
  <c r="D50" i="17" s="1"/>
  <c r="F50" i="17" s="1"/>
  <c r="E50" i="17" s="1"/>
  <c r="G50" i="17" s="1"/>
  <c r="G49" i="17"/>
  <c r="AO51" i="17"/>
  <c r="AA96" i="18"/>
  <c r="AD95" i="18"/>
  <c r="AD95" i="17"/>
  <c r="AA96" i="17"/>
  <c r="AA93" i="15"/>
  <c r="AD92" i="15"/>
  <c r="F27" i="15"/>
  <c r="B88" i="13"/>
  <c r="A89" i="13"/>
  <c r="W94" i="13"/>
  <c r="X93" i="13"/>
  <c r="Y93" i="13" s="1"/>
  <c r="Z93" i="13" s="1"/>
  <c r="AA93" i="13" s="1"/>
  <c r="BH90" i="20" l="1"/>
  <c r="B90" i="20"/>
  <c r="A91" i="20"/>
  <c r="E50" i="13"/>
  <c r="G50" i="13" s="1"/>
  <c r="F50" i="13" s="1"/>
  <c r="AA99" i="24"/>
  <c r="AD98" i="24"/>
  <c r="E31" i="22"/>
  <c r="C32" i="22" s="1"/>
  <c r="AM31" i="22"/>
  <c r="AA97" i="22"/>
  <c r="AD96" i="22"/>
  <c r="A154" i="17"/>
  <c r="B153" i="17"/>
  <c r="AL51" i="17"/>
  <c r="C51" i="17" s="1"/>
  <c r="D51" i="17" s="1"/>
  <c r="F51" i="17" s="1"/>
  <c r="E51" i="17" s="1"/>
  <c r="AL52" i="17" s="1"/>
  <c r="C52" i="17" s="1"/>
  <c r="D52" i="17" s="1"/>
  <c r="F52" i="17" s="1"/>
  <c r="E52" i="17" s="1"/>
  <c r="AN51" i="17"/>
  <c r="AP53" i="17"/>
  <c r="B88" i="15"/>
  <c r="A89" i="15"/>
  <c r="AA97" i="18"/>
  <c r="AD96" i="18"/>
  <c r="AM87" i="17"/>
  <c r="AA97" i="17"/>
  <c r="AD96" i="17"/>
  <c r="AD93" i="15"/>
  <c r="AA94" i="15"/>
  <c r="E27" i="15"/>
  <c r="BB28" i="15" s="1"/>
  <c r="W95" i="13"/>
  <c r="X94" i="13"/>
  <c r="Y94" i="13" s="1"/>
  <c r="Z94" i="13" s="1"/>
  <c r="AA94" i="13" s="1"/>
  <c r="B89" i="13"/>
  <c r="A90" i="13"/>
  <c r="BH37" i="20" l="1"/>
  <c r="BH41" i="20"/>
  <c r="BH38" i="20"/>
  <c r="BH39" i="20"/>
  <c r="BH36" i="20"/>
  <c r="BG36" i="20" s="1"/>
  <c r="BG37" i="20" s="1"/>
  <c r="BH40" i="20"/>
  <c r="BH91" i="20"/>
  <c r="B91" i="20"/>
  <c r="A92" i="20"/>
  <c r="G51" i="17"/>
  <c r="D51" i="13"/>
  <c r="C51" i="13" s="1"/>
  <c r="AA100" i="24"/>
  <c r="AD99" i="24"/>
  <c r="BH74" i="20"/>
  <c r="BH76" i="20"/>
  <c r="BH80" i="20"/>
  <c r="BH75" i="20"/>
  <c r="BH79" i="20"/>
  <c r="BH83" i="20"/>
  <c r="BH72" i="20"/>
  <c r="BH78" i="20"/>
  <c r="BH82" i="20"/>
  <c r="BH73" i="20"/>
  <c r="BH77" i="20"/>
  <c r="BH81" i="20"/>
  <c r="D32" i="22"/>
  <c r="AA98" i="22"/>
  <c r="AD97" i="22"/>
  <c r="A155" i="17"/>
  <c r="B154" i="17"/>
  <c r="AN52" i="17"/>
  <c r="AO53" i="17"/>
  <c r="B89" i="15"/>
  <c r="A90" i="15"/>
  <c r="AD97" i="18"/>
  <c r="AA98" i="18"/>
  <c r="G52" i="17"/>
  <c r="AL53" i="17"/>
  <c r="C53" i="17" s="1"/>
  <c r="D53" i="17" s="1"/>
  <c r="F53" i="17" s="1"/>
  <c r="AN53" i="17"/>
  <c r="AO29" i="15"/>
  <c r="AN28" i="15"/>
  <c r="AM28" i="15" s="1"/>
  <c r="G27" i="15"/>
  <c r="AD97" i="17"/>
  <c r="AA98" i="17"/>
  <c r="AD94" i="15"/>
  <c r="AA95" i="15"/>
  <c r="E51" i="13"/>
  <c r="B90" i="13"/>
  <c r="A91" i="13"/>
  <c r="W96" i="13"/>
  <c r="X95" i="13"/>
  <c r="Y95" i="13" s="1"/>
  <c r="Z95" i="13" s="1"/>
  <c r="AA95" i="13" s="1"/>
  <c r="BG38" i="20" l="1"/>
  <c r="BG39" i="20" s="1"/>
  <c r="BG40" i="20" s="1"/>
  <c r="BG41" i="20" s="1"/>
  <c r="BH23" i="20" s="1"/>
  <c r="BH92" i="20"/>
  <c r="B92" i="20"/>
  <c r="A93" i="20"/>
  <c r="AA101" i="24"/>
  <c r="AD100" i="24"/>
  <c r="F32" i="22"/>
  <c r="AA99" i="22"/>
  <c r="AD98" i="22"/>
  <c r="B155" i="17"/>
  <c r="A156" i="17"/>
  <c r="A91" i="15"/>
  <c r="B90" i="15"/>
  <c r="AL28" i="15"/>
  <c r="C28" i="15" s="1"/>
  <c r="D28" i="15" s="1"/>
  <c r="E53" i="17"/>
  <c r="AO55" i="17" s="1"/>
  <c r="AA99" i="18"/>
  <c r="AD98" i="18"/>
  <c r="AM77" i="17"/>
  <c r="AA99" i="17"/>
  <c r="AD98" i="17"/>
  <c r="AD95" i="15"/>
  <c r="AA96" i="15"/>
  <c r="G51" i="13"/>
  <c r="F51" i="13" s="1"/>
  <c r="B91" i="13"/>
  <c r="A92" i="13"/>
  <c r="W97" i="13"/>
  <c r="X96" i="13"/>
  <c r="Y96" i="13" s="1"/>
  <c r="Z96" i="13" s="1"/>
  <c r="AA96" i="13" s="1"/>
  <c r="BH57" i="20" l="1"/>
  <c r="BH46" i="20"/>
  <c r="BH62" i="20"/>
  <c r="BH55" i="20"/>
  <c r="BH56" i="20"/>
  <c r="BH43" i="20"/>
  <c r="BH71" i="20"/>
  <c r="BH49" i="20"/>
  <c r="BH70" i="20"/>
  <c r="BH68" i="20"/>
  <c r="BH64" i="20"/>
  <c r="BH58" i="20"/>
  <c r="BH48" i="20"/>
  <c r="BH63" i="20"/>
  <c r="BH45" i="20"/>
  <c r="BH61" i="20"/>
  <c r="BH50" i="20"/>
  <c r="BH66" i="20"/>
  <c r="BH67" i="20"/>
  <c r="BH60" i="20"/>
  <c r="BH51" i="20"/>
  <c r="BH52" i="20"/>
  <c r="BH65" i="20"/>
  <c r="BH54" i="20"/>
  <c r="BH44" i="20"/>
  <c r="BH59" i="20"/>
  <c r="BH53" i="20"/>
  <c r="BH69" i="20"/>
  <c r="BH47" i="20"/>
  <c r="BH42" i="20"/>
  <c r="BG42" i="20" s="1"/>
  <c r="BH93" i="20"/>
  <c r="A94" i="20"/>
  <c r="B93" i="20"/>
  <c r="D52" i="13"/>
  <c r="C52" i="13" s="1"/>
  <c r="AA102" i="24"/>
  <c r="AD101" i="24"/>
  <c r="E32" i="22"/>
  <c r="C33" i="22" s="1"/>
  <c r="AM32" i="22"/>
  <c r="AA100" i="22"/>
  <c r="AD99" i="22"/>
  <c r="B156" i="17"/>
  <c r="A157" i="17"/>
  <c r="AL54" i="17"/>
  <c r="C54" i="17" s="1"/>
  <c r="D54" i="17" s="1"/>
  <c r="F54" i="17" s="1"/>
  <c r="E54" i="17" s="1"/>
  <c r="AL55" i="17" s="1"/>
  <c r="C55" i="17" s="1"/>
  <c r="D55" i="17" s="1"/>
  <c r="F55" i="17" s="1"/>
  <c r="E55" i="17" s="1"/>
  <c r="A92" i="15"/>
  <c r="B91" i="15"/>
  <c r="AP56" i="17"/>
  <c r="AN54" i="17"/>
  <c r="G53" i="17"/>
  <c r="AQ59" i="17"/>
  <c r="AD99" i="18"/>
  <c r="AA100" i="18"/>
  <c r="AD99" i="17"/>
  <c r="AA100" i="17"/>
  <c r="AA97" i="15"/>
  <c r="AD96" i="15"/>
  <c r="F28" i="15"/>
  <c r="B92" i="13"/>
  <c r="A93" i="13"/>
  <c r="W98" i="13"/>
  <c r="X97" i="13"/>
  <c r="Y97" i="13" s="1"/>
  <c r="Z97" i="13" s="1"/>
  <c r="AA97" i="13" s="1"/>
  <c r="BG43" i="20" l="1"/>
  <c r="BG44" i="20" s="1"/>
  <c r="BG45" i="20" s="1"/>
  <c r="BG46" i="20" s="1"/>
  <c r="BG47" i="20" s="1"/>
  <c r="BG48" i="20" s="1"/>
  <c r="BG49" i="20" s="1"/>
  <c r="BG50" i="20" s="1"/>
  <c r="BG51" i="20" s="1"/>
  <c r="BG52" i="20" s="1"/>
  <c r="BG53" i="20" s="1"/>
  <c r="BG54" i="20" s="1"/>
  <c r="BG55" i="20" s="1"/>
  <c r="BG56" i="20" s="1"/>
  <c r="BG57" i="20" s="1"/>
  <c r="BG58" i="20" s="1"/>
  <c r="BG59" i="20" s="1"/>
  <c r="BG60" i="20" s="1"/>
  <c r="BG61" i="20" s="1"/>
  <c r="BG62" i="20" s="1"/>
  <c r="BG63" i="20" s="1"/>
  <c r="BG64" i="20" s="1"/>
  <c r="A95" i="20"/>
  <c r="B94" i="20"/>
  <c r="AN55" i="17"/>
  <c r="E52" i="13"/>
  <c r="G52" i="13" s="1"/>
  <c r="F52" i="13" s="1"/>
  <c r="AA103" i="24"/>
  <c r="AD102" i="24"/>
  <c r="D33" i="22"/>
  <c r="AA101" i="22"/>
  <c r="AD100" i="22"/>
  <c r="A158" i="17"/>
  <c r="B157" i="17"/>
  <c r="G54" i="17"/>
  <c r="A93" i="15"/>
  <c r="B92" i="15"/>
  <c r="AA101" i="18"/>
  <c r="AD100" i="18"/>
  <c r="G55" i="17"/>
  <c r="AN56" i="17"/>
  <c r="AL56" i="17"/>
  <c r="C56" i="17" s="1"/>
  <c r="D56" i="17" s="1"/>
  <c r="F56" i="17" s="1"/>
  <c r="E56" i="17" s="1"/>
  <c r="AO57" i="17"/>
  <c r="AA101" i="17"/>
  <c r="AD100" i="17"/>
  <c r="AA98" i="15"/>
  <c r="AD97" i="15"/>
  <c r="E28" i="15"/>
  <c r="B93" i="13"/>
  <c r="A94" i="13"/>
  <c r="W99" i="13"/>
  <c r="X98" i="13"/>
  <c r="Y98" i="13" s="1"/>
  <c r="Z98" i="13" s="1"/>
  <c r="AA98" i="13" s="1"/>
  <c r="B95" i="20" l="1"/>
  <c r="G95" i="20"/>
  <c r="AN29" i="15"/>
  <c r="AM29" i="15" s="1"/>
  <c r="AL29" i="15" s="1"/>
  <c r="C29" i="15" s="1"/>
  <c r="D29" i="15" s="1"/>
  <c r="F29" i="15" s="1"/>
  <c r="E29" i="15" s="1"/>
  <c r="BB30" i="15" s="1"/>
  <c r="BB29" i="15"/>
  <c r="D53" i="13"/>
  <c r="C53" i="13" s="1"/>
  <c r="AA104" i="24"/>
  <c r="AD103" i="24"/>
  <c r="F33" i="22"/>
  <c r="AA102" i="22"/>
  <c r="AD101" i="22"/>
  <c r="A159" i="17"/>
  <c r="B158" i="17"/>
  <c r="B93" i="15"/>
  <c r="A94" i="15"/>
  <c r="BG65" i="20"/>
  <c r="AA102" i="18"/>
  <c r="AD101" i="18"/>
  <c r="G56" i="17"/>
  <c r="AP59" i="17"/>
  <c r="AN57" i="17"/>
  <c r="AL57" i="17"/>
  <c r="C57" i="17" s="1"/>
  <c r="D57" i="17" s="1"/>
  <c r="F57" i="17" s="1"/>
  <c r="E57" i="17" s="1"/>
  <c r="G28" i="15"/>
  <c r="AD101" i="17"/>
  <c r="AA102" i="17"/>
  <c r="AD98" i="15"/>
  <c r="AA99" i="15"/>
  <c r="W100" i="13"/>
  <c r="X99" i="13"/>
  <c r="Y99" i="13" s="1"/>
  <c r="Z99" i="13" s="1"/>
  <c r="AA99" i="13" s="1"/>
  <c r="B94" i="13"/>
  <c r="A95" i="13"/>
  <c r="E53" i="13" l="1"/>
  <c r="G53" i="13" s="1"/>
  <c r="F53" i="13" s="1"/>
  <c r="AA105" i="24"/>
  <c r="AD104" i="24"/>
  <c r="E33" i="22"/>
  <c r="C34" i="22" s="1"/>
  <c r="AM33" i="22"/>
  <c r="AA103" i="22"/>
  <c r="AD102" i="22"/>
  <c r="B159" i="17"/>
  <c r="A160" i="17"/>
  <c r="A95" i="15"/>
  <c r="B94" i="15"/>
  <c r="BG66" i="20"/>
  <c r="AA103" i="18"/>
  <c r="AD102" i="18"/>
  <c r="G57" i="17"/>
  <c r="AN58" i="17"/>
  <c r="AO59" i="17"/>
  <c r="AL58" i="17"/>
  <c r="C58" i="17" s="1"/>
  <c r="D58" i="17" s="1"/>
  <c r="F58" i="17" s="1"/>
  <c r="E58" i="17" s="1"/>
  <c r="AO31" i="15"/>
  <c r="AQ35" i="15"/>
  <c r="AP32" i="15"/>
  <c r="AN30" i="15"/>
  <c r="AM30" i="15" s="1"/>
  <c r="AM78" i="17"/>
  <c r="G29" i="15"/>
  <c r="AA103" i="17"/>
  <c r="AD102" i="17"/>
  <c r="AD99" i="15"/>
  <c r="AA100" i="15"/>
  <c r="B95" i="13"/>
  <c r="A96" i="13"/>
  <c r="W101" i="13"/>
  <c r="X100" i="13"/>
  <c r="Y100" i="13" s="1"/>
  <c r="Z100" i="13" s="1"/>
  <c r="AA100" i="13" s="1"/>
  <c r="D54" i="13" l="1"/>
  <c r="C54" i="13" s="1"/>
  <c r="AA106" i="24"/>
  <c r="AD105" i="24"/>
  <c r="D34" i="22"/>
  <c r="AA104" i="22"/>
  <c r="AD103" i="22"/>
  <c r="B160" i="17"/>
  <c r="A161" i="17"/>
  <c r="A96" i="15"/>
  <c r="B95" i="15"/>
  <c r="BG67" i="20"/>
  <c r="AL30" i="15"/>
  <c r="C30" i="15" s="1"/>
  <c r="D30" i="15" s="1"/>
  <c r="F30" i="15" s="1"/>
  <c r="AD103" i="18"/>
  <c r="AA104" i="18"/>
  <c r="G58" i="17"/>
  <c r="AL59" i="17"/>
  <c r="C59" i="17" s="1"/>
  <c r="D59" i="17" s="1"/>
  <c r="F59" i="17" s="1"/>
  <c r="AN59" i="17"/>
  <c r="AD103" i="17"/>
  <c r="AA104" i="17"/>
  <c r="AA101" i="15"/>
  <c r="AD100" i="15"/>
  <c r="W102" i="13"/>
  <c r="X101" i="13"/>
  <c r="Y101" i="13" s="1"/>
  <c r="Z101" i="13" s="1"/>
  <c r="AA101" i="13" s="1"/>
  <c r="B96" i="13"/>
  <c r="A97" i="13"/>
  <c r="E30" i="15" l="1"/>
  <c r="BB31" i="15" s="1"/>
  <c r="E54" i="13"/>
  <c r="G54" i="13" s="1"/>
  <c r="F54" i="13" s="1"/>
  <c r="AA107" i="24"/>
  <c r="AD106" i="24"/>
  <c r="F34" i="22"/>
  <c r="AA105" i="22"/>
  <c r="AD104" i="22"/>
  <c r="A162" i="17"/>
  <c r="B161" i="17"/>
  <c r="B96" i="15"/>
  <c r="A97" i="15"/>
  <c r="BG68" i="20"/>
  <c r="AN31" i="15"/>
  <c r="AM31" i="15" s="1"/>
  <c r="AL31" i="15" s="1"/>
  <c r="C31" i="15" s="1"/>
  <c r="D31" i="15" s="1"/>
  <c r="F31" i="15" s="1"/>
  <c r="E31" i="15" s="1"/>
  <c r="BB32" i="15" s="1"/>
  <c r="G30" i="15"/>
  <c r="E59" i="17"/>
  <c r="AA105" i="18"/>
  <c r="AD104" i="18"/>
  <c r="AA105" i="17"/>
  <c r="AD104" i="17"/>
  <c r="AD101" i="15"/>
  <c r="AA102" i="15"/>
  <c r="B97" i="13"/>
  <c r="A98" i="13"/>
  <c r="W103" i="13"/>
  <c r="X102" i="13"/>
  <c r="Y102" i="13" s="1"/>
  <c r="Z102" i="13" s="1"/>
  <c r="AA102" i="13" s="1"/>
  <c r="D55" i="13" l="1"/>
  <c r="C55" i="13" s="1"/>
  <c r="AA108" i="24"/>
  <c r="AD107" i="24"/>
  <c r="E34" i="22"/>
  <c r="C35" i="22" s="1"/>
  <c r="AM34" i="22"/>
  <c r="AA106" i="22"/>
  <c r="AD105" i="22"/>
  <c r="A163" i="17"/>
  <c r="B162" i="17"/>
  <c r="G59" i="17"/>
  <c r="AN60" i="17"/>
  <c r="AL60" i="17"/>
  <c r="C60" i="17" s="1"/>
  <c r="D60" i="17" s="1"/>
  <c r="F60" i="17" s="1"/>
  <c r="E60" i="17" s="1"/>
  <c r="AP62" i="17"/>
  <c r="AR71" i="17"/>
  <c r="AM71" i="17" s="1"/>
  <c r="B97" i="15"/>
  <c r="A98" i="15"/>
  <c r="BG69" i="20"/>
  <c r="AO33" i="15"/>
  <c r="AN32" i="15"/>
  <c r="AM32" i="15" s="1"/>
  <c r="AL32" i="15" s="1"/>
  <c r="C32" i="15" s="1"/>
  <c r="D32" i="15" s="1"/>
  <c r="F32" i="15" s="1"/>
  <c r="E32" i="15" s="1"/>
  <c r="BB33" i="15" s="1"/>
  <c r="G31" i="15"/>
  <c r="AO61" i="17"/>
  <c r="AQ65" i="17"/>
  <c r="AD105" i="18"/>
  <c r="AA106" i="18"/>
  <c r="AD105" i="17"/>
  <c r="AA106" i="17"/>
  <c r="AA103" i="15"/>
  <c r="AD102" i="15"/>
  <c r="B98" i="13"/>
  <c r="A99" i="13"/>
  <c r="W104" i="13"/>
  <c r="X103" i="13"/>
  <c r="Y103" i="13" s="1"/>
  <c r="Z103" i="13" s="1"/>
  <c r="AA103" i="13" s="1"/>
  <c r="E55" i="13" l="1"/>
  <c r="AA109" i="24"/>
  <c r="AD108" i="24"/>
  <c r="D35" i="22"/>
  <c r="AA107" i="22"/>
  <c r="AD106" i="22"/>
  <c r="B163" i="17"/>
  <c r="A164" i="17"/>
  <c r="G60" i="17"/>
  <c r="AN61" i="17"/>
  <c r="AL61" i="17"/>
  <c r="C61" i="17" s="1"/>
  <c r="D61" i="17" s="1"/>
  <c r="F61" i="17" s="1"/>
  <c r="E61" i="17" s="1"/>
  <c r="B98" i="15"/>
  <c r="A99" i="15"/>
  <c r="BG70" i="20"/>
  <c r="AP35" i="15"/>
  <c r="AN33" i="15"/>
  <c r="AM33" i="15" s="1"/>
  <c r="AL33" i="15" s="1"/>
  <c r="C33" i="15" s="1"/>
  <c r="D33" i="15" s="1"/>
  <c r="F33" i="15" s="1"/>
  <c r="E33" i="15" s="1"/>
  <c r="BB34" i="15" s="1"/>
  <c r="G32" i="15"/>
  <c r="AA107" i="18"/>
  <c r="AD106" i="18"/>
  <c r="AM79" i="17"/>
  <c r="AA107" i="17"/>
  <c r="AD106" i="17"/>
  <c r="AD103" i="15"/>
  <c r="AA104" i="15"/>
  <c r="G55" i="13"/>
  <c r="F55" i="13" s="1"/>
  <c r="W105" i="13"/>
  <c r="X104" i="13"/>
  <c r="Y104" i="13" s="1"/>
  <c r="Z104" i="13" s="1"/>
  <c r="AA104" i="13" s="1"/>
  <c r="B99" i="13"/>
  <c r="A100" i="13"/>
  <c r="D56" i="13" l="1"/>
  <c r="C56" i="13" s="1"/>
  <c r="AA110" i="24"/>
  <c r="AD109" i="24"/>
  <c r="F35" i="22"/>
  <c r="AA108" i="22"/>
  <c r="AD107" i="22"/>
  <c r="B164" i="17"/>
  <c r="A165" i="17"/>
  <c r="G61" i="17"/>
  <c r="AN62" i="17"/>
  <c r="AL62" i="17"/>
  <c r="C62" i="17" s="1"/>
  <c r="D62" i="17" s="1"/>
  <c r="F62" i="17" s="1"/>
  <c r="E62" i="17" s="1"/>
  <c r="AO63" i="17"/>
  <c r="B99" i="15"/>
  <c r="A100" i="15"/>
  <c r="BG71" i="20"/>
  <c r="AD107" i="18"/>
  <c r="AA108" i="18"/>
  <c r="AN34" i="15"/>
  <c r="AM34" i="15" s="1"/>
  <c r="G33" i="15"/>
  <c r="AO35" i="15"/>
  <c r="AD107" i="17"/>
  <c r="AA108" i="17"/>
  <c r="AA105" i="15"/>
  <c r="AD104" i="15"/>
  <c r="B100" i="13"/>
  <c r="A101" i="13"/>
  <c r="W106" i="13"/>
  <c r="X105" i="13"/>
  <c r="Y105" i="13" s="1"/>
  <c r="Z105" i="13" s="1"/>
  <c r="AA105" i="13" s="1"/>
  <c r="E56" i="13" l="1"/>
  <c r="AA111" i="24"/>
  <c r="AD110" i="24"/>
  <c r="AO35" i="22"/>
  <c r="AN35" i="22"/>
  <c r="BG72" i="20"/>
  <c r="BG73" i="20" s="1"/>
  <c r="BG74" i="20" s="1"/>
  <c r="BG75" i="20" s="1"/>
  <c r="BG76" i="20" s="1"/>
  <c r="BG77" i="20" s="1"/>
  <c r="BG78" i="20" s="1"/>
  <c r="BG79" i="20" s="1"/>
  <c r="BG80" i="20" s="1"/>
  <c r="BG81" i="20" s="1"/>
  <c r="BG82" i="20" s="1"/>
  <c r="BG83" i="20" s="1"/>
  <c r="E35" i="22"/>
  <c r="C36" i="22" s="1"/>
  <c r="D36" i="22" s="1"/>
  <c r="F36" i="22" s="1"/>
  <c r="AM35" i="22"/>
  <c r="AA109" i="22"/>
  <c r="AD108" i="22"/>
  <c r="A166" i="17"/>
  <c r="B165" i="17"/>
  <c r="G62" i="17"/>
  <c r="AP65" i="17"/>
  <c r="AN63" i="17"/>
  <c r="AL63" i="17"/>
  <c r="C63" i="17" s="1"/>
  <c r="D63" i="17" s="1"/>
  <c r="F63" i="17" s="1"/>
  <c r="E63" i="17" s="1"/>
  <c r="A101" i="15"/>
  <c r="B100" i="15"/>
  <c r="AL34" i="15"/>
  <c r="C34" i="15" s="1"/>
  <c r="D34" i="15" s="1"/>
  <c r="F34" i="15" s="1"/>
  <c r="E34" i="15" s="1"/>
  <c r="AA109" i="18"/>
  <c r="AD108" i="18"/>
  <c r="AA109" i="17"/>
  <c r="AD108" i="17"/>
  <c r="AA106" i="15"/>
  <c r="AD105" i="15"/>
  <c r="G56" i="13"/>
  <c r="F56" i="13" s="1"/>
  <c r="B101" i="13"/>
  <c r="A102" i="13"/>
  <c r="W107" i="13"/>
  <c r="X106" i="13"/>
  <c r="Y106" i="13" s="1"/>
  <c r="Z106" i="13" s="1"/>
  <c r="AA106" i="13" s="1"/>
  <c r="BG84" i="20" l="1"/>
  <c r="C84" i="20"/>
  <c r="D84" i="20" s="1"/>
  <c r="F84" i="20" s="1"/>
  <c r="AN35" i="15"/>
  <c r="AM35" i="15" s="1"/>
  <c r="AL35" i="15" s="1"/>
  <c r="C35" i="15" s="1"/>
  <c r="D35" i="15" s="1"/>
  <c r="F35" i="15" s="1"/>
  <c r="E35" i="15" s="1"/>
  <c r="BB36" i="15" s="1"/>
  <c r="BB35" i="15"/>
  <c r="D57" i="13"/>
  <c r="C57" i="13" s="1"/>
  <c r="AA112" i="24"/>
  <c r="AD111" i="24"/>
  <c r="E36" i="22"/>
  <c r="C37" i="22" s="1"/>
  <c r="D37" i="22" s="1"/>
  <c r="F37" i="22" s="1"/>
  <c r="AM36" i="22"/>
  <c r="AA110" i="22"/>
  <c r="AD109" i="22"/>
  <c r="A167" i="17"/>
  <c r="B166" i="17"/>
  <c r="G63" i="17"/>
  <c r="AN64" i="17"/>
  <c r="AL64" i="17"/>
  <c r="C64" i="17" s="1"/>
  <c r="D64" i="17" s="1"/>
  <c r="F64" i="17" s="1"/>
  <c r="E64" i="17" s="1"/>
  <c r="AO65" i="17"/>
  <c r="B101" i="15"/>
  <c r="A102" i="15"/>
  <c r="G34" i="15"/>
  <c r="AA110" i="18"/>
  <c r="AD109" i="18"/>
  <c r="AD109" i="17"/>
  <c r="AA110" i="17"/>
  <c r="AA107" i="15"/>
  <c r="AD106" i="15"/>
  <c r="B102" i="13"/>
  <c r="A103" i="13"/>
  <c r="W108" i="13"/>
  <c r="X107" i="13"/>
  <c r="Y107" i="13" s="1"/>
  <c r="Z107" i="13" s="1"/>
  <c r="AA107" i="13" s="1"/>
  <c r="E84" i="20" l="1"/>
  <c r="AN85" i="20" s="1"/>
  <c r="AM85" i="20" s="1"/>
  <c r="BG85" i="20"/>
  <c r="C85" i="20"/>
  <c r="D85" i="20" s="1"/>
  <c r="F85" i="20" s="1"/>
  <c r="E57" i="13"/>
  <c r="G57" i="13" s="1"/>
  <c r="F57" i="13" s="1"/>
  <c r="AA113" i="24"/>
  <c r="AD112" i="24"/>
  <c r="E37" i="22"/>
  <c r="C38" i="22" s="1"/>
  <c r="D38" i="22" s="1"/>
  <c r="F38" i="22" s="1"/>
  <c r="AM37" i="22"/>
  <c r="AA111" i="22"/>
  <c r="AD110" i="22"/>
  <c r="B167" i="17"/>
  <c r="A168" i="17"/>
  <c r="G64" i="17"/>
  <c r="AN65" i="17"/>
  <c r="AL65" i="17"/>
  <c r="C65" i="17" s="1"/>
  <c r="D65" i="17" s="1"/>
  <c r="F65" i="17" s="1"/>
  <c r="E65" i="17" s="1"/>
  <c r="A103" i="15"/>
  <c r="B102" i="15"/>
  <c r="AA111" i="18"/>
  <c r="AD110" i="18"/>
  <c r="AN36" i="15"/>
  <c r="AM36" i="15" s="1"/>
  <c r="AR47" i="15"/>
  <c r="G35" i="15"/>
  <c r="AQ41" i="15"/>
  <c r="AP38" i="15"/>
  <c r="AL36" i="15"/>
  <c r="C36" i="15" s="1"/>
  <c r="D36" i="15" s="1"/>
  <c r="F36" i="15" s="1"/>
  <c r="E36" i="15" s="1"/>
  <c r="BB37" i="15" s="1"/>
  <c r="AO37" i="15"/>
  <c r="AM80" i="17"/>
  <c r="AA111" i="17"/>
  <c r="AD110" i="17"/>
  <c r="AD107" i="15"/>
  <c r="AA108" i="15"/>
  <c r="W109" i="13"/>
  <c r="X108" i="13"/>
  <c r="Y108" i="13" s="1"/>
  <c r="Z108" i="13" s="1"/>
  <c r="AA108" i="13" s="1"/>
  <c r="B103" i="13"/>
  <c r="A104" i="13"/>
  <c r="AL85" i="20" l="1"/>
  <c r="G84" i="20"/>
  <c r="BG86" i="20"/>
  <c r="C86" i="20"/>
  <c r="D86" i="20" s="1"/>
  <c r="F86" i="20" s="1"/>
  <c r="E85" i="20"/>
  <c r="D58" i="13"/>
  <c r="C58" i="13" s="1"/>
  <c r="AA114" i="24"/>
  <c r="AD113" i="24"/>
  <c r="E38" i="22"/>
  <c r="C39" i="22" s="1"/>
  <c r="D39" i="22" s="1"/>
  <c r="F39" i="22" s="1"/>
  <c r="AM38" i="22"/>
  <c r="AA112" i="22"/>
  <c r="AD111" i="22"/>
  <c r="B168" i="17"/>
  <c r="A169" i="17"/>
  <c r="G65" i="17"/>
  <c r="AP68" i="17"/>
  <c r="AO67" i="17"/>
  <c r="AQ71" i="17"/>
  <c r="AL66" i="17"/>
  <c r="C66" i="17" s="1"/>
  <c r="D66" i="17" s="1"/>
  <c r="F66" i="17" s="1"/>
  <c r="E66" i="17" s="1"/>
  <c r="AN66" i="17"/>
  <c r="B103" i="15"/>
  <c r="A104" i="15"/>
  <c r="AA112" i="18"/>
  <c r="AD111" i="18"/>
  <c r="G36" i="15"/>
  <c r="AN37" i="15"/>
  <c r="AM37" i="15" s="1"/>
  <c r="AL37" i="15" s="1"/>
  <c r="C37" i="15" s="1"/>
  <c r="D37" i="15" s="1"/>
  <c r="F37" i="15" s="1"/>
  <c r="E37" i="15" s="1"/>
  <c r="BB38" i="15" s="1"/>
  <c r="AM81" i="17"/>
  <c r="AD111" i="17"/>
  <c r="AA112" i="17"/>
  <c r="AA109" i="15"/>
  <c r="AD108" i="15"/>
  <c r="B104" i="13"/>
  <c r="A105" i="13"/>
  <c r="W110" i="13"/>
  <c r="X109" i="13"/>
  <c r="Y109" i="13" s="1"/>
  <c r="Z109" i="13" s="1"/>
  <c r="AA109" i="13" s="1"/>
  <c r="E86" i="20" l="1"/>
  <c r="AN87" i="20" s="1"/>
  <c r="AM87" i="20" s="1"/>
  <c r="AN86" i="20"/>
  <c r="AM86" i="20" s="1"/>
  <c r="AL86" i="20"/>
  <c r="G85" i="20"/>
  <c r="BG87" i="20"/>
  <c r="C87" i="20"/>
  <c r="D87" i="20" s="1"/>
  <c r="F87" i="20" s="1"/>
  <c r="E58" i="13"/>
  <c r="G58" i="13" s="1"/>
  <c r="F58" i="13" s="1"/>
  <c r="AA115" i="24"/>
  <c r="AD114" i="24"/>
  <c r="E39" i="22"/>
  <c r="C40" i="22" s="1"/>
  <c r="D40" i="22" s="1"/>
  <c r="F40" i="22" s="1"/>
  <c r="AM39" i="22"/>
  <c r="AA113" i="22"/>
  <c r="AD112" i="22"/>
  <c r="A170" i="17"/>
  <c r="B169" i="17"/>
  <c r="G66" i="17"/>
  <c r="AN67" i="17"/>
  <c r="AL67" i="17"/>
  <c r="C67" i="17" s="1"/>
  <c r="D67" i="17" s="1"/>
  <c r="F67" i="17" s="1"/>
  <c r="E67" i="17" s="1"/>
  <c r="A105" i="15"/>
  <c r="B104" i="15"/>
  <c r="AA113" i="18"/>
  <c r="AD112" i="18"/>
  <c r="AO39" i="15"/>
  <c r="AN38" i="15"/>
  <c r="AM38" i="15" s="1"/>
  <c r="AL38" i="15" s="1"/>
  <c r="C38" i="15" s="1"/>
  <c r="D38" i="15" s="1"/>
  <c r="F38" i="15" s="1"/>
  <c r="E38" i="15" s="1"/>
  <c r="BB39" i="15" s="1"/>
  <c r="G37" i="15"/>
  <c r="AM82" i="17"/>
  <c r="AA113" i="17"/>
  <c r="AD112" i="17"/>
  <c r="AA110" i="15"/>
  <c r="AD109" i="15"/>
  <c r="B105" i="13"/>
  <c r="A106" i="13"/>
  <c r="W111" i="13"/>
  <c r="X110" i="13"/>
  <c r="Y110" i="13" s="1"/>
  <c r="Z110" i="13" s="1"/>
  <c r="AA110" i="13" s="1"/>
  <c r="G86" i="20" l="1"/>
  <c r="AL87" i="20"/>
  <c r="E87" i="20"/>
  <c r="G87" i="20" s="1"/>
  <c r="BG88" i="20"/>
  <c r="C88" i="20"/>
  <c r="D88" i="20" s="1"/>
  <c r="F88" i="20" s="1"/>
  <c r="D59" i="13"/>
  <c r="C59" i="13" s="1"/>
  <c r="AA116" i="24"/>
  <c r="AD115" i="24"/>
  <c r="E40" i="22"/>
  <c r="C41" i="22" s="1"/>
  <c r="D41" i="22" s="1"/>
  <c r="F41" i="22" s="1"/>
  <c r="AM40" i="22"/>
  <c r="AA114" i="22"/>
  <c r="AD113" i="22"/>
  <c r="A171" i="17"/>
  <c r="B170" i="17"/>
  <c r="G67" i="17"/>
  <c r="AO69" i="17"/>
  <c r="AL68" i="17"/>
  <c r="C68" i="17" s="1"/>
  <c r="D68" i="17" s="1"/>
  <c r="F68" i="17" s="1"/>
  <c r="E68" i="17" s="1"/>
  <c r="AN68" i="17"/>
  <c r="B105" i="15"/>
  <c r="A106" i="15"/>
  <c r="AD113" i="18"/>
  <c r="AA114" i="18"/>
  <c r="AN39" i="15"/>
  <c r="AM39" i="15" s="1"/>
  <c r="AP41" i="15"/>
  <c r="G38" i="15"/>
  <c r="AD113" i="17"/>
  <c r="AA114" i="17"/>
  <c r="AA111" i="15"/>
  <c r="AD110" i="15"/>
  <c r="W112" i="13"/>
  <c r="X111" i="13"/>
  <c r="Y111" i="13" s="1"/>
  <c r="Z111" i="13" s="1"/>
  <c r="AA111" i="13" s="1"/>
  <c r="B106" i="13"/>
  <c r="A107" i="13"/>
  <c r="AL88" i="20" l="1"/>
  <c r="AN88" i="20"/>
  <c r="AM88" i="20" s="1"/>
  <c r="BG89" i="20"/>
  <c r="C89" i="20"/>
  <c r="D89" i="20" s="1"/>
  <c r="F89" i="20" s="1"/>
  <c r="E88" i="20"/>
  <c r="E59" i="13"/>
  <c r="G59" i="13" s="1"/>
  <c r="F59" i="13" s="1"/>
  <c r="AA117" i="24"/>
  <c r="AD116" i="24"/>
  <c r="E41" i="22"/>
  <c r="C42" i="22" s="1"/>
  <c r="D42" i="22" s="1"/>
  <c r="F42" i="22" s="1"/>
  <c r="AM41" i="22"/>
  <c r="AA115" i="22"/>
  <c r="AD114" i="22"/>
  <c r="B171" i="17"/>
  <c r="A172" i="17"/>
  <c r="G68" i="17"/>
  <c r="AL69" i="17"/>
  <c r="C69" i="17" s="1"/>
  <c r="D69" i="17" s="1"/>
  <c r="F69" i="17" s="1"/>
  <c r="E69" i="17" s="1"/>
  <c r="AP71" i="17"/>
  <c r="AN69" i="17"/>
  <c r="B106" i="15"/>
  <c r="A107" i="15"/>
  <c r="AL39" i="15"/>
  <c r="C39" i="15" s="1"/>
  <c r="D39" i="15" s="1"/>
  <c r="F39" i="15" s="1"/>
  <c r="E39" i="15" s="1"/>
  <c r="BB40" i="15" s="1"/>
  <c r="AA115" i="18"/>
  <c r="AD114" i="18"/>
  <c r="AA115" i="17"/>
  <c r="AD114" i="17"/>
  <c r="AD111" i="15"/>
  <c r="AA112" i="15"/>
  <c r="B107" i="13"/>
  <c r="A108" i="13"/>
  <c r="W113" i="13"/>
  <c r="X112" i="13"/>
  <c r="Y112" i="13" s="1"/>
  <c r="Z112" i="13" s="1"/>
  <c r="AA112" i="13" s="1"/>
  <c r="E89" i="20" l="1"/>
  <c r="G89" i="20" s="1"/>
  <c r="AL89" i="20"/>
  <c r="AN89" i="20"/>
  <c r="AM89" i="20" s="1"/>
  <c r="G88" i="20"/>
  <c r="BG90" i="20"/>
  <c r="C90" i="20"/>
  <c r="D90" i="20" s="1"/>
  <c r="F90" i="20" s="1"/>
  <c r="D60" i="13"/>
  <c r="C60" i="13" s="1"/>
  <c r="AA118" i="24"/>
  <c r="AD117" i="24"/>
  <c r="E42" i="22"/>
  <c r="C43" i="22" s="1"/>
  <c r="D43" i="22" s="1"/>
  <c r="F43" i="22" s="1"/>
  <c r="AM42" i="22"/>
  <c r="AA116" i="22"/>
  <c r="AD115" i="22"/>
  <c r="B172" i="17"/>
  <c r="A173" i="17"/>
  <c r="G69" i="17"/>
  <c r="AN70" i="17"/>
  <c r="AL70" i="17"/>
  <c r="C70" i="17" s="1"/>
  <c r="D70" i="17" s="1"/>
  <c r="F70" i="17" s="1"/>
  <c r="E70" i="17" s="1"/>
  <c r="AO71" i="17"/>
  <c r="A108" i="15"/>
  <c r="B107" i="15"/>
  <c r="AO41" i="15"/>
  <c r="G39" i="15"/>
  <c r="AN40" i="15"/>
  <c r="AM40" i="15" s="1"/>
  <c r="AL40" i="15" s="1"/>
  <c r="C40" i="15" s="1"/>
  <c r="D40" i="15" s="1"/>
  <c r="F40" i="15" s="1"/>
  <c r="E40" i="15" s="1"/>
  <c r="AD115" i="18"/>
  <c r="AA116" i="18"/>
  <c r="AD115" i="17"/>
  <c r="AA116" i="17"/>
  <c r="AA113" i="15"/>
  <c r="AD112" i="15"/>
  <c r="B108" i="13"/>
  <c r="A109" i="13"/>
  <c r="W114" i="13"/>
  <c r="X113" i="13"/>
  <c r="Y113" i="13" s="1"/>
  <c r="Z113" i="13" s="1"/>
  <c r="AA113" i="13" s="1"/>
  <c r="AL90" i="20" l="1"/>
  <c r="AN90" i="20"/>
  <c r="AM90" i="20" s="1"/>
  <c r="BG91" i="20"/>
  <c r="C91" i="20"/>
  <c r="D91" i="20" s="1"/>
  <c r="F91" i="20" s="1"/>
  <c r="E90" i="20"/>
  <c r="G90" i="20" s="1"/>
  <c r="G40" i="15"/>
  <c r="BB41" i="15"/>
  <c r="E60" i="13"/>
  <c r="G60" i="13" s="1"/>
  <c r="F60" i="13" s="1"/>
  <c r="AA119" i="24"/>
  <c r="AD118" i="24"/>
  <c r="E43" i="22"/>
  <c r="C44" i="22" s="1"/>
  <c r="D44" i="22" s="1"/>
  <c r="F44" i="22" s="1"/>
  <c r="AM43" i="22"/>
  <c r="AA117" i="22"/>
  <c r="AD116" i="22"/>
  <c r="A174" i="17"/>
  <c r="B173" i="17"/>
  <c r="G70" i="17"/>
  <c r="AN71" i="17"/>
  <c r="AL71" i="17"/>
  <c r="C71" i="17" s="1"/>
  <c r="D71" i="17" s="1"/>
  <c r="F71" i="17" s="1"/>
  <c r="E71" i="17" s="1"/>
  <c r="B108" i="15"/>
  <c r="A109" i="15"/>
  <c r="AN41" i="15"/>
  <c r="AM41" i="15" s="1"/>
  <c r="AL41" i="15" s="1"/>
  <c r="C41" i="15" s="1"/>
  <c r="D41" i="15" s="1"/>
  <c r="F41" i="15" s="1"/>
  <c r="E41" i="15" s="1"/>
  <c r="AA117" i="18"/>
  <c r="AD116" i="18"/>
  <c r="AA117" i="17"/>
  <c r="AD116" i="17"/>
  <c r="AA114" i="15"/>
  <c r="AD113" i="15"/>
  <c r="B109" i="13"/>
  <c r="A110" i="13"/>
  <c r="W115" i="13"/>
  <c r="X114" i="13"/>
  <c r="Y114" i="13" s="1"/>
  <c r="Z114" i="13" s="1"/>
  <c r="AA114" i="13" s="1"/>
  <c r="E91" i="20" l="1"/>
  <c r="G91" i="20" s="1"/>
  <c r="BG92" i="20"/>
  <c r="C92" i="20"/>
  <c r="D92" i="20" s="1"/>
  <c r="F92" i="20" s="1"/>
  <c r="AO43" i="15"/>
  <c r="BB42" i="15"/>
  <c r="D61" i="13"/>
  <c r="C61" i="13" s="1"/>
  <c r="AA120" i="24"/>
  <c r="AD119" i="24"/>
  <c r="E44" i="22"/>
  <c r="C45" i="22" s="1"/>
  <c r="D45" i="22" s="1"/>
  <c r="F45" i="22" s="1"/>
  <c r="AM44" i="22"/>
  <c r="AA118" i="22"/>
  <c r="AD117" i="22"/>
  <c r="A175" i="17"/>
  <c r="B174" i="17"/>
  <c r="G71" i="17"/>
  <c r="AP74" i="17"/>
  <c r="AR83" i="17"/>
  <c r="AM83" i="17" s="1"/>
  <c r="AL72" i="17"/>
  <c r="C72" i="17" s="1"/>
  <c r="D72" i="17" s="1"/>
  <c r="F72" i="17" s="1"/>
  <c r="E72" i="17" s="1"/>
  <c r="AQ77" i="17"/>
  <c r="AO73" i="17"/>
  <c r="AN72" i="17"/>
  <c r="B109" i="15"/>
  <c r="A110" i="15"/>
  <c r="AN42" i="15"/>
  <c r="AM42" i="15" s="1"/>
  <c r="AL42" i="15" s="1"/>
  <c r="C42" i="15" s="1"/>
  <c r="D42" i="15" s="1"/>
  <c r="F42" i="15" s="1"/>
  <c r="E42" i="15" s="1"/>
  <c r="G41" i="15"/>
  <c r="AQ47" i="15"/>
  <c r="AP44" i="15"/>
  <c r="AA118" i="18"/>
  <c r="AD117" i="18"/>
  <c r="AM84" i="17"/>
  <c r="AD117" i="17"/>
  <c r="AA118" i="17"/>
  <c r="AA115" i="15"/>
  <c r="AD114" i="15"/>
  <c r="B110" i="13"/>
  <c r="A111" i="13"/>
  <c r="W116" i="13"/>
  <c r="X115" i="13"/>
  <c r="Y115" i="13" s="1"/>
  <c r="Z115" i="13" s="1"/>
  <c r="AA115" i="13" s="1"/>
  <c r="E92" i="20" l="1"/>
  <c r="G92" i="20" s="1"/>
  <c r="BG93" i="20"/>
  <c r="C94" i="20" s="1"/>
  <c r="D94" i="20" s="1"/>
  <c r="F94" i="20" s="1"/>
  <c r="E94" i="20" s="1"/>
  <c r="G94" i="20" s="1"/>
  <c r="C93" i="20"/>
  <c r="D93" i="20" s="1"/>
  <c r="F93" i="20" s="1"/>
  <c r="G42" i="15"/>
  <c r="BB43" i="15"/>
  <c r="E61" i="13"/>
  <c r="G61" i="13" s="1"/>
  <c r="F61" i="13" s="1"/>
  <c r="AA121" i="24"/>
  <c r="AD120" i="24"/>
  <c r="E45" i="22"/>
  <c r="C46" i="22" s="1"/>
  <c r="D46" i="22" s="1"/>
  <c r="F46" i="22" s="1"/>
  <c r="AM45" i="22"/>
  <c r="AA119" i="22"/>
  <c r="AD118" i="22"/>
  <c r="B175" i="17"/>
  <c r="A176" i="17"/>
  <c r="G72" i="17"/>
  <c r="AN73" i="17"/>
  <c r="AL73" i="17"/>
  <c r="C73" i="17" s="1"/>
  <c r="D73" i="17" s="1"/>
  <c r="F73" i="17" s="1"/>
  <c r="E73" i="17" s="1"/>
  <c r="A111" i="15"/>
  <c r="B110" i="15"/>
  <c r="AN43" i="15"/>
  <c r="AM43" i="15" s="1"/>
  <c r="AL43" i="15" s="1"/>
  <c r="C43" i="15" s="1"/>
  <c r="D43" i="15" s="1"/>
  <c r="F43" i="15" s="1"/>
  <c r="E43" i="15" s="1"/>
  <c r="BB44" i="15" s="1"/>
  <c r="AA119" i="18"/>
  <c r="AD118" i="18"/>
  <c r="AA119" i="17"/>
  <c r="AD118" i="17"/>
  <c r="AA116" i="15"/>
  <c r="AD115" i="15"/>
  <c r="B111" i="13"/>
  <c r="A112" i="13"/>
  <c r="W117" i="13"/>
  <c r="X116" i="13"/>
  <c r="Y116" i="13" s="1"/>
  <c r="Z116" i="13" s="1"/>
  <c r="AA116" i="13" s="1"/>
  <c r="E93" i="20" l="1"/>
  <c r="G93" i="20" s="1"/>
  <c r="D62" i="13"/>
  <c r="C62" i="13" s="1"/>
  <c r="AA122" i="24"/>
  <c r="AD121" i="24"/>
  <c r="E46" i="22"/>
  <c r="C47" i="22" s="1"/>
  <c r="AM46" i="22"/>
  <c r="AA120" i="22"/>
  <c r="AD119" i="22"/>
  <c r="B176" i="17"/>
  <c r="A177" i="17"/>
  <c r="G73" i="17"/>
  <c r="AN74" i="17"/>
  <c r="AO75" i="17"/>
  <c r="AL74" i="17"/>
  <c r="C74" i="17" s="1"/>
  <c r="D74" i="17" s="1"/>
  <c r="F74" i="17" s="1"/>
  <c r="E74" i="17" s="1"/>
  <c r="B111" i="15"/>
  <c r="A112" i="15"/>
  <c r="G43" i="15"/>
  <c r="AN44" i="15"/>
  <c r="AM44" i="15" s="1"/>
  <c r="AL44" i="15" s="1"/>
  <c r="C44" i="15" s="1"/>
  <c r="D44" i="15" s="1"/>
  <c r="F44" i="15" s="1"/>
  <c r="E44" i="15" s="1"/>
  <c r="AO45" i="15"/>
  <c r="AA120" i="18"/>
  <c r="AD119" i="18"/>
  <c r="AD119" i="17"/>
  <c r="AA120" i="17"/>
  <c r="AA117" i="15"/>
  <c r="AD116" i="15"/>
  <c r="W118" i="13"/>
  <c r="X117" i="13"/>
  <c r="Y117" i="13" s="1"/>
  <c r="Z117" i="13" s="1"/>
  <c r="AA117" i="13" s="1"/>
  <c r="B112" i="13"/>
  <c r="A113" i="13"/>
  <c r="G44" i="15" l="1"/>
  <c r="BB45" i="15"/>
  <c r="E62" i="13"/>
  <c r="G62" i="13" s="1"/>
  <c r="F62" i="13" s="1"/>
  <c r="AA123" i="24"/>
  <c r="AD122" i="24"/>
  <c r="D47" i="22"/>
  <c r="AA121" i="22"/>
  <c r="AD120" i="22"/>
  <c r="A178" i="17"/>
  <c r="B177" i="17"/>
  <c r="G74" i="17"/>
  <c r="AL75" i="17"/>
  <c r="C75" i="17" s="1"/>
  <c r="D75" i="17" s="1"/>
  <c r="F75" i="17" s="1"/>
  <c r="E75" i="17" s="1"/>
  <c r="AN75" i="17"/>
  <c r="AP77" i="17"/>
  <c r="A113" i="15"/>
  <c r="B112" i="15"/>
  <c r="AP47" i="15"/>
  <c r="AN45" i="15"/>
  <c r="AM45" i="15" s="1"/>
  <c r="AL45" i="15" s="1"/>
  <c r="C45" i="15" s="1"/>
  <c r="D45" i="15" s="1"/>
  <c r="F45" i="15" s="1"/>
  <c r="E45" i="15" s="1"/>
  <c r="AA121" i="18"/>
  <c r="AD120" i="18"/>
  <c r="AA121" i="17"/>
  <c r="AD120" i="17"/>
  <c r="AA118" i="15"/>
  <c r="AD117" i="15"/>
  <c r="B113" i="13"/>
  <c r="A114" i="13"/>
  <c r="W119" i="13"/>
  <c r="X118" i="13"/>
  <c r="Y118" i="13" s="1"/>
  <c r="Z118" i="13" s="1"/>
  <c r="AA118" i="13" s="1"/>
  <c r="AN46" i="15" l="1"/>
  <c r="AM46" i="15" s="1"/>
  <c r="AL46" i="15" s="1"/>
  <c r="C46" i="15" s="1"/>
  <c r="D46" i="15" s="1"/>
  <c r="F46" i="15" s="1"/>
  <c r="E46" i="15" s="1"/>
  <c r="BB47" i="15" s="1"/>
  <c r="BB46" i="15"/>
  <c r="D63" i="13"/>
  <c r="C63" i="13" s="1"/>
  <c r="AA124" i="24"/>
  <c r="AD123" i="24"/>
  <c r="F47" i="22"/>
  <c r="AA122" i="22"/>
  <c r="AD121" i="22"/>
  <c r="A179" i="17"/>
  <c r="B178" i="17"/>
  <c r="G75" i="17"/>
  <c r="AO77" i="17"/>
  <c r="AL76" i="17"/>
  <c r="C76" i="17" s="1"/>
  <c r="D76" i="17" s="1"/>
  <c r="F76" i="17" s="1"/>
  <c r="E76" i="17" s="1"/>
  <c r="AN76" i="17"/>
  <c r="A114" i="15"/>
  <c r="B113" i="15"/>
  <c r="G45" i="15"/>
  <c r="AO47" i="15"/>
  <c r="AA122" i="18"/>
  <c r="AD121" i="18"/>
  <c r="AD121" i="17"/>
  <c r="AA122" i="17"/>
  <c r="AA119" i="15"/>
  <c r="AD118" i="15"/>
  <c r="B114" i="13"/>
  <c r="A115" i="13"/>
  <c r="W120" i="13"/>
  <c r="X119" i="13"/>
  <c r="Y119" i="13" s="1"/>
  <c r="Z119" i="13" s="1"/>
  <c r="AA119" i="13" s="1"/>
  <c r="AN47" i="15" l="1"/>
  <c r="AM47" i="15" s="1"/>
  <c r="G46" i="15"/>
  <c r="E63" i="13"/>
  <c r="G63" i="13" s="1"/>
  <c r="F63" i="13" s="1"/>
  <c r="AA125" i="24"/>
  <c r="AD124" i="24"/>
  <c r="AO47" i="22"/>
  <c r="AN47" i="22"/>
  <c r="E47" i="22"/>
  <c r="C48" i="22" s="1"/>
  <c r="AM47" i="22"/>
  <c r="AM20" i="22" s="1"/>
  <c r="AA123" i="22"/>
  <c r="AD122" i="22"/>
  <c r="B179" i="17"/>
  <c r="A180" i="17"/>
  <c r="G76" i="17"/>
  <c r="AL77" i="17"/>
  <c r="C77" i="17" s="1"/>
  <c r="D77" i="17" s="1"/>
  <c r="F77" i="17" s="1"/>
  <c r="E77" i="17" s="1"/>
  <c r="AN77" i="17"/>
  <c r="A115" i="15"/>
  <c r="B114" i="15"/>
  <c r="AL47" i="15"/>
  <c r="C47" i="15" s="1"/>
  <c r="D47" i="15" s="1"/>
  <c r="F47" i="15" s="1"/>
  <c r="E47" i="15" s="1"/>
  <c r="BB48" i="15" s="1"/>
  <c r="AA123" i="18"/>
  <c r="AD122" i="18"/>
  <c r="AA123" i="17"/>
  <c r="AD122" i="17"/>
  <c r="AD119" i="15"/>
  <c r="AA120" i="15"/>
  <c r="W121" i="13"/>
  <c r="X120" i="13"/>
  <c r="Y120" i="13" s="1"/>
  <c r="Z120" i="13" s="1"/>
  <c r="AA120" i="13" s="1"/>
  <c r="B115" i="13"/>
  <c r="A116" i="13"/>
  <c r="D64" i="13" l="1"/>
  <c r="C64" i="13" s="1"/>
  <c r="AA126" i="24"/>
  <c r="AD125" i="24"/>
  <c r="D48" i="22"/>
  <c r="AA124" i="22"/>
  <c r="AD123" i="22"/>
  <c r="B180" i="17"/>
  <c r="A181" i="17"/>
  <c r="G77" i="17"/>
  <c r="AL78" i="17"/>
  <c r="C78" i="17" s="1"/>
  <c r="D78" i="17" s="1"/>
  <c r="F78" i="17" s="1"/>
  <c r="E78" i="17" s="1"/>
  <c r="AP80" i="17"/>
  <c r="AQ83" i="17"/>
  <c r="AO79" i="17"/>
  <c r="AN78" i="17"/>
  <c r="B115" i="15"/>
  <c r="A116" i="15"/>
  <c r="AQ53" i="15"/>
  <c r="AR59" i="15"/>
  <c r="AO49" i="15"/>
  <c r="AN48" i="15"/>
  <c r="AM48" i="15" s="1"/>
  <c r="G47" i="15"/>
  <c r="AP50" i="15"/>
  <c r="AA124" i="18"/>
  <c r="AD123" i="18"/>
  <c r="AD123" i="17"/>
  <c r="AA124" i="17"/>
  <c r="AD120" i="15"/>
  <c r="AA121" i="15"/>
  <c r="B116" i="13"/>
  <c r="A117" i="13"/>
  <c r="W122" i="13"/>
  <c r="X121" i="13"/>
  <c r="Y121" i="13" s="1"/>
  <c r="Z121" i="13" s="1"/>
  <c r="AA121" i="13" s="1"/>
  <c r="E64" i="13" l="1"/>
  <c r="G64" i="13" s="1"/>
  <c r="F64" i="13" s="1"/>
  <c r="AA127" i="24"/>
  <c r="AD126" i="24"/>
  <c r="F48" i="22"/>
  <c r="AA125" i="22"/>
  <c r="AD124" i="22"/>
  <c r="A182" i="17"/>
  <c r="B181" i="17"/>
  <c r="G78" i="17"/>
  <c r="AN79" i="17"/>
  <c r="AL79" i="17"/>
  <c r="C79" i="17" s="1"/>
  <c r="D79" i="17" s="1"/>
  <c r="F79" i="17" s="1"/>
  <c r="E79" i="17" s="1"/>
  <c r="B116" i="15"/>
  <c r="A117" i="15"/>
  <c r="AL48" i="15"/>
  <c r="C48" i="15" s="1"/>
  <c r="D48" i="15" s="1"/>
  <c r="F48" i="15" s="1"/>
  <c r="E48" i="15" s="1"/>
  <c r="AA125" i="18"/>
  <c r="AD124" i="18"/>
  <c r="AA125" i="17"/>
  <c r="AD124" i="17"/>
  <c r="AA122" i="15"/>
  <c r="AD121" i="15"/>
  <c r="B117" i="13"/>
  <c r="A118" i="13"/>
  <c r="W123" i="13"/>
  <c r="X122" i="13"/>
  <c r="Y122" i="13" s="1"/>
  <c r="Z122" i="13" s="1"/>
  <c r="AA122" i="13" s="1"/>
  <c r="G48" i="15" l="1"/>
  <c r="BB49" i="15"/>
  <c r="D65" i="13"/>
  <c r="C65" i="13" s="1"/>
  <c r="AA128" i="24"/>
  <c r="AD127" i="24"/>
  <c r="E48" i="22"/>
  <c r="C49" i="22" s="1"/>
  <c r="AA126" i="22"/>
  <c r="AD125" i="22"/>
  <c r="A183" i="17"/>
  <c r="B182" i="17"/>
  <c r="G79" i="17"/>
  <c r="AL80" i="17"/>
  <c r="C80" i="17" s="1"/>
  <c r="D80" i="17" s="1"/>
  <c r="F80" i="17" s="1"/>
  <c r="E80" i="17" s="1"/>
  <c r="AO81" i="17"/>
  <c r="AN80" i="17"/>
  <c r="A118" i="15"/>
  <c r="B117" i="15"/>
  <c r="AN49" i="15"/>
  <c r="AM49" i="15" s="1"/>
  <c r="AA126" i="18"/>
  <c r="AD125" i="18"/>
  <c r="AD125" i="17"/>
  <c r="AA126" i="17"/>
  <c r="AA123" i="15"/>
  <c r="AD122" i="15"/>
  <c r="W124" i="13"/>
  <c r="X123" i="13"/>
  <c r="Y123" i="13" s="1"/>
  <c r="Z123" i="13" s="1"/>
  <c r="AA123" i="13" s="1"/>
  <c r="B118" i="13"/>
  <c r="A119" i="13"/>
  <c r="E65" i="13" l="1"/>
  <c r="G65" i="13" s="1"/>
  <c r="F65" i="13" s="1"/>
  <c r="AA129" i="24"/>
  <c r="AD128" i="24"/>
  <c r="D49" i="22"/>
  <c r="AA127" i="22"/>
  <c r="AD126" i="22"/>
  <c r="B183" i="17"/>
  <c r="A184" i="17"/>
  <c r="G80" i="17"/>
  <c r="AL81" i="17"/>
  <c r="C81" i="17" s="1"/>
  <c r="D81" i="17" s="1"/>
  <c r="F81" i="17" s="1"/>
  <c r="E81" i="17" s="1"/>
  <c r="AP83" i="17"/>
  <c r="AN81" i="17"/>
  <c r="B118" i="15"/>
  <c r="A119" i="15"/>
  <c r="AL49" i="15"/>
  <c r="C49" i="15" s="1"/>
  <c r="D49" i="15" s="1"/>
  <c r="F49" i="15" s="1"/>
  <c r="E49" i="15" s="1"/>
  <c r="AA127" i="18"/>
  <c r="AD126" i="18"/>
  <c r="AA127" i="17"/>
  <c r="AD126" i="17"/>
  <c r="AD123" i="15"/>
  <c r="AA124" i="15"/>
  <c r="B119" i="13"/>
  <c r="A120" i="13"/>
  <c r="W125" i="13"/>
  <c r="X124" i="13"/>
  <c r="Y124" i="13" s="1"/>
  <c r="Z124" i="13" s="1"/>
  <c r="AA124" i="13" s="1"/>
  <c r="AO51" i="15" l="1"/>
  <c r="BB50" i="15"/>
  <c r="D66" i="13"/>
  <c r="C66" i="13" s="1"/>
  <c r="AA130" i="24"/>
  <c r="AD129" i="24"/>
  <c r="F49" i="22"/>
  <c r="AA128" i="22"/>
  <c r="AD127" i="22"/>
  <c r="B184" i="17"/>
  <c r="A185" i="17"/>
  <c r="G81" i="17"/>
  <c r="AO83" i="17"/>
  <c r="AN82" i="17"/>
  <c r="AL82" i="17"/>
  <c r="C82" i="17" s="1"/>
  <c r="D82" i="17" s="1"/>
  <c r="F82" i="17" s="1"/>
  <c r="E82" i="17" s="1"/>
  <c r="B119" i="15"/>
  <c r="A120" i="15"/>
  <c r="G49" i="15"/>
  <c r="AN50" i="15"/>
  <c r="AM50" i="15" s="1"/>
  <c r="AL50" i="15"/>
  <c r="C50" i="15" s="1"/>
  <c r="D50" i="15" s="1"/>
  <c r="F50" i="15" s="1"/>
  <c r="E50" i="15" s="1"/>
  <c r="BB51" i="15" s="1"/>
  <c r="AA128" i="18"/>
  <c r="AD127" i="18"/>
  <c r="AA128" i="17"/>
  <c r="AD127" i="17"/>
  <c r="AD124" i="15"/>
  <c r="AA125" i="15"/>
  <c r="B120" i="13"/>
  <c r="A121" i="13"/>
  <c r="W126" i="13"/>
  <c r="X125" i="13"/>
  <c r="Y125" i="13" s="1"/>
  <c r="Z125" i="13" s="1"/>
  <c r="AA125" i="13" s="1"/>
  <c r="E66" i="13" l="1"/>
  <c r="AA131" i="24"/>
  <c r="AD130" i="24"/>
  <c r="E49" i="22"/>
  <c r="C50" i="22" s="1"/>
  <c r="AA129" i="22"/>
  <c r="AD128" i="22"/>
  <c r="A186" i="17"/>
  <c r="B185" i="17"/>
  <c r="G82" i="17"/>
  <c r="AN83" i="17"/>
  <c r="AL83" i="17"/>
  <c r="C83" i="17" s="1"/>
  <c r="D83" i="17" s="1"/>
  <c r="F83" i="17" s="1"/>
  <c r="E83" i="17" s="1"/>
  <c r="B120" i="15"/>
  <c r="A121" i="15"/>
  <c r="G50" i="15"/>
  <c r="AN51" i="15"/>
  <c r="AM51" i="15" s="1"/>
  <c r="AP53" i="15"/>
  <c r="AA129" i="18"/>
  <c r="AD128" i="18"/>
  <c r="AA129" i="17"/>
  <c r="AD128" i="17"/>
  <c r="AD125" i="15"/>
  <c r="AA126" i="15"/>
  <c r="G66" i="13"/>
  <c r="F66" i="13" s="1"/>
  <c r="W127" i="13"/>
  <c r="X126" i="13"/>
  <c r="Y126" i="13" s="1"/>
  <c r="Z126" i="13" s="1"/>
  <c r="AA126" i="13" s="1"/>
  <c r="B121" i="13"/>
  <c r="A122" i="13"/>
  <c r="D67" i="13" l="1"/>
  <c r="C67" i="13" s="1"/>
  <c r="AA132" i="24"/>
  <c r="AD131" i="24"/>
  <c r="D50" i="22"/>
  <c r="AA130" i="22"/>
  <c r="AD129" i="22"/>
  <c r="A187" i="17"/>
  <c r="B186" i="17"/>
  <c r="G83" i="17"/>
  <c r="AP86" i="17"/>
  <c r="AM86" i="17" s="1"/>
  <c r="AL84" i="17"/>
  <c r="C84" i="17" s="1"/>
  <c r="D84" i="17" s="1"/>
  <c r="F84" i="17" s="1"/>
  <c r="E84" i="17" s="1"/>
  <c r="AR95" i="17"/>
  <c r="AM95" i="17" s="1"/>
  <c r="AQ89" i="17"/>
  <c r="AM89" i="17" s="1"/>
  <c r="AO85" i="17"/>
  <c r="AM85" i="17" s="1"/>
  <c r="AN84" i="17"/>
  <c r="A122" i="15"/>
  <c r="B121" i="15"/>
  <c r="AL51" i="15"/>
  <c r="C51" i="15" s="1"/>
  <c r="D51" i="15" s="1"/>
  <c r="F51" i="15" s="1"/>
  <c r="E51" i="15" s="1"/>
  <c r="BB52" i="15" s="1"/>
  <c r="AA130" i="18"/>
  <c r="AD129" i="18"/>
  <c r="AD129" i="17"/>
  <c r="AA130" i="17"/>
  <c r="AA127" i="15"/>
  <c r="AD126" i="15"/>
  <c r="E67" i="13"/>
  <c r="B122" i="13"/>
  <c r="A123" i="13"/>
  <c r="W128" i="13"/>
  <c r="X127" i="13"/>
  <c r="Y127" i="13" s="1"/>
  <c r="Z127" i="13" s="1"/>
  <c r="AA127" i="13" s="1"/>
  <c r="AA133" i="24" l="1"/>
  <c r="AD132" i="24"/>
  <c r="F50" i="22"/>
  <c r="AA131" i="22"/>
  <c r="AD130" i="22"/>
  <c r="B187" i="17"/>
  <c r="A188" i="17"/>
  <c r="G84" i="17"/>
  <c r="AN85" i="17"/>
  <c r="AL85" i="17"/>
  <c r="C85" i="17" s="1"/>
  <c r="A123" i="15"/>
  <c r="B122" i="15"/>
  <c r="AO53" i="15"/>
  <c r="G51" i="15"/>
  <c r="AN52" i="15"/>
  <c r="AM52" i="15" s="1"/>
  <c r="AA131" i="18"/>
  <c r="AD130" i="18"/>
  <c r="AA131" i="17"/>
  <c r="AD130" i="17"/>
  <c r="AA128" i="15"/>
  <c r="AD127" i="15"/>
  <c r="G67" i="13"/>
  <c r="F67" i="13" s="1"/>
  <c r="B123" i="13"/>
  <c r="A124" i="13"/>
  <c r="W129" i="13"/>
  <c r="X128" i="13"/>
  <c r="Y128" i="13" s="1"/>
  <c r="Z128" i="13" s="1"/>
  <c r="AA128" i="13" s="1"/>
  <c r="D68" i="13" l="1"/>
  <c r="C68" i="13" s="1"/>
  <c r="AA134" i="24"/>
  <c r="AD133" i="24"/>
  <c r="E50" i="22"/>
  <c r="C51" i="22" s="1"/>
  <c r="AA132" i="22"/>
  <c r="AD131" i="22"/>
  <c r="B188" i="17"/>
  <c r="A189" i="17"/>
  <c r="D85" i="17"/>
  <c r="F85" i="17" s="1"/>
  <c r="E85" i="17" s="1"/>
  <c r="B123" i="15"/>
  <c r="A124" i="15"/>
  <c r="AL52" i="15"/>
  <c r="C52" i="15" s="1"/>
  <c r="D52" i="15" s="1"/>
  <c r="F52" i="15" s="1"/>
  <c r="E52" i="15" s="1"/>
  <c r="BB53" i="15" s="1"/>
  <c r="AA132" i="18"/>
  <c r="AD131" i="18"/>
  <c r="AD131" i="17"/>
  <c r="AA132" i="17"/>
  <c r="AA129" i="15"/>
  <c r="AD128" i="15"/>
  <c r="W130" i="13"/>
  <c r="X129" i="13"/>
  <c r="Y129" i="13" s="1"/>
  <c r="Z129" i="13" s="1"/>
  <c r="AA129" i="13" s="1"/>
  <c r="B124" i="13"/>
  <c r="A125" i="13"/>
  <c r="E68" i="13" l="1"/>
  <c r="G68" i="13" s="1"/>
  <c r="F68" i="13" s="1"/>
  <c r="AA135" i="24"/>
  <c r="AD134" i="24"/>
  <c r="D51" i="22"/>
  <c r="AA133" i="22"/>
  <c r="AD132" i="22"/>
  <c r="A190" i="17"/>
  <c r="B189" i="17"/>
  <c r="G85" i="17"/>
  <c r="AN86" i="17"/>
  <c r="AO87" i="17"/>
  <c r="AL86" i="17"/>
  <c r="C86" i="17" s="1"/>
  <c r="B124" i="15"/>
  <c r="A125" i="15"/>
  <c r="AN53" i="15"/>
  <c r="AM53" i="15" s="1"/>
  <c r="G52" i="15"/>
  <c r="AA133" i="18"/>
  <c r="AD132" i="18"/>
  <c r="AA133" i="17"/>
  <c r="AD132" i="17"/>
  <c r="AD129" i="15"/>
  <c r="AA130" i="15"/>
  <c r="B125" i="13"/>
  <c r="A126" i="13"/>
  <c r="W131" i="13"/>
  <c r="X130" i="13"/>
  <c r="Y130" i="13" s="1"/>
  <c r="Z130" i="13" s="1"/>
  <c r="AA130" i="13" s="1"/>
  <c r="D69" i="13" l="1"/>
  <c r="C69" i="13" s="1"/>
  <c r="AA136" i="24"/>
  <c r="AD135" i="24"/>
  <c r="F51" i="22"/>
  <c r="AA134" i="22"/>
  <c r="AD133" i="22"/>
  <c r="B190" i="17"/>
  <c r="A191" i="17"/>
  <c r="D86" i="17"/>
  <c r="B125" i="15"/>
  <c r="A126" i="15"/>
  <c r="AL53" i="15"/>
  <c r="C53" i="15" s="1"/>
  <c r="D53" i="15" s="1"/>
  <c r="F53" i="15" s="1"/>
  <c r="E53" i="15" s="1"/>
  <c r="BB54" i="15" s="1"/>
  <c r="AA134" i="18"/>
  <c r="AD133" i="18"/>
  <c r="AD133" i="17"/>
  <c r="AA134" i="17"/>
  <c r="AD130" i="15"/>
  <c r="AA131" i="15"/>
  <c r="B126" i="13"/>
  <c r="A127" i="13"/>
  <c r="W132" i="13"/>
  <c r="X131" i="13"/>
  <c r="Y131" i="13" s="1"/>
  <c r="Z131" i="13" s="1"/>
  <c r="AA131" i="13" s="1"/>
  <c r="E69" i="13" l="1"/>
  <c r="G69" i="13" s="1"/>
  <c r="F69" i="13" s="1"/>
  <c r="AA137" i="24"/>
  <c r="AD136" i="24"/>
  <c r="E51" i="22"/>
  <c r="C52" i="22" s="1"/>
  <c r="AA135" i="22"/>
  <c r="AD134" i="22"/>
  <c r="B191" i="17"/>
  <c r="A192" i="17"/>
  <c r="F86" i="17"/>
  <c r="E86" i="17" s="1"/>
  <c r="AL87" i="17" s="1"/>
  <c r="C87" i="17" s="1"/>
  <c r="D87" i="17" s="1"/>
  <c r="F87" i="17" s="1"/>
  <c r="E87" i="17" s="1"/>
  <c r="A127" i="15"/>
  <c r="B126" i="15"/>
  <c r="AQ59" i="15"/>
  <c r="AN54" i="15"/>
  <c r="AM54" i="15" s="1"/>
  <c r="G53" i="15"/>
  <c r="AO55" i="15"/>
  <c r="AP56" i="15"/>
  <c r="AA135" i="18"/>
  <c r="AD134" i="18"/>
  <c r="AA135" i="17"/>
  <c r="AD134" i="17"/>
  <c r="AA132" i="15"/>
  <c r="AD131" i="15"/>
  <c r="W133" i="13"/>
  <c r="X132" i="13"/>
  <c r="Y132" i="13" s="1"/>
  <c r="Z132" i="13" s="1"/>
  <c r="AA132" i="13" s="1"/>
  <c r="B127" i="13"/>
  <c r="A128" i="13"/>
  <c r="AN88" i="17" l="1"/>
  <c r="AM88" i="17" s="1"/>
  <c r="AL88" i="17" s="1"/>
  <c r="C88" i="17" s="1"/>
  <c r="D88" i="17" s="1"/>
  <c r="F88" i="17" s="1"/>
  <c r="E88" i="17" s="1"/>
  <c r="G87" i="17"/>
  <c r="AO89" i="17"/>
  <c r="D70" i="13"/>
  <c r="C70" i="13" s="1"/>
  <c r="AA138" i="24"/>
  <c r="AD137" i="24"/>
  <c r="D52" i="22"/>
  <c r="AA136" i="22"/>
  <c r="AD135" i="22"/>
  <c r="B192" i="17"/>
  <c r="A193" i="17"/>
  <c r="AN87" i="17"/>
  <c r="G86" i="17"/>
  <c r="AP89" i="17"/>
  <c r="A128" i="15"/>
  <c r="B127" i="15"/>
  <c r="AL54" i="15"/>
  <c r="C54" i="15" s="1"/>
  <c r="D54" i="15" s="1"/>
  <c r="F54" i="15" s="1"/>
  <c r="E54" i="15" s="1"/>
  <c r="BB55" i="15" s="1"/>
  <c r="AA136" i="18"/>
  <c r="AD135" i="18"/>
  <c r="AA136" i="17"/>
  <c r="AD135" i="17"/>
  <c r="AA133" i="15"/>
  <c r="AD132" i="15"/>
  <c r="B128" i="13"/>
  <c r="A129" i="13"/>
  <c r="X133" i="13"/>
  <c r="Y133" i="13" s="1"/>
  <c r="Z133" i="13" s="1"/>
  <c r="AA133" i="13" s="1"/>
  <c r="W134" i="13"/>
  <c r="E70" i="13" l="1"/>
  <c r="G70" i="13" s="1"/>
  <c r="F70" i="13" s="1"/>
  <c r="G88" i="17"/>
  <c r="AN89" i="17"/>
  <c r="AL89" i="17"/>
  <c r="C89" i="17" s="1"/>
  <c r="D89" i="17" s="1"/>
  <c r="F89" i="17" s="1"/>
  <c r="E89" i="17" s="1"/>
  <c r="AA139" i="24"/>
  <c r="AD138" i="24"/>
  <c r="F52" i="22"/>
  <c r="AA137" i="22"/>
  <c r="AD136" i="22"/>
  <c r="A194" i="17"/>
  <c r="B193" i="17"/>
  <c r="B128" i="15"/>
  <c r="A129" i="15"/>
  <c r="AN55" i="15"/>
  <c r="AM55" i="15" s="1"/>
  <c r="G54" i="15"/>
  <c r="AA137" i="18"/>
  <c r="AD136" i="18"/>
  <c r="AA137" i="17"/>
  <c r="AD136" i="17"/>
  <c r="AA134" i="15"/>
  <c r="AD133" i="15"/>
  <c r="B129" i="13"/>
  <c r="A130" i="13"/>
  <c r="X134" i="13"/>
  <c r="Y134" i="13" s="1"/>
  <c r="Z134" i="13" s="1"/>
  <c r="AA134" i="13" s="1"/>
  <c r="W135" i="13"/>
  <c r="AO91" i="17" l="1"/>
  <c r="AQ95" i="17"/>
  <c r="G89" i="17"/>
  <c r="AN90" i="17"/>
  <c r="AM90" i="17" s="1"/>
  <c r="AL90" i="17" s="1"/>
  <c r="C90" i="17" s="1"/>
  <c r="D90" i="17" s="1"/>
  <c r="F90" i="17" s="1"/>
  <c r="E90" i="17" s="1"/>
  <c r="AP92" i="17"/>
  <c r="D71" i="13"/>
  <c r="C71" i="13" s="1"/>
  <c r="AA140" i="24"/>
  <c r="AD139" i="24"/>
  <c r="E52" i="22"/>
  <c r="C53" i="22" s="1"/>
  <c r="D53" i="22" s="1"/>
  <c r="F53" i="22" s="1"/>
  <c r="E53" i="22" s="1"/>
  <c r="C54" i="22" s="1"/>
  <c r="D54" i="22" s="1"/>
  <c r="F54" i="22" s="1"/>
  <c r="E54" i="22" s="1"/>
  <c r="C55" i="22" s="1"/>
  <c r="D55" i="22" s="1"/>
  <c r="F55" i="22" s="1"/>
  <c r="E55" i="22" s="1"/>
  <c r="C56" i="22" s="1"/>
  <c r="D56" i="22" s="1"/>
  <c r="F56" i="22" s="1"/>
  <c r="E56" i="22" s="1"/>
  <c r="C57" i="22" s="1"/>
  <c r="D57" i="22" s="1"/>
  <c r="F57" i="22" s="1"/>
  <c r="E57" i="22" s="1"/>
  <c r="C58" i="22" s="1"/>
  <c r="D58" i="22" s="1"/>
  <c r="F58" i="22" s="1"/>
  <c r="E58" i="22" s="1"/>
  <c r="C59" i="22" s="1"/>
  <c r="AA138" i="22"/>
  <c r="AD137" i="22"/>
  <c r="B194" i="17"/>
  <c r="A195" i="17"/>
  <c r="A130" i="15"/>
  <c r="B129" i="15"/>
  <c r="AL55" i="15"/>
  <c r="C55" i="15" s="1"/>
  <c r="D55" i="15" s="1"/>
  <c r="F55" i="15" s="1"/>
  <c r="E55" i="15" s="1"/>
  <c r="BB56" i="15" s="1"/>
  <c r="AA138" i="18"/>
  <c r="AD137" i="18"/>
  <c r="AD137" i="17"/>
  <c r="AA138" i="17"/>
  <c r="AA135" i="15"/>
  <c r="AD134" i="15"/>
  <c r="X135" i="13"/>
  <c r="Y135" i="13" s="1"/>
  <c r="Z135" i="13" s="1"/>
  <c r="AA135" i="13" s="1"/>
  <c r="W136" i="13"/>
  <c r="B130" i="13"/>
  <c r="A131" i="13"/>
  <c r="E71" i="13" l="1"/>
  <c r="G71" i="13" s="1"/>
  <c r="F71" i="13" s="1"/>
  <c r="G90" i="17"/>
  <c r="AN91" i="17"/>
  <c r="AM91" i="17" s="1"/>
  <c r="AL91" i="17" s="1"/>
  <c r="C91" i="17" s="1"/>
  <c r="D91" i="17" s="1"/>
  <c r="F91" i="17" s="1"/>
  <c r="E91" i="17" s="1"/>
  <c r="AA141" i="24"/>
  <c r="AD140" i="24"/>
  <c r="D59" i="22"/>
  <c r="C22" i="22"/>
  <c r="AD138" i="22"/>
  <c r="AA139" i="22"/>
  <c r="B195" i="17"/>
  <c r="A196" i="17"/>
  <c r="A131" i="15"/>
  <c r="B130" i="15"/>
  <c r="G55" i="15"/>
  <c r="AN56" i="15"/>
  <c r="AM56" i="15" s="1"/>
  <c r="AO57" i="15"/>
  <c r="AA139" i="18"/>
  <c r="AD138" i="18"/>
  <c r="AA139" i="17"/>
  <c r="AD138" i="17"/>
  <c r="AA136" i="15"/>
  <c r="AD135" i="15"/>
  <c r="B131" i="13"/>
  <c r="A132" i="13"/>
  <c r="X136" i="13"/>
  <c r="Y136" i="13" s="1"/>
  <c r="Z136" i="13" s="1"/>
  <c r="AA136" i="13" s="1"/>
  <c r="W137" i="13"/>
  <c r="AO93" i="17" l="1"/>
  <c r="G91" i="17"/>
  <c r="AN92" i="17"/>
  <c r="AM92" i="17" s="1"/>
  <c r="AL92" i="17" s="1"/>
  <c r="C92" i="17" s="1"/>
  <c r="D92" i="17" s="1"/>
  <c r="F92" i="17" s="1"/>
  <c r="E92" i="17" s="1"/>
  <c r="D72" i="13"/>
  <c r="C72" i="13" s="1"/>
  <c r="AA142" i="24"/>
  <c r="AD141" i="24"/>
  <c r="F59" i="22"/>
  <c r="D22" i="22"/>
  <c r="AA140" i="22"/>
  <c r="AD139" i="22"/>
  <c r="B196" i="17"/>
  <c r="A197" i="17"/>
  <c r="B131" i="15"/>
  <c r="A132" i="15"/>
  <c r="AL56" i="15"/>
  <c r="C56" i="15" s="1"/>
  <c r="D56" i="15" s="1"/>
  <c r="F56" i="15" s="1"/>
  <c r="E56" i="15" s="1"/>
  <c r="BB57" i="15" s="1"/>
  <c r="AD139" i="18"/>
  <c r="AA140" i="18"/>
  <c r="AD139" i="17"/>
  <c r="AA140" i="17"/>
  <c r="AA137" i="15"/>
  <c r="AD136" i="15"/>
  <c r="A133" i="13"/>
  <c r="B132" i="13"/>
  <c r="X137" i="13"/>
  <c r="Y137" i="13" s="1"/>
  <c r="Z137" i="13" s="1"/>
  <c r="AA137" i="13" s="1"/>
  <c r="W138" i="13"/>
  <c r="AP95" i="17" l="1"/>
  <c r="G92" i="17"/>
  <c r="AN93" i="17"/>
  <c r="AM93" i="17" s="1"/>
  <c r="AL93" i="17" s="1"/>
  <c r="C93" i="17" s="1"/>
  <c r="D93" i="17" s="1"/>
  <c r="F93" i="17" s="1"/>
  <c r="E93" i="17" s="1"/>
  <c r="E72" i="13"/>
  <c r="G72" i="13" s="1"/>
  <c r="F72" i="13" s="1"/>
  <c r="AA143" i="24"/>
  <c r="AD142" i="24"/>
  <c r="AO59" i="22"/>
  <c r="AN59" i="22"/>
  <c r="E59" i="22"/>
  <c r="F22" i="22"/>
  <c r="B19" i="22"/>
  <c r="AD140" i="22"/>
  <c r="AA141" i="22"/>
  <c r="A198" i="17"/>
  <c r="B197" i="17"/>
  <c r="B132" i="15"/>
  <c r="A133" i="15"/>
  <c r="G56" i="15"/>
  <c r="AN57" i="15"/>
  <c r="AM57" i="15" s="1"/>
  <c r="AP59" i="15"/>
  <c r="AA141" i="18"/>
  <c r="AD140" i="18"/>
  <c r="AA141" i="17"/>
  <c r="AD140" i="17"/>
  <c r="AD137" i="15"/>
  <c r="AA138" i="15"/>
  <c r="X138" i="13"/>
  <c r="Y138" i="13" s="1"/>
  <c r="Z138" i="13" s="1"/>
  <c r="AA138" i="13" s="1"/>
  <c r="W139" i="13"/>
  <c r="A134" i="13"/>
  <c r="B133" i="13"/>
  <c r="G93" i="17" l="1"/>
  <c r="AO95" i="17"/>
  <c r="AN94" i="17"/>
  <c r="AM94" i="17" s="1"/>
  <c r="AL94" i="17" s="1"/>
  <c r="C94" i="17" s="1"/>
  <c r="D94" i="17" s="1"/>
  <c r="F94" i="17" s="1"/>
  <c r="E94" i="17" s="1"/>
  <c r="D73" i="13"/>
  <c r="C73" i="13" s="1"/>
  <c r="AA144" i="24"/>
  <c r="AD143" i="24"/>
  <c r="AA142" i="22"/>
  <c r="AD141" i="22"/>
  <c r="B198" i="17"/>
  <c r="A199" i="17"/>
  <c r="B133" i="15"/>
  <c r="A134" i="15"/>
  <c r="AL57" i="15"/>
  <c r="C57" i="15" s="1"/>
  <c r="D57" i="15" s="1"/>
  <c r="F57" i="15" s="1"/>
  <c r="E57" i="15" s="1"/>
  <c r="BB58" i="15" s="1"/>
  <c r="AA142" i="18"/>
  <c r="AD141" i="18"/>
  <c r="AD141" i="17"/>
  <c r="AA142" i="17"/>
  <c r="AA139" i="15"/>
  <c r="AD138" i="15"/>
  <c r="X139" i="13"/>
  <c r="Y139" i="13" s="1"/>
  <c r="Z139" i="13" s="1"/>
  <c r="AA139" i="13" s="1"/>
  <c r="W140" i="13"/>
  <c r="A135" i="13"/>
  <c r="B134" i="13"/>
  <c r="G94" i="17" l="1"/>
  <c r="AN95" i="17"/>
  <c r="AL95" i="17"/>
  <c r="C95" i="17" s="1"/>
  <c r="D95" i="17" s="1"/>
  <c r="F95" i="17" s="1"/>
  <c r="E95" i="17" s="1"/>
  <c r="E73" i="13"/>
  <c r="G73" i="13" s="1"/>
  <c r="F73" i="13" s="1"/>
  <c r="AA145" i="24"/>
  <c r="AD144" i="24"/>
  <c r="AD142" i="22"/>
  <c r="AA143" i="22"/>
  <c r="B199" i="17"/>
  <c r="A200" i="17"/>
  <c r="B134" i="15"/>
  <c r="A135" i="15"/>
  <c r="AO59" i="15"/>
  <c r="AN58" i="15"/>
  <c r="AM58" i="15" s="1"/>
  <c r="G57" i="15"/>
  <c r="AA143" i="18"/>
  <c r="AD142" i="18"/>
  <c r="AA143" i="17"/>
  <c r="AD142" i="17"/>
  <c r="AD139" i="15"/>
  <c r="AA140" i="15"/>
  <c r="X140" i="13"/>
  <c r="Y140" i="13" s="1"/>
  <c r="Z140" i="13" s="1"/>
  <c r="AA140" i="13" s="1"/>
  <c r="W141" i="13"/>
  <c r="A136" i="13"/>
  <c r="B135" i="13"/>
  <c r="AO97" i="17" l="1"/>
  <c r="AQ101" i="17"/>
  <c r="AP98" i="17"/>
  <c r="AR107" i="17"/>
  <c r="AM107" i="17" s="1"/>
  <c r="AN96" i="17"/>
  <c r="AM96" i="17" s="1"/>
  <c r="AL96" i="17" s="1"/>
  <c r="C96" i="17" s="1"/>
  <c r="D96" i="17" s="1"/>
  <c r="F96" i="17" s="1"/>
  <c r="E96" i="17" s="1"/>
  <c r="G96" i="17" s="1"/>
  <c r="G95" i="17"/>
  <c r="D74" i="13"/>
  <c r="C74" i="13" s="1"/>
  <c r="AA146" i="24"/>
  <c r="AD145" i="24"/>
  <c r="AA144" i="22"/>
  <c r="AD143" i="22"/>
  <c r="B200" i="17"/>
  <c r="A201" i="17"/>
  <c r="B135" i="15"/>
  <c r="A136" i="15"/>
  <c r="AL58" i="15"/>
  <c r="C58" i="15" s="1"/>
  <c r="D58" i="15" s="1"/>
  <c r="F58" i="15" s="1"/>
  <c r="E58" i="15" s="1"/>
  <c r="BB59" i="15" s="1"/>
  <c r="AA144" i="18"/>
  <c r="AD143" i="18"/>
  <c r="AD143" i="17"/>
  <c r="AA144" i="17"/>
  <c r="AA141" i="15"/>
  <c r="AD140" i="15"/>
  <c r="X141" i="13"/>
  <c r="Y141" i="13" s="1"/>
  <c r="Z141" i="13" s="1"/>
  <c r="AA141" i="13" s="1"/>
  <c r="W142" i="13"/>
  <c r="A137" i="13"/>
  <c r="B136" i="13"/>
  <c r="E74" i="13" l="1"/>
  <c r="G74" i="13" s="1"/>
  <c r="F74" i="13" s="1"/>
  <c r="AN97" i="17"/>
  <c r="AM97" i="17" s="1"/>
  <c r="AL97" i="17" s="1"/>
  <c r="C97" i="17" s="1"/>
  <c r="D97" i="17" s="1"/>
  <c r="AA147" i="24"/>
  <c r="AD146" i="24"/>
  <c r="AA145" i="22"/>
  <c r="AD144" i="22"/>
  <c r="A202" i="17"/>
  <c r="B201" i="17"/>
  <c r="A137" i="15"/>
  <c r="B136" i="15"/>
  <c r="AN59" i="15"/>
  <c r="AM59" i="15" s="1"/>
  <c r="G58" i="15"/>
  <c r="AA145" i="18"/>
  <c r="AD144" i="18"/>
  <c r="AA145" i="17"/>
  <c r="AD144" i="17"/>
  <c r="AA142" i="15"/>
  <c r="AD141" i="15"/>
  <c r="X142" i="13"/>
  <c r="Y142" i="13" s="1"/>
  <c r="Z142" i="13" s="1"/>
  <c r="AA142" i="13" s="1"/>
  <c r="W143" i="13"/>
  <c r="A138" i="13"/>
  <c r="B137" i="13"/>
  <c r="D75" i="13" l="1"/>
  <c r="C75" i="13" s="1"/>
  <c r="AA148" i="24"/>
  <c r="AD147" i="24"/>
  <c r="AA146" i="22"/>
  <c r="AD145" i="22"/>
  <c r="F97" i="17"/>
  <c r="E97" i="17" s="1"/>
  <c r="A203" i="17"/>
  <c r="B202" i="17"/>
  <c r="B137" i="15"/>
  <c r="A138" i="15"/>
  <c r="AL59" i="15"/>
  <c r="C59" i="15" s="1"/>
  <c r="D59" i="15" s="1"/>
  <c r="F59" i="15" s="1"/>
  <c r="E59" i="15" s="1"/>
  <c r="BB60" i="15" s="1"/>
  <c r="AD145" i="18"/>
  <c r="AA146" i="18"/>
  <c r="AD145" i="17"/>
  <c r="AA146" i="17"/>
  <c r="AA143" i="15"/>
  <c r="AD142" i="15"/>
  <c r="X143" i="13"/>
  <c r="Y143" i="13" s="1"/>
  <c r="Z143" i="13" s="1"/>
  <c r="AA143" i="13" s="1"/>
  <c r="W144" i="13"/>
  <c r="A139" i="13"/>
  <c r="B138" i="13"/>
  <c r="E75" i="13" l="1"/>
  <c r="G75" i="13" s="1"/>
  <c r="F75" i="13" s="1"/>
  <c r="AA149" i="24"/>
  <c r="AD148" i="24"/>
  <c r="AD146" i="22"/>
  <c r="AA147" i="22"/>
  <c r="B203" i="17"/>
  <c r="A204" i="17"/>
  <c r="G97" i="17"/>
  <c r="AN98" i="17"/>
  <c r="AM98" i="17" s="1"/>
  <c r="AL98" i="17" s="1"/>
  <c r="C98" i="17" s="1"/>
  <c r="AO99" i="17"/>
  <c r="B138" i="15"/>
  <c r="A139" i="15"/>
  <c r="AL60" i="15"/>
  <c r="AN60" i="15"/>
  <c r="AM60" i="15" s="1"/>
  <c r="AO61" i="15"/>
  <c r="AQ65" i="15"/>
  <c r="AR71" i="15"/>
  <c r="G59" i="15"/>
  <c r="AP62" i="15"/>
  <c r="AA147" i="18"/>
  <c r="AD146" i="18"/>
  <c r="AA147" i="17"/>
  <c r="AD146" i="17"/>
  <c r="AA144" i="15"/>
  <c r="AD143" i="15"/>
  <c r="X144" i="13"/>
  <c r="Y144" i="13" s="1"/>
  <c r="Z144" i="13" s="1"/>
  <c r="AA144" i="13" s="1"/>
  <c r="W145" i="13"/>
  <c r="A140" i="13"/>
  <c r="B139" i="13"/>
  <c r="D76" i="13" l="1"/>
  <c r="C76" i="13" s="1"/>
  <c r="AA150" i="24"/>
  <c r="AD149" i="24"/>
  <c r="AA148" i="22"/>
  <c r="AD147" i="22"/>
  <c r="C60" i="15"/>
  <c r="D60" i="15" s="1"/>
  <c r="F60" i="15" s="1"/>
  <c r="E60" i="15" s="1"/>
  <c r="BB61" i="15" s="1"/>
  <c r="B204" i="17"/>
  <c r="A205" i="17"/>
  <c r="D98" i="17"/>
  <c r="B139" i="15"/>
  <c r="A140" i="15"/>
  <c r="AD147" i="18"/>
  <c r="AA148" i="18"/>
  <c r="AD147" i="17"/>
  <c r="AA148" i="17"/>
  <c r="AD144" i="15"/>
  <c r="AA145" i="15"/>
  <c r="X145" i="13"/>
  <c r="Y145" i="13" s="1"/>
  <c r="Z145" i="13" s="1"/>
  <c r="AA145" i="13" s="1"/>
  <c r="W146" i="13"/>
  <c r="A141" i="13"/>
  <c r="B140" i="13"/>
  <c r="AL61" i="15" l="1"/>
  <c r="C61" i="15" s="1"/>
  <c r="D61" i="15" s="1"/>
  <c r="F61" i="15" s="1"/>
  <c r="E61" i="15" s="1"/>
  <c r="BB62" i="15" s="1"/>
  <c r="G60" i="15"/>
  <c r="AN61" i="15"/>
  <c r="AM61" i="15" s="1"/>
  <c r="E76" i="13"/>
  <c r="G76" i="13" s="1"/>
  <c r="F76" i="13" s="1"/>
  <c r="AA151" i="24"/>
  <c r="AD150" i="24"/>
  <c r="AD148" i="22"/>
  <c r="AA149" i="22"/>
  <c r="A206" i="17"/>
  <c r="B205" i="17"/>
  <c r="F98" i="17"/>
  <c r="E98" i="17" s="1"/>
  <c r="B140" i="15"/>
  <c r="A141" i="15"/>
  <c r="AA149" i="18"/>
  <c r="AD148" i="18"/>
  <c r="AA149" i="17"/>
  <c r="AD148" i="17"/>
  <c r="AD145" i="15"/>
  <c r="AA146" i="15"/>
  <c r="X146" i="13"/>
  <c r="Y146" i="13" s="1"/>
  <c r="Z146" i="13" s="1"/>
  <c r="AA146" i="13" s="1"/>
  <c r="W147" i="13"/>
  <c r="A142" i="13"/>
  <c r="B141" i="13"/>
  <c r="AL62" i="15" l="1"/>
  <c r="C62" i="15" s="1"/>
  <c r="D62" i="15" s="1"/>
  <c r="F62" i="15" s="1"/>
  <c r="E62" i="15" s="1"/>
  <c r="BB63" i="15" s="1"/>
  <c r="AO63" i="15"/>
  <c r="AN62" i="15"/>
  <c r="AM62" i="15" s="1"/>
  <c r="G61" i="15"/>
  <c r="D77" i="13"/>
  <c r="C77" i="13" s="1"/>
  <c r="AA152" i="24"/>
  <c r="AD151" i="24"/>
  <c r="AA150" i="22"/>
  <c r="AD149" i="22"/>
  <c r="B206" i="17"/>
  <c r="A207" i="17"/>
  <c r="G98" i="17"/>
  <c r="AN99" i="17"/>
  <c r="AM99" i="17" s="1"/>
  <c r="AL99" i="17" s="1"/>
  <c r="C99" i="17" s="1"/>
  <c r="D99" i="17" s="1"/>
  <c r="F99" i="17" s="1"/>
  <c r="E99" i="17" s="1"/>
  <c r="AP101" i="17"/>
  <c r="B141" i="15"/>
  <c r="A142" i="15"/>
  <c r="AL63" i="15"/>
  <c r="AA150" i="18"/>
  <c r="AD149" i="18"/>
  <c r="AD149" i="17"/>
  <c r="AA150" i="17"/>
  <c r="AA147" i="15"/>
  <c r="AD146" i="15"/>
  <c r="X147" i="13"/>
  <c r="Y147" i="13" s="1"/>
  <c r="Z147" i="13" s="1"/>
  <c r="AA147" i="13" s="1"/>
  <c r="W148" i="13"/>
  <c r="A143" i="13"/>
  <c r="A144" i="13" s="1"/>
  <c r="B142" i="13"/>
  <c r="B144" i="13" l="1"/>
  <c r="A145" i="13"/>
  <c r="AP65" i="15"/>
  <c r="G62" i="15"/>
  <c r="AN63" i="15"/>
  <c r="AM63" i="15" s="1"/>
  <c r="E77" i="13"/>
  <c r="G77" i="13" s="1"/>
  <c r="F77" i="13" s="1"/>
  <c r="AA153" i="24"/>
  <c r="AD152" i="24"/>
  <c r="AD150" i="22"/>
  <c r="AA151" i="22"/>
  <c r="G99" i="17"/>
  <c r="AN100" i="17"/>
  <c r="AM100" i="17" s="1"/>
  <c r="AL100" i="17" s="1"/>
  <c r="C100" i="17" s="1"/>
  <c r="D100" i="17" s="1"/>
  <c r="F100" i="17" s="1"/>
  <c r="E100" i="17" s="1"/>
  <c r="AO101" i="17"/>
  <c r="B207" i="17"/>
  <c r="A208" i="17"/>
  <c r="A143" i="15"/>
  <c r="B142" i="15"/>
  <c r="C63" i="15"/>
  <c r="D63" i="15" s="1"/>
  <c r="F63" i="15" s="1"/>
  <c r="E63" i="15" s="1"/>
  <c r="AA151" i="18"/>
  <c r="AD150" i="18"/>
  <c r="AA151" i="17"/>
  <c r="AD150" i="17"/>
  <c r="AD147" i="15"/>
  <c r="AA148" i="15"/>
  <c r="X148" i="13"/>
  <c r="Y148" i="13" s="1"/>
  <c r="Z148" i="13" s="1"/>
  <c r="AA148" i="13" s="1"/>
  <c r="W149" i="13"/>
  <c r="B143" i="13"/>
  <c r="A146" i="13" l="1"/>
  <c r="B145" i="13"/>
  <c r="C144" i="13"/>
  <c r="D144" i="13"/>
  <c r="E144" i="13" s="1"/>
  <c r="G144" i="13" s="1"/>
  <c r="F144" i="13" s="1"/>
  <c r="AO65" i="15"/>
  <c r="BB64" i="15"/>
  <c r="D78" i="13"/>
  <c r="C78" i="13" s="1"/>
  <c r="AA154" i="24"/>
  <c r="AD153" i="24"/>
  <c r="AA152" i="22"/>
  <c r="AD151" i="22"/>
  <c r="G100" i="17"/>
  <c r="AN101" i="17"/>
  <c r="AM101" i="17" s="1"/>
  <c r="AL101" i="17" s="1"/>
  <c r="C101" i="17" s="1"/>
  <c r="D101" i="17" s="1"/>
  <c r="F101" i="17" s="1"/>
  <c r="E101" i="17" s="1"/>
  <c r="B208" i="17"/>
  <c r="A209" i="17"/>
  <c r="AL64" i="15"/>
  <c r="C64" i="15" s="1"/>
  <c r="D64" i="15" s="1"/>
  <c r="F64" i="15" s="1"/>
  <c r="E64" i="15" s="1"/>
  <c r="AN64" i="15"/>
  <c r="AM64" i="15" s="1"/>
  <c r="G63" i="15"/>
  <c r="B143" i="15"/>
  <c r="A144" i="15"/>
  <c r="AD151" i="18"/>
  <c r="AA152" i="18"/>
  <c r="AD151" i="17"/>
  <c r="AA152" i="17"/>
  <c r="AA149" i="15"/>
  <c r="AD148" i="15"/>
  <c r="X149" i="13"/>
  <c r="Y149" i="13" s="1"/>
  <c r="Z149" i="13" s="1"/>
  <c r="AA149" i="13" s="1"/>
  <c r="W150" i="13"/>
  <c r="C145" i="13" l="1"/>
  <c r="D145" i="13"/>
  <c r="E145" i="13" s="1"/>
  <c r="G145" i="13" s="1"/>
  <c r="F145" i="13" s="1"/>
  <c r="A147" i="13"/>
  <c r="B146" i="13"/>
  <c r="G64" i="15"/>
  <c r="BB65" i="15"/>
  <c r="E78" i="13"/>
  <c r="G78" i="13" s="1"/>
  <c r="F78" i="13" s="1"/>
  <c r="AA155" i="24"/>
  <c r="AD154" i="24"/>
  <c r="AD152" i="22"/>
  <c r="AA153" i="22"/>
  <c r="G101" i="17"/>
  <c r="AO103" i="17"/>
  <c r="AQ107" i="17"/>
  <c r="AP104" i="17"/>
  <c r="AN102" i="17"/>
  <c r="AM102" i="17" s="1"/>
  <c r="AL102" i="17" s="1"/>
  <c r="C102" i="17" s="1"/>
  <c r="D102" i="17" s="1"/>
  <c r="F102" i="17" s="1"/>
  <c r="E102" i="17" s="1"/>
  <c r="A210" i="17"/>
  <c r="B209" i="17"/>
  <c r="AL65" i="15"/>
  <c r="C65" i="15" s="1"/>
  <c r="D65" i="15" s="1"/>
  <c r="F65" i="15" s="1"/>
  <c r="E65" i="15" s="1"/>
  <c r="AQ71" i="15" s="1"/>
  <c r="AN65" i="15"/>
  <c r="AM65" i="15" s="1"/>
  <c r="B144" i="15"/>
  <c r="A145" i="15"/>
  <c r="AA153" i="18"/>
  <c r="AD152" i="18"/>
  <c r="AA153" i="17"/>
  <c r="AD152" i="17"/>
  <c r="AD149" i="15"/>
  <c r="AA150" i="15"/>
  <c r="X150" i="13"/>
  <c r="Y150" i="13" s="1"/>
  <c r="Z150" i="13" s="1"/>
  <c r="AA150" i="13" s="1"/>
  <c r="W151" i="13"/>
  <c r="C146" i="13" l="1"/>
  <c r="D146" i="13"/>
  <c r="E146" i="13" s="1"/>
  <c r="G146" i="13" s="1"/>
  <c r="F146" i="13" s="1"/>
  <c r="B147" i="13"/>
  <c r="A148" i="13"/>
  <c r="B148" i="13" s="1"/>
  <c r="AN66" i="15"/>
  <c r="AM66" i="15" s="1"/>
  <c r="BB66" i="15"/>
  <c r="D79" i="13"/>
  <c r="E79" i="13" s="1"/>
  <c r="AA156" i="24"/>
  <c r="AD155" i="24"/>
  <c r="AA154" i="22"/>
  <c r="AD153" i="22"/>
  <c r="G65" i="15"/>
  <c r="AP68" i="15"/>
  <c r="AL66" i="15"/>
  <c r="B210" i="17"/>
  <c r="A211" i="17"/>
  <c r="G102" i="17"/>
  <c r="AN103" i="17"/>
  <c r="AM103" i="17" s="1"/>
  <c r="AL103" i="17" s="1"/>
  <c r="C103" i="17" s="1"/>
  <c r="D103" i="17" s="1"/>
  <c r="F103" i="17" s="1"/>
  <c r="E103" i="17" s="1"/>
  <c r="AO67" i="15"/>
  <c r="B145" i="15"/>
  <c r="A146" i="15"/>
  <c r="C66" i="15"/>
  <c r="D66" i="15" s="1"/>
  <c r="F66" i="15" s="1"/>
  <c r="E66" i="15" s="1"/>
  <c r="BB67" i="15" s="1"/>
  <c r="AD153" i="18"/>
  <c r="AA154" i="18"/>
  <c r="AD153" i="17"/>
  <c r="AA154" i="17"/>
  <c r="AA151" i="15"/>
  <c r="AD150" i="15"/>
  <c r="X151" i="13"/>
  <c r="Y151" i="13" s="1"/>
  <c r="Z151" i="13" s="1"/>
  <c r="AA151" i="13" s="1"/>
  <c r="W152" i="13"/>
  <c r="C147" i="13" l="1"/>
  <c r="D147" i="13"/>
  <c r="E147" i="13" s="1"/>
  <c r="G147" i="13" s="1"/>
  <c r="F147" i="13" s="1"/>
  <c r="C148" i="13"/>
  <c r="D148" i="13"/>
  <c r="E148" i="13" s="1"/>
  <c r="G148" i="13" s="1"/>
  <c r="F148" i="13" s="1"/>
  <c r="C79" i="13"/>
  <c r="AA157" i="24"/>
  <c r="AD156" i="24"/>
  <c r="AD154" i="22"/>
  <c r="AA155" i="22"/>
  <c r="B211" i="17"/>
  <c r="A212" i="17"/>
  <c r="G103" i="17"/>
  <c r="AO105" i="17"/>
  <c r="AN104" i="17"/>
  <c r="AM104" i="17" s="1"/>
  <c r="AL104" i="17" s="1"/>
  <c r="C104" i="17" s="1"/>
  <c r="D104" i="17" s="1"/>
  <c r="F104" i="17" s="1"/>
  <c r="E104" i="17" s="1"/>
  <c r="A147" i="15"/>
  <c r="B146" i="15"/>
  <c r="AN67" i="15"/>
  <c r="AM67" i="15" s="1"/>
  <c r="AL67" i="15"/>
  <c r="C67" i="15" s="1"/>
  <c r="D67" i="15" s="1"/>
  <c r="F67" i="15" s="1"/>
  <c r="E67" i="15" s="1"/>
  <c r="BB68" i="15" s="1"/>
  <c r="G66" i="15"/>
  <c r="AA155" i="18"/>
  <c r="AD154" i="18"/>
  <c r="AA155" i="17"/>
  <c r="AD154" i="17"/>
  <c r="AA152" i="15"/>
  <c r="AD151" i="15"/>
  <c r="G79" i="13"/>
  <c r="F79" i="13" s="1"/>
  <c r="X152" i="13"/>
  <c r="Y152" i="13" s="1"/>
  <c r="Z152" i="13" s="1"/>
  <c r="AA152" i="13" s="1"/>
  <c r="W153" i="13"/>
  <c r="D80" i="13" l="1"/>
  <c r="E80" i="13" s="1"/>
  <c r="AA158" i="24"/>
  <c r="AD157" i="24"/>
  <c r="AA156" i="22"/>
  <c r="AD155" i="22"/>
  <c r="B212" i="17"/>
  <c r="A213" i="17"/>
  <c r="G104" i="17"/>
  <c r="AN105" i="17"/>
  <c r="AM105" i="17" s="1"/>
  <c r="AL105" i="17" s="1"/>
  <c r="C105" i="17" s="1"/>
  <c r="D105" i="17" s="1"/>
  <c r="F105" i="17" s="1"/>
  <c r="E105" i="17" s="1"/>
  <c r="AP107" i="17"/>
  <c r="B147" i="15"/>
  <c r="A148" i="15"/>
  <c r="AO69" i="15"/>
  <c r="AN68" i="15"/>
  <c r="AM68" i="15" s="1"/>
  <c r="G67" i="15"/>
  <c r="AL68" i="15"/>
  <c r="AD155" i="18"/>
  <c r="AA156" i="18"/>
  <c r="AD155" i="17"/>
  <c r="AA156" i="17"/>
  <c r="AA153" i="15"/>
  <c r="AD152" i="15"/>
  <c r="X153" i="13"/>
  <c r="Y153" i="13" s="1"/>
  <c r="Z153" i="13" s="1"/>
  <c r="AA153" i="13" s="1"/>
  <c r="W154" i="13"/>
  <c r="A149" i="13"/>
  <c r="C80" i="13" l="1"/>
  <c r="G80" i="13" s="1"/>
  <c r="F80" i="13" s="1"/>
  <c r="AA159" i="24"/>
  <c r="AD158" i="24"/>
  <c r="AD156" i="22"/>
  <c r="AA157" i="22"/>
  <c r="G105" i="17"/>
  <c r="AO107" i="17"/>
  <c r="AN106" i="17"/>
  <c r="AM106" i="17" s="1"/>
  <c r="AL106" i="17" s="1"/>
  <c r="C106" i="17" s="1"/>
  <c r="D106" i="17" s="1"/>
  <c r="F106" i="17" s="1"/>
  <c r="E106" i="17" s="1"/>
  <c r="A214" i="17"/>
  <c r="B213" i="17"/>
  <c r="B148" i="15"/>
  <c r="A149" i="15"/>
  <c r="C68" i="15"/>
  <c r="D68" i="15" s="1"/>
  <c r="F68" i="15" s="1"/>
  <c r="E68" i="15" s="1"/>
  <c r="BB69" i="15" s="1"/>
  <c r="AA157" i="18"/>
  <c r="AD156" i="18"/>
  <c r="AA157" i="17"/>
  <c r="AD156" i="17"/>
  <c r="AA154" i="15"/>
  <c r="AD153" i="15"/>
  <c r="X154" i="13"/>
  <c r="Y154" i="13" s="1"/>
  <c r="Z154" i="13" s="1"/>
  <c r="AA154" i="13" s="1"/>
  <c r="W155" i="13"/>
  <c r="A150" i="13"/>
  <c r="B149" i="13"/>
  <c r="C149" i="13" l="1"/>
  <c r="D149" i="13"/>
  <c r="D81" i="13"/>
  <c r="C81" i="13" s="1"/>
  <c r="AA160" i="24"/>
  <c r="AD159" i="24"/>
  <c r="AA158" i="22"/>
  <c r="AD157" i="22"/>
  <c r="B214" i="17"/>
  <c r="A215" i="17"/>
  <c r="G106" i="17"/>
  <c r="AN107" i="17"/>
  <c r="AL107" i="17"/>
  <c r="C107" i="17" s="1"/>
  <c r="D107" i="17" s="1"/>
  <c r="F107" i="17" s="1"/>
  <c r="E107" i="17" s="1"/>
  <c r="B149" i="15"/>
  <c r="A150" i="15"/>
  <c r="AN69" i="15"/>
  <c r="AM69" i="15" s="1"/>
  <c r="G68" i="15"/>
  <c r="AP71" i="15"/>
  <c r="AL69" i="15"/>
  <c r="AA158" i="18"/>
  <c r="AD157" i="18"/>
  <c r="AD157" i="17"/>
  <c r="AA158" i="17"/>
  <c r="AA155" i="15"/>
  <c r="AD154" i="15"/>
  <c r="X155" i="13"/>
  <c r="Y155" i="13" s="1"/>
  <c r="Z155" i="13" s="1"/>
  <c r="AA155" i="13" s="1"/>
  <c r="W156" i="13"/>
  <c r="A151" i="13"/>
  <c r="B150" i="13"/>
  <c r="D150" i="13" l="1"/>
  <c r="C150" i="13"/>
  <c r="E81" i="13"/>
  <c r="G81" i="13" s="1"/>
  <c r="F81" i="13" s="1"/>
  <c r="AA161" i="24"/>
  <c r="AD160" i="24"/>
  <c r="AD158" i="22"/>
  <c r="AA159" i="22"/>
  <c r="B215" i="17"/>
  <c r="A216" i="17"/>
  <c r="G107" i="17"/>
  <c r="AQ113" i="17"/>
  <c r="AR119" i="17"/>
  <c r="AM119" i="17" s="1"/>
  <c r="AO109" i="17"/>
  <c r="AP110" i="17"/>
  <c r="AN108" i="17"/>
  <c r="AM108" i="17" s="1"/>
  <c r="AL108" i="17" s="1"/>
  <c r="C108" i="17" s="1"/>
  <c r="D108" i="17" s="1"/>
  <c r="F108" i="17" s="1"/>
  <c r="E108" i="17" s="1"/>
  <c r="A151" i="15"/>
  <c r="B150" i="15"/>
  <c r="C69" i="15"/>
  <c r="D69" i="15" s="1"/>
  <c r="F69" i="15" s="1"/>
  <c r="E69" i="15" s="1"/>
  <c r="BB70" i="15" s="1"/>
  <c r="AA159" i="18"/>
  <c r="AD158" i="18"/>
  <c r="AA159" i="17"/>
  <c r="AD158" i="17"/>
  <c r="AA156" i="15"/>
  <c r="AD155" i="15"/>
  <c r="A152" i="13"/>
  <c r="B151" i="13"/>
  <c r="X156" i="13"/>
  <c r="Y156" i="13" s="1"/>
  <c r="Z156" i="13" s="1"/>
  <c r="AA156" i="13" s="1"/>
  <c r="W157" i="13"/>
  <c r="C151" i="13" l="1"/>
  <c r="D151" i="13"/>
  <c r="D82" i="13"/>
  <c r="E82" i="13" s="1"/>
  <c r="AA162" i="24"/>
  <c r="AD161" i="24"/>
  <c r="AA160" i="22"/>
  <c r="AD159" i="22"/>
  <c r="G108" i="17"/>
  <c r="AN109" i="17"/>
  <c r="AM109" i="17" s="1"/>
  <c r="AL109" i="17" s="1"/>
  <c r="C109" i="17" s="1"/>
  <c r="D109" i="17" s="1"/>
  <c r="F109" i="17" s="1"/>
  <c r="E109" i="17" s="1"/>
  <c r="B216" i="17"/>
  <c r="A217" i="17"/>
  <c r="A152" i="15"/>
  <c r="B151" i="15"/>
  <c r="AN70" i="15"/>
  <c r="AM70" i="15" s="1"/>
  <c r="AO71" i="15"/>
  <c r="AL70" i="15"/>
  <c r="G69" i="15"/>
  <c r="AA160" i="18"/>
  <c r="AD159" i="18"/>
  <c r="AD159" i="17"/>
  <c r="AA160" i="17"/>
  <c r="AA157" i="15"/>
  <c r="AD156" i="15"/>
  <c r="X157" i="13"/>
  <c r="Y157" i="13" s="1"/>
  <c r="Z157" i="13" s="1"/>
  <c r="AA157" i="13" s="1"/>
  <c r="W158" i="13"/>
  <c r="A153" i="13"/>
  <c r="B152" i="13"/>
  <c r="C82" i="13" l="1"/>
  <c r="G82" i="13" s="1"/>
  <c r="F82" i="13" s="1"/>
  <c r="D152" i="13"/>
  <c r="C152" i="13"/>
  <c r="AA163" i="24"/>
  <c r="AD162" i="24"/>
  <c r="AD160" i="22"/>
  <c r="AA161" i="22"/>
  <c r="A218" i="17"/>
  <c r="B217" i="17"/>
  <c r="G109" i="17"/>
  <c r="AO111" i="17"/>
  <c r="AN110" i="17"/>
  <c r="AM110" i="17" s="1"/>
  <c r="AL110" i="17" s="1"/>
  <c r="C110" i="17" s="1"/>
  <c r="D110" i="17" s="1"/>
  <c r="F110" i="17" s="1"/>
  <c r="E110" i="17" s="1"/>
  <c r="B152" i="15"/>
  <c r="A153" i="15"/>
  <c r="C70" i="15"/>
  <c r="D70" i="15" s="1"/>
  <c r="F70" i="15" s="1"/>
  <c r="E70" i="15" s="1"/>
  <c r="BB71" i="15" s="1"/>
  <c r="AA161" i="18"/>
  <c r="AD160" i="18"/>
  <c r="AA161" i="17"/>
  <c r="AD160" i="17"/>
  <c r="AA158" i="15"/>
  <c r="AD157" i="15"/>
  <c r="A154" i="13"/>
  <c r="B153" i="13"/>
  <c r="X158" i="13"/>
  <c r="Y158" i="13" s="1"/>
  <c r="Z158" i="13" s="1"/>
  <c r="AA158" i="13" s="1"/>
  <c r="W159" i="13"/>
  <c r="D153" i="13" l="1"/>
  <c r="C153" i="13"/>
  <c r="D83" i="13"/>
  <c r="C83" i="13" s="1"/>
  <c r="AA164" i="24"/>
  <c r="AD163" i="24"/>
  <c r="AA162" i="22"/>
  <c r="AD161" i="22"/>
  <c r="G110" i="17"/>
  <c r="AP113" i="17"/>
  <c r="AN111" i="17"/>
  <c r="AM111" i="17" s="1"/>
  <c r="AL111" i="17" s="1"/>
  <c r="C111" i="17" s="1"/>
  <c r="D111" i="17" s="1"/>
  <c r="F111" i="17" s="1"/>
  <c r="E111" i="17" s="1"/>
  <c r="A219" i="17"/>
  <c r="B218" i="17"/>
  <c r="B153" i="15"/>
  <c r="A154" i="15"/>
  <c r="G70" i="15"/>
  <c r="AN71" i="15"/>
  <c r="AM71" i="15" s="1"/>
  <c r="AL71" i="15"/>
  <c r="C71" i="15" s="1"/>
  <c r="D71" i="15" s="1"/>
  <c r="F71" i="15" s="1"/>
  <c r="E71" i="15" s="1"/>
  <c r="BB72" i="15" s="1"/>
  <c r="AD161" i="18"/>
  <c r="AA162" i="18"/>
  <c r="AD161" i="17"/>
  <c r="AA162" i="17"/>
  <c r="AA159" i="15"/>
  <c r="AD158" i="15"/>
  <c r="X159" i="13"/>
  <c r="Y159" i="13" s="1"/>
  <c r="Z159" i="13" s="1"/>
  <c r="AA159" i="13" s="1"/>
  <c r="W160" i="13"/>
  <c r="A155" i="13"/>
  <c r="B154" i="13"/>
  <c r="D154" i="13" l="1"/>
  <c r="C154" i="13"/>
  <c r="E83" i="13"/>
  <c r="G83" i="13" s="1"/>
  <c r="F83" i="13" s="1"/>
  <c r="AA165" i="24"/>
  <c r="AD164" i="24"/>
  <c r="AD162" i="22"/>
  <c r="AA163" i="22"/>
  <c r="G111" i="17"/>
  <c r="AN112" i="17"/>
  <c r="AM112" i="17" s="1"/>
  <c r="AL112" i="17" s="1"/>
  <c r="C112" i="17" s="1"/>
  <c r="D112" i="17" s="1"/>
  <c r="F112" i="17" s="1"/>
  <c r="E112" i="17" s="1"/>
  <c r="AO113" i="17"/>
  <c r="B219" i="17"/>
  <c r="A220" i="17"/>
  <c r="B154" i="15"/>
  <c r="A155" i="15"/>
  <c r="AQ77" i="15"/>
  <c r="AR83" i="15"/>
  <c r="AP74" i="15"/>
  <c r="AN72" i="15"/>
  <c r="AM72" i="15" s="1"/>
  <c r="AO73" i="15"/>
  <c r="G71" i="15"/>
  <c r="AL72" i="15"/>
  <c r="AA163" i="18"/>
  <c r="AD162" i="18"/>
  <c r="AA163" i="17"/>
  <c r="AD162" i="17"/>
  <c r="AD159" i="15"/>
  <c r="AA160" i="15"/>
  <c r="X160" i="13"/>
  <c r="Y160" i="13" s="1"/>
  <c r="Z160" i="13" s="1"/>
  <c r="AA160" i="13" s="1"/>
  <c r="W161" i="13"/>
  <c r="A156" i="13"/>
  <c r="B155" i="13"/>
  <c r="C155" i="13" l="1"/>
  <c r="D155" i="13"/>
  <c r="D84" i="13"/>
  <c r="E84" i="13" s="1"/>
  <c r="AA166" i="24"/>
  <c r="AD165" i="24"/>
  <c r="AA164" i="22"/>
  <c r="AD163" i="22"/>
  <c r="G112" i="17"/>
  <c r="AN113" i="17"/>
  <c r="AM113" i="17" s="1"/>
  <c r="AL113" i="17" s="1"/>
  <c r="C113" i="17" s="1"/>
  <c r="D113" i="17" s="1"/>
  <c r="F113" i="17" s="1"/>
  <c r="E113" i="17" s="1"/>
  <c r="B220" i="17"/>
  <c r="A221" i="17"/>
  <c r="B155" i="15"/>
  <c r="A156" i="15"/>
  <c r="C72" i="15"/>
  <c r="D72" i="15" s="1"/>
  <c r="F72" i="15" s="1"/>
  <c r="E72" i="15" s="1"/>
  <c r="AD163" i="18"/>
  <c r="AA164" i="18"/>
  <c r="AD163" i="17"/>
  <c r="AA164" i="17"/>
  <c r="AA161" i="15"/>
  <c r="AD160" i="15"/>
  <c r="X161" i="13"/>
  <c r="Y161" i="13" s="1"/>
  <c r="Z161" i="13" s="1"/>
  <c r="AA161" i="13" s="1"/>
  <c r="W162" i="13"/>
  <c r="A157" i="13"/>
  <c r="B156" i="13"/>
  <c r="G72" i="15" l="1"/>
  <c r="BB73" i="15"/>
  <c r="C84" i="13"/>
  <c r="G84" i="13" s="1"/>
  <c r="F84" i="13" s="1"/>
  <c r="D156" i="13"/>
  <c r="C156" i="13"/>
  <c r="AA167" i="24"/>
  <c r="AD166" i="24"/>
  <c r="AD164" i="22"/>
  <c r="AA165" i="22"/>
  <c r="B221" i="17"/>
  <c r="A222" i="17"/>
  <c r="G113" i="17"/>
  <c r="AO115" i="17"/>
  <c r="AQ119" i="17"/>
  <c r="AP116" i="17"/>
  <c r="AN114" i="17"/>
  <c r="AM114" i="17" s="1"/>
  <c r="AL114" i="17" s="1"/>
  <c r="C114" i="17" s="1"/>
  <c r="D114" i="17" s="1"/>
  <c r="F114" i="17" s="1"/>
  <c r="E114" i="17" s="1"/>
  <c r="AN73" i="15"/>
  <c r="AM73" i="15" s="1"/>
  <c r="B156" i="15"/>
  <c r="A157" i="15"/>
  <c r="AL73" i="15"/>
  <c r="C73" i="15" s="1"/>
  <c r="D73" i="15" s="1"/>
  <c r="F73" i="15" s="1"/>
  <c r="E73" i="15" s="1"/>
  <c r="AA165" i="18"/>
  <c r="AD164" i="18"/>
  <c r="AA165" i="17"/>
  <c r="AD164" i="17"/>
  <c r="AD161" i="15"/>
  <c r="AA162" i="15"/>
  <c r="X162" i="13"/>
  <c r="Y162" i="13" s="1"/>
  <c r="Z162" i="13" s="1"/>
  <c r="AA162" i="13" s="1"/>
  <c r="W163" i="13"/>
  <c r="A158" i="13"/>
  <c r="B157" i="13"/>
  <c r="AO75" i="15" l="1"/>
  <c r="BB74" i="15"/>
  <c r="C157" i="13"/>
  <c r="D157" i="13"/>
  <c r="D85" i="13"/>
  <c r="C85" i="13" s="1"/>
  <c r="AA168" i="24"/>
  <c r="AD167" i="24"/>
  <c r="AA166" i="22"/>
  <c r="AD165" i="22"/>
  <c r="G114" i="17"/>
  <c r="AN115" i="17"/>
  <c r="AM115" i="17" s="1"/>
  <c r="AL115" i="17" s="1"/>
  <c r="C115" i="17" s="1"/>
  <c r="D115" i="17" s="1"/>
  <c r="F115" i="17" s="1"/>
  <c r="E115" i="17" s="1"/>
  <c r="B222" i="17"/>
  <c r="A223" i="17"/>
  <c r="B157" i="15"/>
  <c r="A158" i="15"/>
  <c r="G73" i="15"/>
  <c r="AN74" i="15"/>
  <c r="AM74" i="15" s="1"/>
  <c r="AL74" i="15"/>
  <c r="AA166" i="18"/>
  <c r="AD165" i="18"/>
  <c r="AD165" i="17"/>
  <c r="AA166" i="17"/>
  <c r="AD162" i="15"/>
  <c r="AA163" i="15"/>
  <c r="X163" i="13"/>
  <c r="Y163" i="13" s="1"/>
  <c r="Z163" i="13" s="1"/>
  <c r="AA163" i="13" s="1"/>
  <c r="W164" i="13"/>
  <c r="A159" i="13"/>
  <c r="B158" i="13"/>
  <c r="D158" i="13" l="1"/>
  <c r="C158" i="13"/>
  <c r="E85" i="13"/>
  <c r="G85" i="13" s="1"/>
  <c r="F85" i="13" s="1"/>
  <c r="AA169" i="24"/>
  <c r="AD168" i="24"/>
  <c r="AD166" i="22"/>
  <c r="AA167" i="22"/>
  <c r="G115" i="17"/>
  <c r="AN116" i="17"/>
  <c r="AM116" i="17" s="1"/>
  <c r="AL116" i="17" s="1"/>
  <c r="C116" i="17" s="1"/>
  <c r="D116" i="17" s="1"/>
  <c r="F116" i="17" s="1"/>
  <c r="E116" i="17" s="1"/>
  <c r="AO117" i="17"/>
  <c r="B223" i="17"/>
  <c r="A224" i="17"/>
  <c r="B158" i="15"/>
  <c r="A159" i="15"/>
  <c r="C74" i="15"/>
  <c r="D74" i="15" s="1"/>
  <c r="F74" i="15" s="1"/>
  <c r="E74" i="15" s="1"/>
  <c r="AA167" i="18"/>
  <c r="AD166" i="18"/>
  <c r="AA167" i="17"/>
  <c r="AD166" i="17"/>
  <c r="AD163" i="15"/>
  <c r="AA164" i="15"/>
  <c r="X164" i="13"/>
  <c r="Y164" i="13" s="1"/>
  <c r="Z164" i="13" s="1"/>
  <c r="AA164" i="13" s="1"/>
  <c r="W165" i="13"/>
  <c r="A160" i="13"/>
  <c r="B159" i="13"/>
  <c r="AN75" i="15" l="1"/>
  <c r="AM75" i="15" s="1"/>
  <c r="BB75" i="15"/>
  <c r="C159" i="13"/>
  <c r="D159" i="13"/>
  <c r="D86" i="13"/>
  <c r="C86" i="13" s="1"/>
  <c r="AA170" i="24"/>
  <c r="AD169" i="24"/>
  <c r="AA168" i="22"/>
  <c r="AD167" i="22"/>
  <c r="G116" i="17"/>
  <c r="AP119" i="17"/>
  <c r="AN117" i="17"/>
  <c r="AM117" i="17" s="1"/>
  <c r="AL117" i="17" s="1"/>
  <c r="C117" i="17" s="1"/>
  <c r="D117" i="17" s="1"/>
  <c r="F117" i="17" s="1"/>
  <c r="E117" i="17" s="1"/>
  <c r="A225" i="17"/>
  <c r="B224" i="17"/>
  <c r="AP77" i="15"/>
  <c r="A160" i="15"/>
  <c r="B159" i="15"/>
  <c r="G74" i="15"/>
  <c r="AL75" i="15"/>
  <c r="C75" i="15" s="1"/>
  <c r="D75" i="15" s="1"/>
  <c r="F75" i="15" s="1"/>
  <c r="E75" i="15" s="1"/>
  <c r="AD167" i="18"/>
  <c r="AA168" i="18"/>
  <c r="AD167" i="17"/>
  <c r="AA168" i="17"/>
  <c r="AA165" i="15"/>
  <c r="AD164" i="15"/>
  <c r="X165" i="13"/>
  <c r="Y165" i="13" s="1"/>
  <c r="Z165" i="13" s="1"/>
  <c r="AA165" i="13" s="1"/>
  <c r="W166" i="13"/>
  <c r="A161" i="13"/>
  <c r="B160" i="13"/>
  <c r="AN76" i="15" l="1"/>
  <c r="AM76" i="15" s="1"/>
  <c r="BB76" i="15"/>
  <c r="D160" i="13"/>
  <c r="C160" i="13"/>
  <c r="E86" i="13"/>
  <c r="G86" i="13" s="1"/>
  <c r="F86" i="13" s="1"/>
  <c r="AA171" i="24"/>
  <c r="AD170" i="24"/>
  <c r="AD168" i="22"/>
  <c r="AA169" i="22"/>
  <c r="G117" i="17"/>
  <c r="AO119" i="17"/>
  <c r="AN118" i="17"/>
  <c r="AM118" i="17" s="1"/>
  <c r="AL118" i="17" s="1"/>
  <c r="C118" i="17" s="1"/>
  <c r="D118" i="17" s="1"/>
  <c r="F118" i="17" s="1"/>
  <c r="E118" i="17" s="1"/>
  <c r="B225" i="17"/>
  <c r="A226" i="17"/>
  <c r="G75" i="15"/>
  <c r="AL76" i="15"/>
  <c r="C76" i="15" s="1"/>
  <c r="D76" i="15" s="1"/>
  <c r="F76" i="15" s="1"/>
  <c r="E76" i="15" s="1"/>
  <c r="AN77" i="15" s="1"/>
  <c r="AM77" i="15" s="1"/>
  <c r="AO77" i="15"/>
  <c r="A161" i="15"/>
  <c r="B160" i="15"/>
  <c r="AA169" i="18"/>
  <c r="AD168" i="18"/>
  <c r="AA169" i="17"/>
  <c r="AD168" i="17"/>
  <c r="AA166" i="15"/>
  <c r="AD165" i="15"/>
  <c r="X166" i="13"/>
  <c r="Y166" i="13" s="1"/>
  <c r="Z166" i="13" s="1"/>
  <c r="AA166" i="13" s="1"/>
  <c r="W167" i="13"/>
  <c r="A162" i="13"/>
  <c r="B161" i="13"/>
  <c r="AL77" i="15" l="1"/>
  <c r="C77" i="15" s="1"/>
  <c r="D77" i="15" s="1"/>
  <c r="F77" i="15" s="1"/>
  <c r="E77" i="15" s="1"/>
  <c r="AQ83" i="15" s="1"/>
  <c r="BB77" i="15"/>
  <c r="D161" i="13"/>
  <c r="C161" i="13"/>
  <c r="D87" i="13"/>
  <c r="C87" i="13" s="1"/>
  <c r="AA172" i="24"/>
  <c r="AD171" i="24"/>
  <c r="AA170" i="22"/>
  <c r="AD169" i="22"/>
  <c r="G118" i="17"/>
  <c r="AN119" i="17"/>
  <c r="AL119" i="17"/>
  <c r="C119" i="17" s="1"/>
  <c r="D119" i="17" s="1"/>
  <c r="F119" i="17" s="1"/>
  <c r="E119" i="17" s="1"/>
  <c r="B226" i="17"/>
  <c r="A227" i="17"/>
  <c r="G76" i="15"/>
  <c r="A162" i="15"/>
  <c r="B161" i="15"/>
  <c r="AD169" i="18"/>
  <c r="AA170" i="18"/>
  <c r="AD169" i="17"/>
  <c r="AA170" i="17"/>
  <c r="AD166" i="15"/>
  <c r="AA167" i="15"/>
  <c r="X167" i="13"/>
  <c r="Y167" i="13" s="1"/>
  <c r="Z167" i="13" s="1"/>
  <c r="AA167" i="13" s="1"/>
  <c r="W168" i="13"/>
  <c r="A163" i="13"/>
  <c r="B162" i="13"/>
  <c r="G77" i="15" l="1"/>
  <c r="BB78" i="15"/>
  <c r="D162" i="13"/>
  <c r="C162" i="13"/>
  <c r="E87" i="13"/>
  <c r="G87" i="13" s="1"/>
  <c r="F87" i="13" s="1"/>
  <c r="AA173" i="24"/>
  <c r="AD172" i="24"/>
  <c r="AD170" i="22"/>
  <c r="AA171" i="22"/>
  <c r="AO79" i="15"/>
  <c r="G119" i="17"/>
  <c r="AQ125" i="17"/>
  <c r="AP122" i="17"/>
  <c r="AR131" i="17"/>
  <c r="AM131" i="17" s="1"/>
  <c r="AO121" i="17"/>
  <c r="AN120" i="17"/>
  <c r="AM120" i="17" s="1"/>
  <c r="AL120" i="17" s="1"/>
  <c r="C120" i="17" s="1"/>
  <c r="D120" i="17" s="1"/>
  <c r="F120" i="17" s="1"/>
  <c r="E120" i="17" s="1"/>
  <c r="B227" i="17"/>
  <c r="A228" i="17"/>
  <c r="AP80" i="15"/>
  <c r="AL78" i="15"/>
  <c r="AN78" i="15"/>
  <c r="AM78" i="15" s="1"/>
  <c r="B162" i="15"/>
  <c r="A163" i="15"/>
  <c r="C78" i="15"/>
  <c r="D78" i="15" s="1"/>
  <c r="F78" i="15" s="1"/>
  <c r="E78" i="15" s="1"/>
  <c r="BB79" i="15" s="1"/>
  <c r="AA171" i="18"/>
  <c r="AD170" i="18"/>
  <c r="AA171" i="17"/>
  <c r="AD170" i="17"/>
  <c r="AA168" i="15"/>
  <c r="AD167" i="15"/>
  <c r="X168" i="13"/>
  <c r="Y168" i="13" s="1"/>
  <c r="Z168" i="13" s="1"/>
  <c r="AA168" i="13" s="1"/>
  <c r="W169" i="13"/>
  <c r="A164" i="13"/>
  <c r="B163" i="13"/>
  <c r="C163" i="13" l="1"/>
  <c r="D163" i="13"/>
  <c r="D88" i="13"/>
  <c r="C88" i="13" s="1"/>
  <c r="AA174" i="24"/>
  <c r="AD173" i="24"/>
  <c r="AA172" i="22"/>
  <c r="AD171" i="22"/>
  <c r="G120" i="17"/>
  <c r="AN121" i="17"/>
  <c r="AM121" i="17" s="1"/>
  <c r="AL121" i="17" s="1"/>
  <c r="C121" i="17" s="1"/>
  <c r="D121" i="17" s="1"/>
  <c r="F121" i="17" s="1"/>
  <c r="E121" i="17" s="1"/>
  <c r="A229" i="17"/>
  <c r="B228" i="17"/>
  <c r="B163" i="15"/>
  <c r="A164" i="15"/>
  <c r="G78" i="15"/>
  <c r="AN79" i="15"/>
  <c r="AM79" i="15" s="1"/>
  <c r="AL79" i="15"/>
  <c r="AD171" i="18"/>
  <c r="AA172" i="18"/>
  <c r="AD171" i="17"/>
  <c r="AA172" i="17"/>
  <c r="AA169" i="15"/>
  <c r="AD168" i="15"/>
  <c r="X169" i="13"/>
  <c r="Y169" i="13" s="1"/>
  <c r="Z169" i="13" s="1"/>
  <c r="AA169" i="13" s="1"/>
  <c r="W170" i="13"/>
  <c r="A165" i="13"/>
  <c r="B164" i="13"/>
  <c r="E88" i="13" l="1"/>
  <c r="D164" i="13"/>
  <c r="C164" i="13"/>
  <c r="AA175" i="24"/>
  <c r="AD174" i="24"/>
  <c r="AD172" i="22"/>
  <c r="AA173" i="22"/>
  <c r="G121" i="17"/>
  <c r="AN122" i="17"/>
  <c r="AM122" i="17" s="1"/>
  <c r="AL122" i="17" s="1"/>
  <c r="C122" i="17" s="1"/>
  <c r="D122" i="17" s="1"/>
  <c r="F122" i="17" s="1"/>
  <c r="E122" i="17" s="1"/>
  <c r="AO123" i="17"/>
  <c r="B229" i="17"/>
  <c r="A230" i="17"/>
  <c r="B164" i="15"/>
  <c r="A165" i="15"/>
  <c r="C79" i="15"/>
  <c r="D79" i="15" s="1"/>
  <c r="AA173" i="18"/>
  <c r="AD172" i="18"/>
  <c r="AA173" i="17"/>
  <c r="AD172" i="17"/>
  <c r="AA170" i="15"/>
  <c r="AD169" i="15"/>
  <c r="G88" i="13"/>
  <c r="F88" i="13" s="1"/>
  <c r="X170" i="13"/>
  <c r="Y170" i="13" s="1"/>
  <c r="Z170" i="13" s="1"/>
  <c r="AA170" i="13" s="1"/>
  <c r="W171" i="13"/>
  <c r="A166" i="13"/>
  <c r="B165" i="13"/>
  <c r="C165" i="13" l="1"/>
  <c r="D165" i="13"/>
  <c r="D89" i="13"/>
  <c r="C89" i="13" s="1"/>
  <c r="AA176" i="24"/>
  <c r="AD175" i="24"/>
  <c r="AA174" i="22"/>
  <c r="AD173" i="22"/>
  <c r="B230" i="17"/>
  <c r="A231" i="17"/>
  <c r="G122" i="17"/>
  <c r="AN123" i="17"/>
  <c r="AM123" i="17" s="1"/>
  <c r="AL123" i="17" s="1"/>
  <c r="C123" i="17" s="1"/>
  <c r="D123" i="17" s="1"/>
  <c r="F123" i="17" s="1"/>
  <c r="E123" i="17" s="1"/>
  <c r="AP125" i="17"/>
  <c r="A166" i="15"/>
  <c r="B165" i="15"/>
  <c r="F79" i="15"/>
  <c r="AA174" i="18"/>
  <c r="AD173" i="18"/>
  <c r="AD173" i="17"/>
  <c r="AA174" i="17"/>
  <c r="AA171" i="15"/>
  <c r="AD170" i="15"/>
  <c r="X171" i="13"/>
  <c r="Y171" i="13" s="1"/>
  <c r="Z171" i="13" s="1"/>
  <c r="AA171" i="13" s="1"/>
  <c r="W172" i="13"/>
  <c r="A167" i="13"/>
  <c r="B166" i="13"/>
  <c r="D166" i="13" l="1"/>
  <c r="C166" i="13"/>
  <c r="E89" i="13"/>
  <c r="G89" i="13" s="1"/>
  <c r="F89" i="13" s="1"/>
  <c r="AA177" i="24"/>
  <c r="AD176" i="24"/>
  <c r="AD174" i="22"/>
  <c r="AA175" i="22"/>
  <c r="B231" i="17"/>
  <c r="A232" i="17"/>
  <c r="G123" i="17"/>
  <c r="AN124" i="17"/>
  <c r="AM124" i="17" s="1"/>
  <c r="AL124" i="17" s="1"/>
  <c r="C124" i="17" s="1"/>
  <c r="D124" i="17" s="1"/>
  <c r="F124" i="17" s="1"/>
  <c r="E124" i="17" s="1"/>
  <c r="AO125" i="17"/>
  <c r="B166" i="15"/>
  <c r="A167" i="15"/>
  <c r="E79" i="15"/>
  <c r="BB80" i="15" s="1"/>
  <c r="AA175" i="18"/>
  <c r="AD174" i="18"/>
  <c r="AA175" i="17"/>
  <c r="AD174" i="17"/>
  <c r="AA172" i="15"/>
  <c r="AD171" i="15"/>
  <c r="X172" i="13"/>
  <c r="Y172" i="13" s="1"/>
  <c r="Z172" i="13" s="1"/>
  <c r="AA172" i="13" s="1"/>
  <c r="W173" i="13"/>
  <c r="A168" i="13"/>
  <c r="B167" i="13"/>
  <c r="C167" i="13" l="1"/>
  <c r="D167" i="13"/>
  <c r="D90" i="13"/>
  <c r="E90" i="13" s="1"/>
  <c r="AA178" i="24"/>
  <c r="AD177" i="24"/>
  <c r="AA176" i="22"/>
  <c r="AD175" i="22"/>
  <c r="G124" i="17"/>
  <c r="AN125" i="17"/>
  <c r="AM125" i="17" s="1"/>
  <c r="AL125" i="17" s="1"/>
  <c r="C125" i="17" s="1"/>
  <c r="D125" i="17" s="1"/>
  <c r="F125" i="17" s="1"/>
  <c r="E125" i="17" s="1"/>
  <c r="A233" i="17"/>
  <c r="B232" i="17"/>
  <c r="B167" i="15"/>
  <c r="A168" i="15"/>
  <c r="AL80" i="15"/>
  <c r="AO81" i="15"/>
  <c r="G79" i="15"/>
  <c r="AN80" i="15"/>
  <c r="AM80" i="15" s="1"/>
  <c r="AA176" i="18"/>
  <c r="AD175" i="18"/>
  <c r="AD175" i="17"/>
  <c r="AA176" i="17"/>
  <c r="AD172" i="15"/>
  <c r="AA173" i="15"/>
  <c r="X173" i="13"/>
  <c r="Y173" i="13" s="1"/>
  <c r="Z173" i="13" s="1"/>
  <c r="AA173" i="13" s="1"/>
  <c r="W174" i="13"/>
  <c r="A169" i="13"/>
  <c r="B168" i="13"/>
  <c r="C90" i="13" l="1"/>
  <c r="G90" i="13" s="1"/>
  <c r="F90" i="13" s="1"/>
  <c r="D168" i="13"/>
  <c r="C168" i="13"/>
  <c r="AA179" i="24"/>
  <c r="AD178" i="24"/>
  <c r="AD176" i="22"/>
  <c r="AA177" i="22"/>
  <c r="G125" i="17"/>
  <c r="AQ131" i="17"/>
  <c r="AN126" i="17"/>
  <c r="AM126" i="17" s="1"/>
  <c r="AL126" i="17" s="1"/>
  <c r="C126" i="17" s="1"/>
  <c r="D126" i="17" s="1"/>
  <c r="F126" i="17" s="1"/>
  <c r="E126" i="17" s="1"/>
  <c r="AO127" i="17"/>
  <c r="AP128" i="17"/>
  <c r="A234" i="17"/>
  <c r="B233" i="17"/>
  <c r="C80" i="15"/>
  <c r="D80" i="15" s="1"/>
  <c r="B168" i="15"/>
  <c r="A169" i="15"/>
  <c r="AA177" i="18"/>
  <c r="AD176" i="18"/>
  <c r="AA177" i="17"/>
  <c r="AD176" i="17"/>
  <c r="AD173" i="15"/>
  <c r="AA174" i="15"/>
  <c r="X174" i="13"/>
  <c r="Y174" i="13" s="1"/>
  <c r="Z174" i="13" s="1"/>
  <c r="AA174" i="13" s="1"/>
  <c r="W175" i="13"/>
  <c r="A170" i="13"/>
  <c r="B169" i="13"/>
  <c r="D169" i="13" l="1"/>
  <c r="C169" i="13"/>
  <c r="D91" i="13"/>
  <c r="C91" i="13" s="1"/>
  <c r="AA180" i="24"/>
  <c r="AD179" i="24"/>
  <c r="AA178" i="22"/>
  <c r="AD177" i="22"/>
  <c r="B234" i="17"/>
  <c r="A235" i="17"/>
  <c r="G126" i="17"/>
  <c r="AN127" i="17"/>
  <c r="AM127" i="17" s="1"/>
  <c r="AL127" i="17" s="1"/>
  <c r="C127" i="17" s="1"/>
  <c r="D127" i="17" s="1"/>
  <c r="F127" i="17" s="1"/>
  <c r="E127" i="17" s="1"/>
  <c r="A170" i="15"/>
  <c r="B169" i="15"/>
  <c r="F80" i="15"/>
  <c r="AD177" i="18"/>
  <c r="AA178" i="18"/>
  <c r="AD177" i="17"/>
  <c r="AA178" i="17"/>
  <c r="AA175" i="15"/>
  <c r="AD174" i="15"/>
  <c r="A171" i="13"/>
  <c r="B170" i="13"/>
  <c r="X175" i="13"/>
  <c r="Y175" i="13" s="1"/>
  <c r="Z175" i="13" s="1"/>
  <c r="AA175" i="13" s="1"/>
  <c r="W176" i="13"/>
  <c r="D170" i="13" l="1"/>
  <c r="C170" i="13"/>
  <c r="E91" i="13"/>
  <c r="G91" i="13" s="1"/>
  <c r="F91" i="13" s="1"/>
  <c r="AA181" i="24"/>
  <c r="AD180" i="24"/>
  <c r="AA179" i="22"/>
  <c r="AD178" i="22"/>
  <c r="B235" i="17"/>
  <c r="A236" i="17"/>
  <c r="G127" i="17"/>
  <c r="AO129" i="17"/>
  <c r="AN128" i="17"/>
  <c r="AM128" i="17" s="1"/>
  <c r="AL128" i="17" s="1"/>
  <c r="C128" i="17" s="1"/>
  <c r="D128" i="17" s="1"/>
  <c r="F128" i="17" s="1"/>
  <c r="E128" i="17" s="1"/>
  <c r="B170" i="15"/>
  <c r="A171" i="15"/>
  <c r="E80" i="15"/>
  <c r="BB81" i="15" s="1"/>
  <c r="AA179" i="18"/>
  <c r="AD178" i="18"/>
  <c r="AA179" i="17"/>
  <c r="AD178" i="17"/>
  <c r="AA176" i="15"/>
  <c r="AD175" i="15"/>
  <c r="X176" i="13"/>
  <c r="Y176" i="13" s="1"/>
  <c r="Z176" i="13" s="1"/>
  <c r="AA176" i="13" s="1"/>
  <c r="W177" i="13"/>
  <c r="A172" i="13"/>
  <c r="B171" i="13"/>
  <c r="C171" i="13" l="1"/>
  <c r="D171" i="13"/>
  <c r="D92" i="13"/>
  <c r="E92" i="13" s="1"/>
  <c r="AA182" i="24"/>
  <c r="AD181" i="24"/>
  <c r="AA180" i="22"/>
  <c r="AD179" i="22"/>
  <c r="G128" i="17"/>
  <c r="AN129" i="17"/>
  <c r="AM129" i="17" s="1"/>
  <c r="AL129" i="17" s="1"/>
  <c r="C129" i="17" s="1"/>
  <c r="D129" i="17" s="1"/>
  <c r="F129" i="17" s="1"/>
  <c r="E129" i="17" s="1"/>
  <c r="AP131" i="17"/>
  <c r="A237" i="17"/>
  <c r="B236" i="17"/>
  <c r="A172" i="15"/>
  <c r="B171" i="15"/>
  <c r="G80" i="15"/>
  <c r="AP83" i="15"/>
  <c r="AN81" i="15"/>
  <c r="AM81" i="15" s="1"/>
  <c r="AL81" i="15"/>
  <c r="AA180" i="18"/>
  <c r="AD179" i="18"/>
  <c r="AA180" i="17"/>
  <c r="AD179" i="17"/>
  <c r="AA177" i="15"/>
  <c r="AD176" i="15"/>
  <c r="X177" i="13"/>
  <c r="Y177" i="13" s="1"/>
  <c r="Z177" i="13" s="1"/>
  <c r="AA177" i="13" s="1"/>
  <c r="W178" i="13"/>
  <c r="A173" i="13"/>
  <c r="B172" i="13"/>
  <c r="C92" i="13" l="1"/>
  <c r="G92" i="13" s="1"/>
  <c r="F92" i="13" s="1"/>
  <c r="D172" i="13"/>
  <c r="C172" i="13"/>
  <c r="AA183" i="24"/>
  <c r="AD182" i="24"/>
  <c r="AA181" i="22"/>
  <c r="AD180" i="22"/>
  <c r="G129" i="17"/>
  <c r="AO131" i="17"/>
  <c r="AN130" i="17"/>
  <c r="AM130" i="17" s="1"/>
  <c r="AL130" i="17" s="1"/>
  <c r="C130" i="17" s="1"/>
  <c r="D130" i="17" s="1"/>
  <c r="F130" i="17" s="1"/>
  <c r="E130" i="17" s="1"/>
  <c r="B237" i="17"/>
  <c r="A238" i="17"/>
  <c r="B172" i="15"/>
  <c r="A173" i="15"/>
  <c r="C81" i="15"/>
  <c r="D81" i="15" s="1"/>
  <c r="F81" i="15" s="1"/>
  <c r="E81" i="15" s="1"/>
  <c r="AD180" i="18"/>
  <c r="AA181" i="18"/>
  <c r="AA181" i="17"/>
  <c r="AD180" i="17"/>
  <c r="AA178" i="15"/>
  <c r="AD177" i="15"/>
  <c r="X178" i="13"/>
  <c r="Y178" i="13" s="1"/>
  <c r="Z178" i="13" s="1"/>
  <c r="AA178" i="13" s="1"/>
  <c r="W179" i="13"/>
  <c r="A174" i="13"/>
  <c r="B173" i="13"/>
  <c r="AL82" i="15" l="1"/>
  <c r="C82" i="15" s="1"/>
  <c r="D82" i="15" s="1"/>
  <c r="F82" i="15" s="1"/>
  <c r="E82" i="15" s="1"/>
  <c r="BB82" i="15"/>
  <c r="C173" i="13"/>
  <c r="D173" i="13"/>
  <c r="D93" i="13"/>
  <c r="C93" i="13" s="1"/>
  <c r="AA184" i="24"/>
  <c r="AD183" i="24"/>
  <c r="AA182" i="22"/>
  <c r="AD181" i="22"/>
  <c r="AN82" i="15"/>
  <c r="AM82" i="15" s="1"/>
  <c r="G81" i="15"/>
  <c r="G130" i="17"/>
  <c r="AN131" i="17"/>
  <c r="AL131" i="17"/>
  <c r="C131" i="17" s="1"/>
  <c r="D131" i="17" s="1"/>
  <c r="F131" i="17" s="1"/>
  <c r="E131" i="17" s="1"/>
  <c r="B238" i="17"/>
  <c r="A239" i="17"/>
  <c r="AO83" i="15"/>
  <c r="A174" i="15"/>
  <c r="B173" i="15"/>
  <c r="AA182" i="18"/>
  <c r="AD181" i="18"/>
  <c r="AA182" i="17"/>
  <c r="AD181" i="17"/>
  <c r="AA179" i="15"/>
  <c r="AD178" i="15"/>
  <c r="X179" i="13"/>
  <c r="Y179" i="13" s="1"/>
  <c r="Z179" i="13" s="1"/>
  <c r="AA179" i="13" s="1"/>
  <c r="W180" i="13"/>
  <c r="A175" i="13"/>
  <c r="B174" i="13"/>
  <c r="AN83" i="15" l="1"/>
  <c r="AM83" i="15" s="1"/>
  <c r="BB83" i="15"/>
  <c r="D174" i="13"/>
  <c r="C174" i="13"/>
  <c r="E93" i="13"/>
  <c r="G93" i="13" s="1"/>
  <c r="F93" i="13" s="1"/>
  <c r="AA185" i="24"/>
  <c r="AD184" i="24"/>
  <c r="AA183" i="22"/>
  <c r="AD182" i="22"/>
  <c r="B239" i="17"/>
  <c r="A240" i="17"/>
  <c r="G131" i="17"/>
  <c r="AN132" i="17"/>
  <c r="AM132" i="17" s="1"/>
  <c r="AL132" i="17" s="1"/>
  <c r="C132" i="17" s="1"/>
  <c r="D132" i="17" s="1"/>
  <c r="F132" i="17" s="1"/>
  <c r="E132" i="17" s="1"/>
  <c r="AP134" i="17"/>
  <c r="AQ137" i="17"/>
  <c r="AO133" i="17"/>
  <c r="AR143" i="17"/>
  <c r="AM143" i="17" s="1"/>
  <c r="AL83" i="15"/>
  <c r="C83" i="15" s="1"/>
  <c r="D83" i="15" s="1"/>
  <c r="F83" i="15" s="1"/>
  <c r="E83" i="15" s="1"/>
  <c r="AO85" i="15" s="1"/>
  <c r="G82" i="15"/>
  <c r="A175" i="15"/>
  <c r="B174" i="15"/>
  <c r="AD182" i="18"/>
  <c r="AA183" i="18"/>
  <c r="AD182" i="17"/>
  <c r="AA183" i="17"/>
  <c r="AA180" i="15"/>
  <c r="AD179" i="15"/>
  <c r="A176" i="13"/>
  <c r="B175" i="13"/>
  <c r="X180" i="13"/>
  <c r="Y180" i="13" s="1"/>
  <c r="Z180" i="13" s="1"/>
  <c r="AA180" i="13" s="1"/>
  <c r="W181" i="13"/>
  <c r="AQ89" i="15" l="1"/>
  <c r="AP86" i="15"/>
  <c r="AN84" i="15"/>
  <c r="AM84" i="15" s="1"/>
  <c r="AL84" i="15"/>
  <c r="C84" i="15" s="1"/>
  <c r="D84" i="15" s="1"/>
  <c r="BB84" i="15"/>
  <c r="G83" i="15"/>
  <c r="C175" i="13"/>
  <c r="D175" i="13"/>
  <c r="D94" i="13"/>
  <c r="E94" i="13" s="1"/>
  <c r="AA186" i="24"/>
  <c r="AD185" i="24"/>
  <c r="AA184" i="22"/>
  <c r="AD183" i="22"/>
  <c r="AR95" i="15"/>
  <c r="G132" i="17"/>
  <c r="AN133" i="17"/>
  <c r="AM133" i="17" s="1"/>
  <c r="AL133" i="17" s="1"/>
  <c r="C133" i="17" s="1"/>
  <c r="D133" i="17" s="1"/>
  <c r="F133" i="17" s="1"/>
  <c r="E133" i="17" s="1"/>
  <c r="A241" i="17"/>
  <c r="B240" i="17"/>
  <c r="B175" i="15"/>
  <c r="A176" i="15"/>
  <c r="AA184" i="18"/>
  <c r="AD183" i="18"/>
  <c r="AA184" i="17"/>
  <c r="AD183" i="17"/>
  <c r="AA181" i="15"/>
  <c r="AD180" i="15"/>
  <c r="X181" i="13"/>
  <c r="Y181" i="13" s="1"/>
  <c r="Z181" i="13" s="1"/>
  <c r="AA181" i="13" s="1"/>
  <c r="W182" i="13"/>
  <c r="A177" i="13"/>
  <c r="B176" i="13"/>
  <c r="C94" i="13" l="1"/>
  <c r="D176" i="13"/>
  <c r="C176" i="13"/>
  <c r="AA187" i="24"/>
  <c r="AD186" i="24"/>
  <c r="AA185" i="22"/>
  <c r="AD184" i="22"/>
  <c r="G133" i="17"/>
  <c r="AO135" i="17"/>
  <c r="AN134" i="17"/>
  <c r="AM134" i="17" s="1"/>
  <c r="AL134" i="17" s="1"/>
  <c r="C134" i="17" s="1"/>
  <c r="D134" i="17" s="1"/>
  <c r="F134" i="17" s="1"/>
  <c r="E134" i="17" s="1"/>
  <c r="B241" i="17"/>
  <c r="A242" i="17"/>
  <c r="A177" i="15"/>
  <c r="B176" i="15"/>
  <c r="AD184" i="18"/>
  <c r="AA185" i="18"/>
  <c r="AA185" i="17"/>
  <c r="AD184" i="17"/>
  <c r="AA182" i="15"/>
  <c r="AD181" i="15"/>
  <c r="G94" i="13"/>
  <c r="F94" i="13" s="1"/>
  <c r="X182" i="13"/>
  <c r="Y182" i="13" s="1"/>
  <c r="Z182" i="13" s="1"/>
  <c r="AA182" i="13" s="1"/>
  <c r="W183" i="13"/>
  <c r="A178" i="13"/>
  <c r="B177" i="13"/>
  <c r="D177" i="13" l="1"/>
  <c r="C177" i="13"/>
  <c r="D95" i="13"/>
  <c r="C95" i="13" s="1"/>
  <c r="AA188" i="24"/>
  <c r="AD187" i="24"/>
  <c r="AA186" i="22"/>
  <c r="AD185" i="22"/>
  <c r="B242" i="17"/>
  <c r="A243" i="17"/>
  <c r="G134" i="17"/>
  <c r="AN135" i="17"/>
  <c r="AM135" i="17" s="1"/>
  <c r="AL135" i="17" s="1"/>
  <c r="C135" i="17" s="1"/>
  <c r="D135" i="17" s="1"/>
  <c r="F135" i="17" s="1"/>
  <c r="E135" i="17" s="1"/>
  <c r="AP137" i="17"/>
  <c r="A178" i="15"/>
  <c r="B177" i="15"/>
  <c r="F84" i="15"/>
  <c r="AA186" i="18"/>
  <c r="AD185" i="18"/>
  <c r="AA186" i="17"/>
  <c r="AD185" i="17"/>
  <c r="AD182" i="15"/>
  <c r="AA183" i="15"/>
  <c r="X183" i="13"/>
  <c r="Y183" i="13" s="1"/>
  <c r="Z183" i="13" s="1"/>
  <c r="AA183" i="13" s="1"/>
  <c r="W184" i="13"/>
  <c r="A179" i="13"/>
  <c r="B178" i="13"/>
  <c r="B178" i="15" l="1"/>
  <c r="A179" i="15"/>
  <c r="D178" i="13"/>
  <c r="C178" i="13"/>
  <c r="E95" i="13"/>
  <c r="G95" i="13" s="1"/>
  <c r="F95" i="13" s="1"/>
  <c r="AA189" i="24"/>
  <c r="AD188" i="24"/>
  <c r="AA187" i="22"/>
  <c r="AD186" i="22"/>
  <c r="G135" i="17"/>
  <c r="AO137" i="17"/>
  <c r="AN136" i="17"/>
  <c r="AM136" i="17" s="1"/>
  <c r="AL136" i="17" s="1"/>
  <c r="C136" i="17" s="1"/>
  <c r="D136" i="17" s="1"/>
  <c r="F136" i="17" s="1"/>
  <c r="E136" i="17" s="1"/>
  <c r="B243" i="17"/>
  <c r="A244" i="17"/>
  <c r="E84" i="15"/>
  <c r="BB85" i="15" s="1"/>
  <c r="AA187" i="18"/>
  <c r="AD186" i="18"/>
  <c r="AD186" i="17"/>
  <c r="AA187" i="17"/>
  <c r="AA184" i="15"/>
  <c r="AD183" i="15"/>
  <c r="X184" i="13"/>
  <c r="Y184" i="13" s="1"/>
  <c r="Z184" i="13" s="1"/>
  <c r="AA184" i="13" s="1"/>
  <c r="W185" i="13"/>
  <c r="A180" i="13"/>
  <c r="B179" i="13"/>
  <c r="B179" i="15" l="1"/>
  <c r="A180" i="15"/>
  <c r="C179" i="13"/>
  <c r="D179" i="13"/>
  <c r="D96" i="13"/>
  <c r="E96" i="13" s="1"/>
  <c r="AA190" i="24"/>
  <c r="AD189" i="24"/>
  <c r="AA188" i="22"/>
  <c r="AD187" i="22"/>
  <c r="G136" i="17"/>
  <c r="AN137" i="17"/>
  <c r="AM137" i="17" s="1"/>
  <c r="AL137" i="17" s="1"/>
  <c r="C137" i="17" s="1"/>
  <c r="D137" i="17" s="1"/>
  <c r="F137" i="17" s="1"/>
  <c r="E137" i="17" s="1"/>
  <c r="A245" i="17"/>
  <c r="B244" i="17"/>
  <c r="AN85" i="15"/>
  <c r="AM85" i="15" s="1"/>
  <c r="G84" i="15"/>
  <c r="AL85" i="15"/>
  <c r="C85" i="15" s="1"/>
  <c r="D85" i="15" s="1"/>
  <c r="AA188" i="18"/>
  <c r="AD187" i="18"/>
  <c r="AA188" i="17"/>
  <c r="AD187" i="17"/>
  <c r="AA185" i="15"/>
  <c r="AD184" i="15"/>
  <c r="X185" i="13"/>
  <c r="Y185" i="13" s="1"/>
  <c r="Z185" i="13" s="1"/>
  <c r="AA185" i="13" s="1"/>
  <c r="W186" i="13"/>
  <c r="A181" i="13"/>
  <c r="B180" i="13"/>
  <c r="B180" i="15" l="1"/>
  <c r="A181" i="15"/>
  <c r="C96" i="13"/>
  <c r="G96" i="13" s="1"/>
  <c r="F96" i="13" s="1"/>
  <c r="D180" i="13"/>
  <c r="C180" i="13"/>
  <c r="AA191" i="24"/>
  <c r="AD190" i="24"/>
  <c r="AA189" i="22"/>
  <c r="AD188" i="22"/>
  <c r="G137" i="17"/>
  <c r="AP140" i="17"/>
  <c r="AN138" i="17"/>
  <c r="AM138" i="17" s="1"/>
  <c r="AL138" i="17" s="1"/>
  <c r="C138" i="17" s="1"/>
  <c r="D138" i="17" s="1"/>
  <c r="F138" i="17" s="1"/>
  <c r="E138" i="17" s="1"/>
  <c r="AO139" i="17"/>
  <c r="AQ143" i="17"/>
  <c r="B245" i="17"/>
  <c r="A246" i="17"/>
  <c r="AA189" i="18"/>
  <c r="AD188" i="18"/>
  <c r="AD188" i="17"/>
  <c r="AA189" i="17"/>
  <c r="AA186" i="15"/>
  <c r="AD185" i="15"/>
  <c r="X186" i="13"/>
  <c r="Y186" i="13" s="1"/>
  <c r="Z186" i="13" s="1"/>
  <c r="AA186" i="13" s="1"/>
  <c r="W187" i="13"/>
  <c r="A182" i="13"/>
  <c r="B181" i="13"/>
  <c r="A182" i="15" l="1"/>
  <c r="B181" i="15"/>
  <c r="C181" i="13"/>
  <c r="D181" i="13"/>
  <c r="D97" i="13"/>
  <c r="C97" i="13" s="1"/>
  <c r="AA192" i="24"/>
  <c r="AD191" i="24"/>
  <c r="AA190" i="22"/>
  <c r="AD189" i="22"/>
  <c r="B246" i="17"/>
  <c r="A247" i="17"/>
  <c r="G138" i="17"/>
  <c r="AN139" i="17"/>
  <c r="AM139" i="17" s="1"/>
  <c r="AL139" i="17" s="1"/>
  <c r="C139" i="17" s="1"/>
  <c r="D139" i="17" s="1"/>
  <c r="F139" i="17" s="1"/>
  <c r="E139" i="17" s="1"/>
  <c r="F85" i="15"/>
  <c r="AA190" i="18"/>
  <c r="AD189" i="18"/>
  <c r="AA190" i="17"/>
  <c r="AD189" i="17"/>
  <c r="AD186" i="15"/>
  <c r="AA187" i="15"/>
  <c r="X187" i="13"/>
  <c r="Y187" i="13" s="1"/>
  <c r="Z187" i="13" s="1"/>
  <c r="AA187" i="13" s="1"/>
  <c r="W188" i="13"/>
  <c r="A183" i="13"/>
  <c r="B182" i="13"/>
  <c r="B182" i="15" l="1"/>
  <c r="A183" i="15"/>
  <c r="D182" i="13"/>
  <c r="C182" i="13"/>
  <c r="E97" i="13"/>
  <c r="G97" i="13" s="1"/>
  <c r="F97" i="13" s="1"/>
  <c r="AA193" i="24"/>
  <c r="AD192" i="24"/>
  <c r="AA191" i="22"/>
  <c r="AD190" i="22"/>
  <c r="B247" i="17"/>
  <c r="A248" i="17"/>
  <c r="G139" i="17"/>
  <c r="AN140" i="17"/>
  <c r="AM140" i="17" s="1"/>
  <c r="AL140" i="17" s="1"/>
  <c r="C140" i="17" s="1"/>
  <c r="D140" i="17" s="1"/>
  <c r="F140" i="17" s="1"/>
  <c r="E140" i="17" s="1"/>
  <c r="AO141" i="17"/>
  <c r="E85" i="15"/>
  <c r="BB86" i="15" s="1"/>
  <c r="AA191" i="18"/>
  <c r="AD190" i="18"/>
  <c r="AD190" i="17"/>
  <c r="AA191" i="17"/>
  <c r="AA188" i="15"/>
  <c r="AD187" i="15"/>
  <c r="X188" i="13"/>
  <c r="Y188" i="13" s="1"/>
  <c r="Z188" i="13" s="1"/>
  <c r="AA188" i="13" s="1"/>
  <c r="W189" i="13"/>
  <c r="A184" i="13"/>
  <c r="B183" i="13"/>
  <c r="B183" i="15" l="1"/>
  <c r="A184" i="15"/>
  <c r="C183" i="13"/>
  <c r="D183" i="13"/>
  <c r="D98" i="13"/>
  <c r="C98" i="13" s="1"/>
  <c r="AA194" i="24"/>
  <c r="AD193" i="24"/>
  <c r="AA192" i="22"/>
  <c r="AD191" i="22"/>
  <c r="G140" i="17"/>
  <c r="AP143" i="17"/>
  <c r="AN141" i="17"/>
  <c r="AM141" i="17" s="1"/>
  <c r="AL141" i="17" s="1"/>
  <c r="C141" i="17" s="1"/>
  <c r="D141" i="17" s="1"/>
  <c r="F141" i="17" s="1"/>
  <c r="E141" i="17" s="1"/>
  <c r="A249" i="17"/>
  <c r="B248" i="17"/>
  <c r="AN86" i="15"/>
  <c r="AM86" i="15" s="1"/>
  <c r="AO87" i="15"/>
  <c r="AL86" i="15"/>
  <c r="C86" i="15" s="1"/>
  <c r="G85" i="15"/>
  <c r="AA192" i="18"/>
  <c r="AD191" i="18"/>
  <c r="AA192" i="17"/>
  <c r="AD191" i="17"/>
  <c r="AA189" i="15"/>
  <c r="AD188" i="15"/>
  <c r="X189" i="13"/>
  <c r="Y189" i="13" s="1"/>
  <c r="Z189" i="13" s="1"/>
  <c r="AA189" i="13" s="1"/>
  <c r="W190" i="13"/>
  <c r="A185" i="13"/>
  <c r="B184" i="13"/>
  <c r="B184" i="15" l="1"/>
  <c r="A185" i="15"/>
  <c r="E98" i="13"/>
  <c r="D184" i="13"/>
  <c r="C184" i="13"/>
  <c r="AA195" i="24"/>
  <c r="AD194" i="24"/>
  <c r="AA193" i="22"/>
  <c r="AD192" i="22"/>
  <c r="A250" i="17"/>
  <c r="B249" i="17"/>
  <c r="G141" i="17"/>
  <c r="AO143" i="17"/>
  <c r="AN142" i="17"/>
  <c r="AM142" i="17" s="1"/>
  <c r="AL142" i="17" s="1"/>
  <c r="C142" i="17" s="1"/>
  <c r="D142" i="17" s="1"/>
  <c r="F142" i="17" s="1"/>
  <c r="E142" i="17" s="1"/>
  <c r="D86" i="15"/>
  <c r="G98" i="13"/>
  <c r="F98" i="13" s="1"/>
  <c r="AD192" i="18"/>
  <c r="AA193" i="18"/>
  <c r="AA193" i="17"/>
  <c r="AD192" i="17"/>
  <c r="AA190" i="15"/>
  <c r="AD189" i="15"/>
  <c r="X190" i="13"/>
  <c r="Y190" i="13" s="1"/>
  <c r="Z190" i="13" s="1"/>
  <c r="AA190" i="13" s="1"/>
  <c r="W191" i="13"/>
  <c r="B185" i="13"/>
  <c r="A186" i="13"/>
  <c r="A186" i="15" l="1"/>
  <c r="B185" i="15"/>
  <c r="D185" i="13"/>
  <c r="C185" i="13"/>
  <c r="D99" i="13"/>
  <c r="C99" i="13" s="1"/>
  <c r="AA196" i="24"/>
  <c r="AD195" i="24"/>
  <c r="AA194" i="22"/>
  <c r="AD193" i="22"/>
  <c r="G142" i="17"/>
  <c r="AN143" i="17"/>
  <c r="AL143" i="17"/>
  <c r="C143" i="17" s="1"/>
  <c r="D143" i="17" s="1"/>
  <c r="F143" i="17" s="1"/>
  <c r="E143" i="17" s="1"/>
  <c r="B250" i="17"/>
  <c r="A251" i="17"/>
  <c r="F86" i="15"/>
  <c r="AA194" i="18"/>
  <c r="AD193" i="18"/>
  <c r="AA194" i="17"/>
  <c r="AD193" i="17"/>
  <c r="AA191" i="15"/>
  <c r="AD190" i="15"/>
  <c r="X191" i="13"/>
  <c r="Y191" i="13" s="1"/>
  <c r="Z191" i="13" s="1"/>
  <c r="AA191" i="13" s="1"/>
  <c r="W192" i="13"/>
  <c r="B186" i="13"/>
  <c r="A187" i="13"/>
  <c r="A187" i="15" l="1"/>
  <c r="B186" i="15"/>
  <c r="D186" i="13"/>
  <c r="C186" i="13"/>
  <c r="E99" i="13"/>
  <c r="G99" i="13" s="1"/>
  <c r="F99" i="13" s="1"/>
  <c r="AA197" i="24"/>
  <c r="AD196" i="24"/>
  <c r="AA195" i="22"/>
  <c r="AD194" i="22"/>
  <c r="G143" i="17"/>
  <c r="AN144" i="17"/>
  <c r="AM144" i="17" s="1"/>
  <c r="AL144" i="17" s="1"/>
  <c r="C144" i="17" s="1"/>
  <c r="D144" i="17" s="1"/>
  <c r="F144" i="17" s="1"/>
  <c r="E144" i="17" s="1"/>
  <c r="AQ149" i="17"/>
  <c r="AR155" i="17"/>
  <c r="AM155" i="17" s="1"/>
  <c r="AO145" i="17"/>
  <c r="AP146" i="17"/>
  <c r="B251" i="17"/>
  <c r="A252" i="17"/>
  <c r="E86" i="15"/>
  <c r="BB87" i="15" s="1"/>
  <c r="AA195" i="18"/>
  <c r="AD194" i="18"/>
  <c r="AD194" i="17"/>
  <c r="AA195" i="17"/>
  <c r="AD191" i="15"/>
  <c r="AA192" i="15"/>
  <c r="B187" i="13"/>
  <c r="A188" i="13"/>
  <c r="X192" i="13"/>
  <c r="Y192" i="13" s="1"/>
  <c r="Z192" i="13" s="1"/>
  <c r="AA192" i="13" s="1"/>
  <c r="W193" i="13"/>
  <c r="B187" i="15" l="1"/>
  <c r="A188" i="15"/>
  <c r="C187" i="13"/>
  <c r="D187" i="13"/>
  <c r="D100" i="13"/>
  <c r="E100" i="13" s="1"/>
  <c r="AA198" i="24"/>
  <c r="AD197" i="24"/>
  <c r="AA196" i="22"/>
  <c r="AD195" i="22"/>
  <c r="A253" i="17"/>
  <c r="B252" i="17"/>
  <c r="G144" i="17"/>
  <c r="AN145" i="17"/>
  <c r="AM145" i="17" s="1"/>
  <c r="AL145" i="17" s="1"/>
  <c r="C145" i="17" s="1"/>
  <c r="D145" i="17" s="1"/>
  <c r="F145" i="17" s="1"/>
  <c r="E145" i="17" s="1"/>
  <c r="AN87" i="15"/>
  <c r="AM87" i="15" s="1"/>
  <c r="AL87" i="15" s="1"/>
  <c r="C87" i="15" s="1"/>
  <c r="G86" i="15"/>
  <c r="AP89" i="15"/>
  <c r="AA196" i="18"/>
  <c r="AD195" i="18"/>
  <c r="AA196" i="17"/>
  <c r="AD195" i="17"/>
  <c r="AA193" i="15"/>
  <c r="AD192" i="15"/>
  <c r="X193" i="13"/>
  <c r="Y193" i="13" s="1"/>
  <c r="Z193" i="13" s="1"/>
  <c r="AA193" i="13" s="1"/>
  <c r="W194" i="13"/>
  <c r="B188" i="13"/>
  <c r="A189" i="13"/>
  <c r="A189" i="15" l="1"/>
  <c r="B188" i="15"/>
  <c r="C100" i="13"/>
  <c r="G100" i="13" s="1"/>
  <c r="F100" i="13" s="1"/>
  <c r="D188" i="13"/>
  <c r="C188" i="13"/>
  <c r="AA199" i="24"/>
  <c r="AD198" i="24"/>
  <c r="AA197" i="22"/>
  <c r="AD196" i="22"/>
  <c r="G145" i="17"/>
  <c r="AO147" i="17"/>
  <c r="AN146" i="17"/>
  <c r="AM146" i="17" s="1"/>
  <c r="AL146" i="17" s="1"/>
  <c r="C146" i="17" s="1"/>
  <c r="D146" i="17" s="1"/>
  <c r="F146" i="17" s="1"/>
  <c r="E146" i="17" s="1"/>
  <c r="B253" i="17"/>
  <c r="A254" i="17"/>
  <c r="D87" i="15"/>
  <c r="AA197" i="18"/>
  <c r="AD196" i="18"/>
  <c r="AD196" i="17"/>
  <c r="AA197" i="17"/>
  <c r="AA194" i="15"/>
  <c r="AD193" i="15"/>
  <c r="B189" i="13"/>
  <c r="A190" i="13"/>
  <c r="X194" i="13"/>
  <c r="Y194" i="13" s="1"/>
  <c r="Z194" i="13" s="1"/>
  <c r="AA194" i="13" s="1"/>
  <c r="W195" i="13"/>
  <c r="B189" i="15" l="1"/>
  <c r="A190" i="15"/>
  <c r="C189" i="13"/>
  <c r="D189" i="13"/>
  <c r="D101" i="13"/>
  <c r="C101" i="13" s="1"/>
  <c r="AA200" i="24"/>
  <c r="AD199" i="24"/>
  <c r="AA198" i="22"/>
  <c r="AD197" i="22"/>
  <c r="G146" i="17"/>
  <c r="AP149" i="17"/>
  <c r="AN147" i="17"/>
  <c r="AM147" i="17" s="1"/>
  <c r="AL147" i="17" s="1"/>
  <c r="C147" i="17" s="1"/>
  <c r="D147" i="17" s="1"/>
  <c r="F147" i="17" s="1"/>
  <c r="E147" i="17" s="1"/>
  <c r="B254" i="17"/>
  <c r="A255" i="17"/>
  <c r="F87" i="15"/>
  <c r="AA198" i="18"/>
  <c r="AD197" i="18"/>
  <c r="AA198" i="17"/>
  <c r="AD197" i="17"/>
  <c r="AD194" i="15"/>
  <c r="AA195" i="15"/>
  <c r="X195" i="13"/>
  <c r="Y195" i="13" s="1"/>
  <c r="Z195" i="13" s="1"/>
  <c r="AA195" i="13" s="1"/>
  <c r="W196" i="13"/>
  <c r="B190" i="13"/>
  <c r="A191" i="13"/>
  <c r="B190" i="15" l="1"/>
  <c r="A191" i="15"/>
  <c r="D190" i="13"/>
  <c r="C190" i="13"/>
  <c r="E101" i="13"/>
  <c r="G101" i="13" s="1"/>
  <c r="F101" i="13" s="1"/>
  <c r="AA201" i="24"/>
  <c r="AD200" i="24"/>
  <c r="AA199" i="22"/>
  <c r="AD198" i="22"/>
  <c r="G147" i="17"/>
  <c r="AN148" i="17"/>
  <c r="AM148" i="17" s="1"/>
  <c r="AL148" i="17" s="1"/>
  <c r="C148" i="17" s="1"/>
  <c r="D148" i="17" s="1"/>
  <c r="F148" i="17" s="1"/>
  <c r="E148" i="17" s="1"/>
  <c r="AO149" i="17"/>
  <c r="B255" i="17"/>
  <c r="A256" i="17"/>
  <c r="E87" i="15"/>
  <c r="BB88" i="15" s="1"/>
  <c r="AD198" i="18"/>
  <c r="AA199" i="18"/>
  <c r="AD198" i="17"/>
  <c r="AA199" i="17"/>
  <c r="AA196" i="15"/>
  <c r="AD195" i="15"/>
  <c r="B191" i="13"/>
  <c r="A192" i="13"/>
  <c r="X196" i="13"/>
  <c r="Y196" i="13" s="1"/>
  <c r="Z196" i="13" s="1"/>
  <c r="AA196" i="13" s="1"/>
  <c r="W197" i="13"/>
  <c r="A192" i="15" l="1"/>
  <c r="B191" i="15"/>
  <c r="C191" i="13"/>
  <c r="D191" i="13"/>
  <c r="D102" i="13"/>
  <c r="C102" i="13" s="1"/>
  <c r="AA202" i="24"/>
  <c r="AD201" i="24"/>
  <c r="AA200" i="22"/>
  <c r="AD199" i="22"/>
  <c r="G148" i="17"/>
  <c r="AN149" i="17"/>
  <c r="AM149" i="17" s="1"/>
  <c r="AL149" i="17" s="1"/>
  <c r="C149" i="17" s="1"/>
  <c r="D149" i="17" s="1"/>
  <c r="F149" i="17" s="1"/>
  <c r="E149" i="17" s="1"/>
  <c r="A257" i="17"/>
  <c r="B256" i="17"/>
  <c r="G87" i="15"/>
  <c r="AN88" i="15"/>
  <c r="AM88" i="15" s="1"/>
  <c r="AL88" i="15" s="1"/>
  <c r="C88" i="15" s="1"/>
  <c r="AO89" i="15"/>
  <c r="AA200" i="18"/>
  <c r="AD199" i="18"/>
  <c r="AA200" i="17"/>
  <c r="AD199" i="17"/>
  <c r="AA197" i="15"/>
  <c r="AD196" i="15"/>
  <c r="X197" i="13"/>
  <c r="Y197" i="13" s="1"/>
  <c r="Z197" i="13" s="1"/>
  <c r="AA197" i="13" s="1"/>
  <c r="W198" i="13"/>
  <c r="B192" i="13"/>
  <c r="A193" i="13"/>
  <c r="A193" i="15" l="1"/>
  <c r="B192" i="15"/>
  <c r="D192" i="13"/>
  <c r="C192" i="13"/>
  <c r="E102" i="13"/>
  <c r="G102" i="13" s="1"/>
  <c r="F102" i="13" s="1"/>
  <c r="AA203" i="24"/>
  <c r="AD202" i="24"/>
  <c r="AA201" i="22"/>
  <c r="AD200" i="22"/>
  <c r="G149" i="17"/>
  <c r="AO151" i="17"/>
  <c r="AQ155" i="17"/>
  <c r="AP152" i="17"/>
  <c r="AN150" i="17"/>
  <c r="AM150" i="17" s="1"/>
  <c r="AL150" i="17" s="1"/>
  <c r="C150" i="17" s="1"/>
  <c r="D150" i="17" s="1"/>
  <c r="F150" i="17" s="1"/>
  <c r="E150" i="17" s="1"/>
  <c r="B257" i="17"/>
  <c r="A258" i="17"/>
  <c r="D88" i="15"/>
  <c r="AD200" i="18"/>
  <c r="AA201" i="18"/>
  <c r="AA201" i="17"/>
  <c r="AD200" i="17"/>
  <c r="AD197" i="15"/>
  <c r="AA198" i="15"/>
  <c r="B193" i="13"/>
  <c r="A194" i="13"/>
  <c r="X198" i="13"/>
  <c r="Y198" i="13" s="1"/>
  <c r="Z198" i="13" s="1"/>
  <c r="AA198" i="13" s="1"/>
  <c r="W199" i="13"/>
  <c r="B193" i="15" l="1"/>
  <c r="A194" i="15"/>
  <c r="D193" i="13"/>
  <c r="C193" i="13"/>
  <c r="D103" i="13"/>
  <c r="C103" i="13" s="1"/>
  <c r="AA204" i="24"/>
  <c r="AD203" i="24"/>
  <c r="AA202" i="22"/>
  <c r="AD201" i="22"/>
  <c r="B258" i="17"/>
  <c r="A259" i="17"/>
  <c r="G150" i="17"/>
  <c r="AN151" i="17"/>
  <c r="AM151" i="17" s="1"/>
  <c r="AL151" i="17" s="1"/>
  <c r="C151" i="17" s="1"/>
  <c r="D151" i="17" s="1"/>
  <c r="F151" i="17" s="1"/>
  <c r="E151" i="17" s="1"/>
  <c r="F88" i="15"/>
  <c r="AA202" i="18"/>
  <c r="AD201" i="18"/>
  <c r="AA202" i="17"/>
  <c r="AD201" i="17"/>
  <c r="AD198" i="15"/>
  <c r="AA199" i="15"/>
  <c r="X199" i="13"/>
  <c r="Y199" i="13" s="1"/>
  <c r="Z199" i="13" s="1"/>
  <c r="AA199" i="13" s="1"/>
  <c r="W200" i="13"/>
  <c r="B194" i="13"/>
  <c r="A195" i="13"/>
  <c r="A195" i="15" l="1"/>
  <c r="B194" i="15"/>
  <c r="C194" i="13"/>
  <c r="D194" i="13"/>
  <c r="E103" i="13"/>
  <c r="G103" i="13" s="1"/>
  <c r="F103" i="13" s="1"/>
  <c r="AA205" i="24"/>
  <c r="AD204" i="24"/>
  <c r="AA203" i="22"/>
  <c r="AD202" i="22"/>
  <c r="B259" i="17"/>
  <c r="A260" i="17"/>
  <c r="G151" i="17"/>
  <c r="AN152" i="17"/>
  <c r="AM152" i="17" s="1"/>
  <c r="AL152" i="17" s="1"/>
  <c r="C152" i="17" s="1"/>
  <c r="D152" i="17" s="1"/>
  <c r="F152" i="17" s="1"/>
  <c r="E152" i="17" s="1"/>
  <c r="AO153" i="17"/>
  <c r="E88" i="15"/>
  <c r="BB89" i="15" s="1"/>
  <c r="AA203" i="18"/>
  <c r="AD202" i="18"/>
  <c r="AD202" i="17"/>
  <c r="AA203" i="17"/>
  <c r="AA200" i="15"/>
  <c r="AD199" i="15"/>
  <c r="B195" i="13"/>
  <c r="A196" i="13"/>
  <c r="X200" i="13"/>
  <c r="Y200" i="13" s="1"/>
  <c r="Z200" i="13" s="1"/>
  <c r="AA200" i="13" s="1"/>
  <c r="W201" i="13"/>
  <c r="B195" i="15" l="1"/>
  <c r="A196" i="15"/>
  <c r="C195" i="13"/>
  <c r="D195" i="13"/>
  <c r="D104" i="13"/>
  <c r="E104" i="13" s="1"/>
  <c r="AA206" i="24"/>
  <c r="AD205" i="24"/>
  <c r="AA204" i="22"/>
  <c r="AD203" i="22"/>
  <c r="A261" i="17"/>
  <c r="B260" i="17"/>
  <c r="G152" i="17"/>
  <c r="AN153" i="17"/>
  <c r="AM153" i="17" s="1"/>
  <c r="AL153" i="17" s="1"/>
  <c r="C153" i="17" s="1"/>
  <c r="D153" i="17" s="1"/>
  <c r="F153" i="17" s="1"/>
  <c r="E153" i="17" s="1"/>
  <c r="AP155" i="17"/>
  <c r="G88" i="15"/>
  <c r="AN89" i="15"/>
  <c r="AM89" i="15" s="1"/>
  <c r="AL89" i="15" s="1"/>
  <c r="C89" i="15" s="1"/>
  <c r="AA204" i="18"/>
  <c r="AD203" i="18"/>
  <c r="AA204" i="17"/>
  <c r="AD203" i="17"/>
  <c r="AD200" i="15"/>
  <c r="AA201" i="15"/>
  <c r="X201" i="13"/>
  <c r="Y201" i="13" s="1"/>
  <c r="Z201" i="13" s="1"/>
  <c r="AA201" i="13" s="1"/>
  <c r="W202" i="13"/>
  <c r="B196" i="13"/>
  <c r="A197" i="13"/>
  <c r="A197" i="15" l="1"/>
  <c r="B196" i="15"/>
  <c r="C104" i="13"/>
  <c r="G104" i="13" s="1"/>
  <c r="F104" i="13" s="1"/>
  <c r="D196" i="13"/>
  <c r="C196" i="13"/>
  <c r="AA207" i="24"/>
  <c r="AD206" i="24"/>
  <c r="AA205" i="22"/>
  <c r="AD204" i="22"/>
  <c r="G153" i="17"/>
  <c r="AO155" i="17"/>
  <c r="AN154" i="17"/>
  <c r="AM154" i="17" s="1"/>
  <c r="AL154" i="17" s="1"/>
  <c r="C154" i="17" s="1"/>
  <c r="D154" i="17" s="1"/>
  <c r="F154" i="17" s="1"/>
  <c r="E154" i="17" s="1"/>
  <c r="B261" i="17"/>
  <c r="A262" i="17"/>
  <c r="D89" i="15"/>
  <c r="AD204" i="18"/>
  <c r="AA205" i="18"/>
  <c r="AD204" i="17"/>
  <c r="AA205" i="17"/>
  <c r="AD201" i="15"/>
  <c r="AA202" i="15"/>
  <c r="B197" i="13"/>
  <c r="A198" i="13"/>
  <c r="X202" i="13"/>
  <c r="Y202" i="13" s="1"/>
  <c r="Z202" i="13" s="1"/>
  <c r="AA202" i="13" s="1"/>
  <c r="W203" i="13"/>
  <c r="A198" i="15" l="1"/>
  <c r="B197" i="15"/>
  <c r="C197" i="13"/>
  <c r="D197" i="13"/>
  <c r="D105" i="13"/>
  <c r="E105" i="13" s="1"/>
  <c r="AA208" i="24"/>
  <c r="AD207" i="24"/>
  <c r="AA206" i="22"/>
  <c r="AD205" i="22"/>
  <c r="B262" i="17"/>
  <c r="A263" i="17"/>
  <c r="G154" i="17"/>
  <c r="AN155" i="17"/>
  <c r="AL155" i="17"/>
  <c r="C155" i="17" s="1"/>
  <c r="D155" i="17" s="1"/>
  <c r="F155" i="17" s="1"/>
  <c r="E155" i="17" s="1"/>
  <c r="F89" i="15"/>
  <c r="AA206" i="18"/>
  <c r="AD205" i="18"/>
  <c r="AA206" i="17"/>
  <c r="AD205" i="17"/>
  <c r="AA203" i="15"/>
  <c r="AD202" i="15"/>
  <c r="X203" i="13"/>
  <c r="Y203" i="13" s="1"/>
  <c r="Z203" i="13" s="1"/>
  <c r="AA203" i="13" s="1"/>
  <c r="W204" i="13"/>
  <c r="B198" i="13"/>
  <c r="A199" i="13"/>
  <c r="A199" i="15" l="1"/>
  <c r="B198" i="15"/>
  <c r="C105" i="13"/>
  <c r="G105" i="13" s="1"/>
  <c r="F105" i="13" s="1"/>
  <c r="D198" i="13"/>
  <c r="C198" i="13"/>
  <c r="AA209" i="24"/>
  <c r="AD208" i="24"/>
  <c r="AA207" i="22"/>
  <c r="AD206" i="22"/>
  <c r="B263" i="17"/>
  <c r="A264" i="17"/>
  <c r="G155" i="17"/>
  <c r="AN156" i="17"/>
  <c r="AM156" i="17" s="1"/>
  <c r="AL156" i="17" s="1"/>
  <c r="C156" i="17" s="1"/>
  <c r="D156" i="17" s="1"/>
  <c r="F156" i="17" s="1"/>
  <c r="E156" i="17" s="1"/>
  <c r="AQ161" i="17"/>
  <c r="AR167" i="17"/>
  <c r="AM167" i="17" s="1"/>
  <c r="AP158" i="17"/>
  <c r="AO157" i="17"/>
  <c r="E89" i="15"/>
  <c r="BB90" i="15" s="1"/>
  <c r="AD206" i="18"/>
  <c r="AA207" i="18"/>
  <c r="AD206" i="17"/>
  <c r="AA207" i="17"/>
  <c r="AD203" i="15"/>
  <c r="AA204" i="15"/>
  <c r="B199" i="13"/>
  <c r="A200" i="13"/>
  <c r="X204" i="13"/>
  <c r="Y204" i="13" s="1"/>
  <c r="Z204" i="13" s="1"/>
  <c r="AA204" i="13" s="1"/>
  <c r="W205" i="13"/>
  <c r="B199" i="15" l="1"/>
  <c r="A200" i="15"/>
  <c r="C199" i="13"/>
  <c r="D199" i="13"/>
  <c r="D106" i="13"/>
  <c r="C106" i="13" s="1"/>
  <c r="AA210" i="24"/>
  <c r="AD209" i="24"/>
  <c r="AA208" i="22"/>
  <c r="AD207" i="22"/>
  <c r="G156" i="17"/>
  <c r="AN157" i="17"/>
  <c r="AM157" i="17" s="1"/>
  <c r="AL157" i="17" s="1"/>
  <c r="C157" i="17" s="1"/>
  <c r="D157" i="17" s="1"/>
  <c r="F157" i="17" s="1"/>
  <c r="E157" i="17" s="1"/>
  <c r="A265" i="17"/>
  <c r="B264" i="17"/>
  <c r="C264" i="17" s="1"/>
  <c r="D264" i="17" s="1"/>
  <c r="F264" i="17" s="1"/>
  <c r="E264" i="17" s="1"/>
  <c r="G89" i="15"/>
  <c r="AN90" i="15"/>
  <c r="AM90" i="15" s="1"/>
  <c r="AL90" i="15" s="1"/>
  <c r="C90" i="15" s="1"/>
  <c r="AQ95" i="15"/>
  <c r="AP92" i="15"/>
  <c r="AO91" i="15"/>
  <c r="AA208" i="18"/>
  <c r="AD207" i="18"/>
  <c r="AA208" i="17"/>
  <c r="AD207" i="17"/>
  <c r="AD204" i="15"/>
  <c r="AA205" i="15"/>
  <c r="X205" i="13"/>
  <c r="Y205" i="13" s="1"/>
  <c r="Z205" i="13" s="1"/>
  <c r="AA205" i="13" s="1"/>
  <c r="W206" i="13"/>
  <c r="B200" i="13"/>
  <c r="A201" i="13"/>
  <c r="B200" i="15" l="1"/>
  <c r="A201" i="15"/>
  <c r="D200" i="13"/>
  <c r="C200" i="13"/>
  <c r="E106" i="13"/>
  <c r="G106" i="13" s="1"/>
  <c r="F106" i="13" s="1"/>
  <c r="AA211" i="24"/>
  <c r="AD210" i="24"/>
  <c r="AA209" i="22"/>
  <c r="AD208" i="22"/>
  <c r="G157" i="17"/>
  <c r="AN158" i="17"/>
  <c r="AM158" i="17" s="1"/>
  <c r="AL158" i="17" s="1"/>
  <c r="C158" i="17" s="1"/>
  <c r="D158" i="17" s="1"/>
  <c r="F158" i="17" s="1"/>
  <c r="E158" i="17" s="1"/>
  <c r="AO159" i="17"/>
  <c r="A266" i="17"/>
  <c r="B265" i="17"/>
  <c r="C265" i="17" s="1"/>
  <c r="D265" i="17" s="1"/>
  <c r="F265" i="17" s="1"/>
  <c r="E265" i="17" s="1"/>
  <c r="G264" i="17"/>
  <c r="AN265" i="17"/>
  <c r="AM265" i="17" s="1"/>
  <c r="AL265" i="17" s="1"/>
  <c r="D90" i="15"/>
  <c r="AD208" i="18"/>
  <c r="AA209" i="18"/>
  <c r="AA209" i="17"/>
  <c r="AD208" i="17"/>
  <c r="AA206" i="15"/>
  <c r="AD205" i="15"/>
  <c r="B201" i="13"/>
  <c r="A202" i="13"/>
  <c r="X206" i="13"/>
  <c r="Y206" i="13" s="1"/>
  <c r="Z206" i="13" s="1"/>
  <c r="AA206" i="13" s="1"/>
  <c r="W207" i="13"/>
  <c r="B201" i="15" l="1"/>
  <c r="A202" i="15"/>
  <c r="D201" i="13"/>
  <c r="C201" i="13"/>
  <c r="D107" i="13"/>
  <c r="C107" i="13" s="1"/>
  <c r="AA212" i="24"/>
  <c r="AD211" i="24"/>
  <c r="AA210" i="22"/>
  <c r="AD209" i="22"/>
  <c r="G158" i="17"/>
  <c r="AP161" i="17"/>
  <c r="AN159" i="17"/>
  <c r="AM159" i="17" s="1"/>
  <c r="AL159" i="17" s="1"/>
  <c r="C159" i="17" s="1"/>
  <c r="D159" i="17" s="1"/>
  <c r="F159" i="17" s="1"/>
  <c r="E159" i="17" s="1"/>
  <c r="B266" i="17"/>
  <c r="C266" i="17" s="1"/>
  <c r="D266" i="17" s="1"/>
  <c r="F266" i="17" s="1"/>
  <c r="E266" i="17" s="1"/>
  <c r="A267" i="17"/>
  <c r="G265" i="17"/>
  <c r="AN266" i="17"/>
  <c r="AM266" i="17" s="1"/>
  <c r="AL266" i="17" s="1"/>
  <c r="AO267" i="17"/>
  <c r="F90" i="15"/>
  <c r="AA210" i="18"/>
  <c r="AD209" i="18"/>
  <c r="AA210" i="17"/>
  <c r="AD209" i="17"/>
  <c r="AA207" i="15"/>
  <c r="AD206" i="15"/>
  <c r="B202" i="13"/>
  <c r="A203" i="13"/>
  <c r="X207" i="13"/>
  <c r="Y207" i="13" s="1"/>
  <c r="Z207" i="13" s="1"/>
  <c r="AA207" i="13" s="1"/>
  <c r="W208" i="13"/>
  <c r="B202" i="15" l="1"/>
  <c r="A203" i="15"/>
  <c r="D202" i="13"/>
  <c r="C202" i="13"/>
  <c r="E107" i="13"/>
  <c r="G107" i="13" s="1"/>
  <c r="F107" i="13" s="1"/>
  <c r="AA213" i="24"/>
  <c r="AD212" i="24"/>
  <c r="AA211" i="22"/>
  <c r="AD210" i="22"/>
  <c r="G266" i="17"/>
  <c r="AN267" i="17"/>
  <c r="AM267" i="17" s="1"/>
  <c r="AL267" i="17" s="1"/>
  <c r="AP269" i="17"/>
  <c r="G159" i="17"/>
  <c r="AN160" i="17"/>
  <c r="AM160" i="17" s="1"/>
  <c r="AL160" i="17" s="1"/>
  <c r="C160" i="17" s="1"/>
  <c r="D160" i="17" s="1"/>
  <c r="F160" i="17" s="1"/>
  <c r="E160" i="17" s="1"/>
  <c r="AO161" i="17"/>
  <c r="B267" i="17"/>
  <c r="C267" i="17" s="1"/>
  <c r="D267" i="17" s="1"/>
  <c r="F267" i="17" s="1"/>
  <c r="E267" i="17" s="1"/>
  <c r="A268" i="17"/>
  <c r="E90" i="15"/>
  <c r="BB91" i="15" s="1"/>
  <c r="AD210" i="18"/>
  <c r="AA211" i="18"/>
  <c r="AD210" i="17"/>
  <c r="AA211" i="17"/>
  <c r="AD207" i="15"/>
  <c r="AA208" i="15"/>
  <c r="X208" i="13"/>
  <c r="Y208" i="13" s="1"/>
  <c r="Z208" i="13" s="1"/>
  <c r="AA208" i="13" s="1"/>
  <c r="W209" i="13"/>
  <c r="B203" i="13"/>
  <c r="A204" i="13"/>
  <c r="A204" i="15" l="1"/>
  <c r="B203" i="15"/>
  <c r="C203" i="13"/>
  <c r="D203" i="13"/>
  <c r="D108" i="13"/>
  <c r="C108" i="13" s="1"/>
  <c r="AA214" i="24"/>
  <c r="AD213" i="24"/>
  <c r="AA212" i="22"/>
  <c r="AD211" i="22"/>
  <c r="A269" i="17"/>
  <c r="B268" i="17"/>
  <c r="C268" i="17" s="1"/>
  <c r="D268" i="17" s="1"/>
  <c r="F268" i="17" s="1"/>
  <c r="E268" i="17" s="1"/>
  <c r="G267" i="17"/>
  <c r="AN268" i="17"/>
  <c r="AM268" i="17" s="1"/>
  <c r="AL268" i="17" s="1"/>
  <c r="AO269" i="17"/>
  <c r="G160" i="17"/>
  <c r="AN161" i="17"/>
  <c r="AM161" i="17" s="1"/>
  <c r="AL161" i="17" s="1"/>
  <c r="C161" i="17" s="1"/>
  <c r="D161" i="17" s="1"/>
  <c r="F161" i="17" s="1"/>
  <c r="E161" i="17" s="1"/>
  <c r="G90" i="15"/>
  <c r="AN91" i="15"/>
  <c r="AM91" i="15" s="1"/>
  <c r="AL91" i="15" s="1"/>
  <c r="C91" i="15" s="1"/>
  <c r="AA212" i="18"/>
  <c r="AD211" i="18"/>
  <c r="AA212" i="17"/>
  <c r="AD211" i="17"/>
  <c r="AD208" i="15"/>
  <c r="AA209" i="15"/>
  <c r="B204" i="13"/>
  <c r="A205" i="13"/>
  <c r="X209" i="13"/>
  <c r="Y209" i="13" s="1"/>
  <c r="Z209" i="13" s="1"/>
  <c r="AA209" i="13" s="1"/>
  <c r="W210" i="13"/>
  <c r="A205" i="15" l="1"/>
  <c r="B204" i="15"/>
  <c r="C204" i="15" s="1"/>
  <c r="D204" i="15" s="1"/>
  <c r="F204" i="15" s="1"/>
  <c r="E204" i="15" s="1"/>
  <c r="E108" i="13"/>
  <c r="G108" i="13" s="1"/>
  <c r="F108" i="13" s="1"/>
  <c r="D204" i="13"/>
  <c r="C204" i="13"/>
  <c r="AA215" i="24"/>
  <c r="AD214" i="24"/>
  <c r="AA213" i="22"/>
  <c r="AD212" i="22"/>
  <c r="G268" i="17"/>
  <c r="AN269" i="17"/>
  <c r="AM269" i="17" s="1"/>
  <c r="AL269" i="17" s="1"/>
  <c r="G161" i="17"/>
  <c r="AN162" i="17"/>
  <c r="AM162" i="17" s="1"/>
  <c r="AL162" i="17" s="1"/>
  <c r="C162" i="17" s="1"/>
  <c r="D162" i="17" s="1"/>
  <c r="F162" i="17" s="1"/>
  <c r="E162" i="17" s="1"/>
  <c r="AP164" i="17"/>
  <c r="AO163" i="17"/>
  <c r="AQ167" i="17"/>
  <c r="B269" i="17"/>
  <c r="C269" i="17" s="1"/>
  <c r="D269" i="17" s="1"/>
  <c r="F269" i="17" s="1"/>
  <c r="E269" i="17" s="1"/>
  <c r="A270" i="17"/>
  <c r="D91" i="15"/>
  <c r="AA213" i="18"/>
  <c r="AD212" i="18"/>
  <c r="AD212" i="17"/>
  <c r="AA213" i="17"/>
  <c r="AD209" i="15"/>
  <c r="AA210" i="15"/>
  <c r="B205" i="13"/>
  <c r="A206" i="13"/>
  <c r="X210" i="13"/>
  <c r="Y210" i="13" s="1"/>
  <c r="Z210" i="13" s="1"/>
  <c r="AA210" i="13" s="1"/>
  <c r="W211" i="13"/>
  <c r="AN205" i="15" l="1"/>
  <c r="G204" i="15"/>
  <c r="B205" i="15"/>
  <c r="C205" i="15" s="1"/>
  <c r="D205" i="15" s="1"/>
  <c r="F205" i="15" s="1"/>
  <c r="E205" i="15" s="1"/>
  <c r="A206" i="15"/>
  <c r="C205" i="13"/>
  <c r="D205" i="13"/>
  <c r="D109" i="13"/>
  <c r="E109" i="13" s="1"/>
  <c r="AA216" i="24"/>
  <c r="AD215" i="24"/>
  <c r="AA214" i="22"/>
  <c r="AD213" i="22"/>
  <c r="G269" i="17"/>
  <c r="AQ275" i="17"/>
  <c r="AO271" i="17"/>
  <c r="AP272" i="17"/>
  <c r="AN270" i="17"/>
  <c r="AM270" i="17" s="1"/>
  <c r="AL270" i="17" s="1"/>
  <c r="G162" i="17"/>
  <c r="AN163" i="17"/>
  <c r="AM163" i="17" s="1"/>
  <c r="AL163" i="17" s="1"/>
  <c r="C163" i="17" s="1"/>
  <c r="D163" i="17" s="1"/>
  <c r="F163" i="17" s="1"/>
  <c r="E163" i="17" s="1"/>
  <c r="B270" i="17"/>
  <c r="C270" i="17" s="1"/>
  <c r="D270" i="17" s="1"/>
  <c r="F270" i="17" s="1"/>
  <c r="E270" i="17" s="1"/>
  <c r="A271" i="17"/>
  <c r="F91" i="15"/>
  <c r="AA214" i="18"/>
  <c r="AD213" i="18"/>
  <c r="AA214" i="17"/>
  <c r="AD213" i="17"/>
  <c r="AA211" i="15"/>
  <c r="AD210" i="15"/>
  <c r="X211" i="13"/>
  <c r="Y211" i="13" s="1"/>
  <c r="Z211" i="13" s="1"/>
  <c r="AA211" i="13" s="1"/>
  <c r="W212" i="13"/>
  <c r="B206" i="13"/>
  <c r="A207" i="13"/>
  <c r="A207" i="15" l="1"/>
  <c r="B206" i="15"/>
  <c r="C206" i="15" s="1"/>
  <c r="D206" i="15" s="1"/>
  <c r="F206" i="15" s="1"/>
  <c r="E206" i="15" s="1"/>
  <c r="G205" i="15"/>
  <c r="AO207" i="15"/>
  <c r="AN206" i="15"/>
  <c r="C109" i="13"/>
  <c r="G109" i="13" s="1"/>
  <c r="F109" i="13" s="1"/>
  <c r="C206" i="13"/>
  <c r="D206" i="13"/>
  <c r="AA217" i="24"/>
  <c r="AD216" i="24"/>
  <c r="AA215" i="22"/>
  <c r="AD214" i="22"/>
  <c r="G270" i="17"/>
  <c r="AN271" i="17"/>
  <c r="AM271" i="17" s="1"/>
  <c r="AL271" i="17" s="1"/>
  <c r="G163" i="17"/>
  <c r="AO165" i="17"/>
  <c r="AN164" i="17"/>
  <c r="AM164" i="17" s="1"/>
  <c r="AL164" i="17" s="1"/>
  <c r="C164" i="17" s="1"/>
  <c r="D164" i="17" s="1"/>
  <c r="F164" i="17" s="1"/>
  <c r="E164" i="17" s="1"/>
  <c r="B271" i="17"/>
  <c r="C271" i="17" s="1"/>
  <c r="D271" i="17" s="1"/>
  <c r="F271" i="17" s="1"/>
  <c r="E271" i="17" s="1"/>
  <c r="A272" i="17"/>
  <c r="E91" i="15"/>
  <c r="BB92" i="15" s="1"/>
  <c r="AA215" i="18"/>
  <c r="AD214" i="18"/>
  <c r="AD214" i="17"/>
  <c r="AA215" i="17"/>
  <c r="AD211" i="15"/>
  <c r="AA212" i="15"/>
  <c r="B207" i="13"/>
  <c r="A208" i="13"/>
  <c r="X212" i="13"/>
  <c r="Y212" i="13" s="1"/>
  <c r="Z212" i="13" s="1"/>
  <c r="AA212" i="13" s="1"/>
  <c r="W213" i="13"/>
  <c r="AP209" i="15" l="1"/>
  <c r="G206" i="15"/>
  <c r="AN207" i="15"/>
  <c r="AM207" i="15" s="1"/>
  <c r="AL207" i="15" s="1"/>
  <c r="B207" i="15"/>
  <c r="C207" i="15" s="1"/>
  <c r="D207" i="15" s="1"/>
  <c r="F207" i="15" s="1"/>
  <c r="E207" i="15" s="1"/>
  <c r="A208" i="15"/>
  <c r="B208" i="15" s="1"/>
  <c r="C208" i="15" s="1"/>
  <c r="D208" i="15" s="1"/>
  <c r="F208" i="15" s="1"/>
  <c r="E208" i="15" s="1"/>
  <c r="C207" i="13"/>
  <c r="D207" i="13"/>
  <c r="D110" i="13"/>
  <c r="E110" i="13" s="1"/>
  <c r="AA218" i="24"/>
  <c r="AD217" i="24"/>
  <c r="AA216" i="22"/>
  <c r="AD215" i="22"/>
  <c r="G271" i="17"/>
  <c r="AN272" i="17"/>
  <c r="AM272" i="17" s="1"/>
  <c r="AL272" i="17" s="1"/>
  <c r="AO273" i="17"/>
  <c r="A273" i="17"/>
  <c r="B272" i="17"/>
  <c r="C272" i="17" s="1"/>
  <c r="D272" i="17" s="1"/>
  <c r="F272" i="17" s="1"/>
  <c r="E272" i="17" s="1"/>
  <c r="G164" i="17"/>
  <c r="AN165" i="17"/>
  <c r="AM165" i="17" s="1"/>
  <c r="AL165" i="17" s="1"/>
  <c r="C165" i="17" s="1"/>
  <c r="D165" i="17" s="1"/>
  <c r="F165" i="17" s="1"/>
  <c r="E165" i="17" s="1"/>
  <c r="AP167" i="17"/>
  <c r="G91" i="15"/>
  <c r="AO93" i="15"/>
  <c r="AN92" i="15"/>
  <c r="AM92" i="15" s="1"/>
  <c r="AL92" i="15" s="1"/>
  <c r="C92" i="15" s="1"/>
  <c r="D92" i="15" s="1"/>
  <c r="F92" i="15" s="1"/>
  <c r="E92" i="15" s="1"/>
  <c r="BB93" i="15" s="1"/>
  <c r="AA216" i="18"/>
  <c r="AD215" i="18"/>
  <c r="AA216" i="17"/>
  <c r="AD215" i="17"/>
  <c r="AD212" i="15"/>
  <c r="AA213" i="15"/>
  <c r="B208" i="13"/>
  <c r="A209" i="13"/>
  <c r="X213" i="13"/>
  <c r="Y213" i="13" s="1"/>
  <c r="Z213" i="13" s="1"/>
  <c r="AA213" i="13" s="1"/>
  <c r="W214" i="13"/>
  <c r="AO209" i="15" l="1"/>
  <c r="AN208" i="15"/>
  <c r="AM208" i="15" s="1"/>
  <c r="AL208" i="15" s="1"/>
  <c r="G207" i="15"/>
  <c r="G208" i="15"/>
  <c r="AN209" i="15"/>
  <c r="AM209" i="15" s="1"/>
  <c r="AL209" i="15" s="1"/>
  <c r="C110" i="13"/>
  <c r="D208" i="13"/>
  <c r="C208" i="13"/>
  <c r="AA219" i="24"/>
  <c r="AD218" i="24"/>
  <c r="AA217" i="22"/>
  <c r="AD216" i="22"/>
  <c r="G165" i="17"/>
  <c r="AN166" i="17"/>
  <c r="AM166" i="17" s="1"/>
  <c r="AL166" i="17" s="1"/>
  <c r="C166" i="17" s="1"/>
  <c r="D166" i="17" s="1"/>
  <c r="F166" i="17" s="1"/>
  <c r="E166" i="17" s="1"/>
  <c r="AO167" i="17"/>
  <c r="B273" i="17"/>
  <c r="C273" i="17" s="1"/>
  <c r="D273" i="17" s="1"/>
  <c r="F273" i="17" s="1"/>
  <c r="E273" i="17" s="1"/>
  <c r="A274" i="17"/>
  <c r="G272" i="17"/>
  <c r="AN273" i="17"/>
  <c r="AM273" i="17" s="1"/>
  <c r="AL273" i="17" s="1"/>
  <c r="AP275" i="17"/>
  <c r="G92" i="15"/>
  <c r="AP95" i="15"/>
  <c r="AN93" i="15"/>
  <c r="AM93" i="15" s="1"/>
  <c r="AL93" i="15" s="1"/>
  <c r="C93" i="15" s="1"/>
  <c r="D93" i="15" s="1"/>
  <c r="F93" i="15" s="1"/>
  <c r="E93" i="15" s="1"/>
  <c r="BB94" i="15" s="1"/>
  <c r="AA217" i="18"/>
  <c r="AD216" i="18"/>
  <c r="AA217" i="17"/>
  <c r="AD216" i="17"/>
  <c r="AD213" i="15"/>
  <c r="AA214" i="15"/>
  <c r="G110" i="13"/>
  <c r="F110" i="13" s="1"/>
  <c r="X214" i="13"/>
  <c r="Y214" i="13" s="1"/>
  <c r="Z214" i="13" s="1"/>
  <c r="AA214" i="13" s="1"/>
  <c r="W215" i="13"/>
  <c r="B209" i="13"/>
  <c r="A210" i="13"/>
  <c r="D209" i="13" l="1"/>
  <c r="C209" i="13"/>
  <c r="D111" i="13"/>
  <c r="C111" i="13" s="1"/>
  <c r="AA220" i="24"/>
  <c r="AD219" i="24"/>
  <c r="AA218" i="22"/>
  <c r="AD217" i="22"/>
  <c r="G273" i="17"/>
  <c r="AN274" i="17"/>
  <c r="AM274" i="17" s="1"/>
  <c r="AL274" i="17" s="1"/>
  <c r="AO275" i="17"/>
  <c r="G166" i="17"/>
  <c r="AN167" i="17"/>
  <c r="AL167" i="17"/>
  <c r="C167" i="17" s="1"/>
  <c r="D167" i="17" s="1"/>
  <c r="F167" i="17" s="1"/>
  <c r="E167" i="17" s="1"/>
  <c r="B274" i="17"/>
  <c r="C274" i="17" s="1"/>
  <c r="D274" i="17" s="1"/>
  <c r="F274" i="17" s="1"/>
  <c r="E274" i="17" s="1"/>
  <c r="A275" i="17"/>
  <c r="G93" i="15"/>
  <c r="AN94" i="15"/>
  <c r="AM94" i="15" s="1"/>
  <c r="AL94" i="15" s="1"/>
  <c r="C94" i="15" s="1"/>
  <c r="D94" i="15" s="1"/>
  <c r="F94" i="15" s="1"/>
  <c r="E94" i="15" s="1"/>
  <c r="BB95" i="15" s="1"/>
  <c r="AO95" i="15"/>
  <c r="AA218" i="18"/>
  <c r="AD217" i="18"/>
  <c r="AA218" i="17"/>
  <c r="AD217" i="17"/>
  <c r="AA215" i="15"/>
  <c r="AD214" i="15"/>
  <c r="B210" i="13"/>
  <c r="A211" i="13"/>
  <c r="X215" i="13"/>
  <c r="Y215" i="13" s="1"/>
  <c r="Z215" i="13" s="1"/>
  <c r="AA215" i="13" s="1"/>
  <c r="W216" i="13"/>
  <c r="C210" i="13" l="1"/>
  <c r="D210" i="13"/>
  <c r="E111" i="13"/>
  <c r="G111" i="13" s="1"/>
  <c r="F111" i="13" s="1"/>
  <c r="AA221" i="24"/>
  <c r="AD220" i="24"/>
  <c r="AA219" i="22"/>
  <c r="AD218" i="22"/>
  <c r="G274" i="17"/>
  <c r="AN275" i="17"/>
  <c r="B275" i="17"/>
  <c r="C275" i="17" s="1"/>
  <c r="D275" i="17" s="1"/>
  <c r="F275" i="17" s="1"/>
  <c r="E275" i="17" s="1"/>
  <c r="A276" i="17"/>
  <c r="G167" i="17"/>
  <c r="AO169" i="17"/>
  <c r="AR179" i="17"/>
  <c r="AM179" i="17" s="1"/>
  <c r="AN168" i="17"/>
  <c r="AM168" i="17" s="1"/>
  <c r="AL168" i="17" s="1"/>
  <c r="C168" i="17" s="1"/>
  <c r="D168" i="17" s="1"/>
  <c r="F168" i="17" s="1"/>
  <c r="E168" i="17" s="1"/>
  <c r="AQ173" i="17"/>
  <c r="AP170" i="17"/>
  <c r="G94" i="15"/>
  <c r="AN95" i="15"/>
  <c r="AM95" i="15" s="1"/>
  <c r="AL95" i="15" s="1"/>
  <c r="C95" i="15" s="1"/>
  <c r="D95" i="15" s="1"/>
  <c r="F95" i="15" s="1"/>
  <c r="E95" i="15" s="1"/>
  <c r="BB96" i="15" s="1"/>
  <c r="AD218" i="18"/>
  <c r="AA219" i="18"/>
  <c r="AD218" i="17"/>
  <c r="AA219" i="17"/>
  <c r="AA216" i="15"/>
  <c r="AD215" i="15"/>
  <c r="X216" i="13"/>
  <c r="Y216" i="13" s="1"/>
  <c r="Z216" i="13" s="1"/>
  <c r="AA216" i="13" s="1"/>
  <c r="W217" i="13"/>
  <c r="B211" i="13"/>
  <c r="A212" i="13"/>
  <c r="C211" i="13" l="1"/>
  <c r="D211" i="13"/>
  <c r="D112" i="13"/>
  <c r="E112" i="13" s="1"/>
  <c r="AA222" i="24"/>
  <c r="AD221" i="24"/>
  <c r="AA220" i="22"/>
  <c r="AD219" i="22"/>
  <c r="G168" i="17"/>
  <c r="AN169" i="17"/>
  <c r="AM169" i="17" s="1"/>
  <c r="AL169" i="17" s="1"/>
  <c r="C169" i="17" s="1"/>
  <c r="D169" i="17" s="1"/>
  <c r="F169" i="17" s="1"/>
  <c r="E169" i="17" s="1"/>
  <c r="A277" i="17"/>
  <c r="B276" i="17"/>
  <c r="C276" i="17" s="1"/>
  <c r="D276" i="17" s="1"/>
  <c r="F276" i="17" s="1"/>
  <c r="E276" i="17" s="1"/>
  <c r="G275" i="17"/>
  <c r="AQ281" i="17"/>
  <c r="AN276" i="17"/>
  <c r="AM276" i="17" s="1"/>
  <c r="AL276" i="17" s="1"/>
  <c r="AO277" i="17"/>
  <c r="AP278" i="17"/>
  <c r="G95" i="15"/>
  <c r="AP98" i="15"/>
  <c r="AQ101" i="15"/>
  <c r="AO97" i="15"/>
  <c r="AR107" i="15"/>
  <c r="AN96" i="15"/>
  <c r="AM96" i="15" s="1"/>
  <c r="AL96" i="15" s="1"/>
  <c r="C96" i="15" s="1"/>
  <c r="D96" i="15" s="1"/>
  <c r="F96" i="15" s="1"/>
  <c r="E96" i="15" s="1"/>
  <c r="BB97" i="15" s="1"/>
  <c r="AA220" i="18"/>
  <c r="AD219" i="18"/>
  <c r="AA220" i="17"/>
  <c r="AD219" i="17"/>
  <c r="AA217" i="15"/>
  <c r="AD216" i="15"/>
  <c r="B212" i="13"/>
  <c r="A213" i="13"/>
  <c r="X217" i="13"/>
  <c r="Y217" i="13" s="1"/>
  <c r="Z217" i="13" s="1"/>
  <c r="AA217" i="13" s="1"/>
  <c r="W218" i="13"/>
  <c r="C112" i="13" l="1"/>
  <c r="D212" i="13"/>
  <c r="C212" i="13"/>
  <c r="AA223" i="24"/>
  <c r="AD222" i="24"/>
  <c r="AA221" i="22"/>
  <c r="AD220" i="22"/>
  <c r="G276" i="17"/>
  <c r="AN277" i="17"/>
  <c r="AM277" i="17" s="1"/>
  <c r="AL277" i="17" s="1"/>
  <c r="G169" i="17"/>
  <c r="AO171" i="17"/>
  <c r="AN170" i="17"/>
  <c r="AM170" i="17" s="1"/>
  <c r="AL170" i="17" s="1"/>
  <c r="C170" i="17" s="1"/>
  <c r="D170" i="17" s="1"/>
  <c r="F170" i="17" s="1"/>
  <c r="E170" i="17" s="1"/>
  <c r="B277" i="17"/>
  <c r="C277" i="17" s="1"/>
  <c r="D277" i="17" s="1"/>
  <c r="F277" i="17" s="1"/>
  <c r="E277" i="17" s="1"/>
  <c r="A278" i="17"/>
  <c r="G96" i="15"/>
  <c r="AN97" i="15"/>
  <c r="AM97" i="15" s="1"/>
  <c r="AL97" i="15" s="1"/>
  <c r="C97" i="15" s="1"/>
  <c r="D97" i="15" s="1"/>
  <c r="F97" i="15" s="1"/>
  <c r="E97" i="15" s="1"/>
  <c r="BB98" i="15" s="1"/>
  <c r="AA221" i="18"/>
  <c r="AD220" i="18"/>
  <c r="AD220" i="17"/>
  <c r="AA221" i="17"/>
  <c r="AD217" i="15"/>
  <c r="AA218" i="15"/>
  <c r="G112" i="13"/>
  <c r="F112" i="13" s="1"/>
  <c r="X218" i="13"/>
  <c r="Y218" i="13" s="1"/>
  <c r="Z218" i="13" s="1"/>
  <c r="AA218" i="13" s="1"/>
  <c r="W219" i="13"/>
  <c r="B213" i="13"/>
  <c r="A214" i="13"/>
  <c r="C213" i="13" l="1"/>
  <c r="D213" i="13"/>
  <c r="D113" i="13"/>
  <c r="C113" i="13" s="1"/>
  <c r="AA224" i="24"/>
  <c r="AD223" i="24"/>
  <c r="AA222" i="22"/>
  <c r="AD221" i="22"/>
  <c r="G277" i="17"/>
  <c r="AO279" i="17"/>
  <c r="AN278" i="17"/>
  <c r="AM278" i="17" s="1"/>
  <c r="AL278" i="17" s="1"/>
  <c r="B278" i="17"/>
  <c r="C278" i="17" s="1"/>
  <c r="D278" i="17" s="1"/>
  <c r="F278" i="17" s="1"/>
  <c r="E278" i="17" s="1"/>
  <c r="A279" i="17"/>
  <c r="G170" i="17"/>
  <c r="AN171" i="17"/>
  <c r="AM171" i="17" s="1"/>
  <c r="AL171" i="17" s="1"/>
  <c r="C171" i="17" s="1"/>
  <c r="D171" i="17" s="1"/>
  <c r="F171" i="17" s="1"/>
  <c r="E171" i="17" s="1"/>
  <c r="AP173" i="17"/>
  <c r="G97" i="15"/>
  <c r="AO99" i="15"/>
  <c r="AN98" i="15"/>
  <c r="AM98" i="15" s="1"/>
  <c r="AL98" i="15" s="1"/>
  <c r="C98" i="15" s="1"/>
  <c r="D98" i="15" s="1"/>
  <c r="F98" i="15" s="1"/>
  <c r="E98" i="15" s="1"/>
  <c r="BB99" i="15" s="1"/>
  <c r="AA222" i="18"/>
  <c r="AD221" i="18"/>
  <c r="AA222" i="17"/>
  <c r="AD221" i="17"/>
  <c r="AA219" i="15"/>
  <c r="AD218" i="15"/>
  <c r="B214" i="13"/>
  <c r="A215" i="13"/>
  <c r="X219" i="13"/>
  <c r="Y219" i="13" s="1"/>
  <c r="Z219" i="13" s="1"/>
  <c r="AA219" i="13" s="1"/>
  <c r="W220" i="13"/>
  <c r="C214" i="13" l="1"/>
  <c r="D214" i="13"/>
  <c r="E113" i="13"/>
  <c r="G113" i="13" s="1"/>
  <c r="F113" i="13" s="1"/>
  <c r="AA225" i="24"/>
  <c r="AD224" i="24"/>
  <c r="AA223" i="22"/>
  <c r="AD222" i="22"/>
  <c r="G171" i="17"/>
  <c r="AN172" i="17"/>
  <c r="AM172" i="17" s="1"/>
  <c r="AL172" i="17" s="1"/>
  <c r="C172" i="17" s="1"/>
  <c r="D172" i="17" s="1"/>
  <c r="F172" i="17" s="1"/>
  <c r="E172" i="17" s="1"/>
  <c r="AO173" i="17"/>
  <c r="G278" i="17"/>
  <c r="AN279" i="17"/>
  <c r="AM279" i="17" s="1"/>
  <c r="AL279" i="17" s="1"/>
  <c r="AP281" i="17"/>
  <c r="B279" i="17"/>
  <c r="C279" i="17" s="1"/>
  <c r="D279" i="17" s="1"/>
  <c r="F279" i="17" s="1"/>
  <c r="E279" i="17" s="1"/>
  <c r="A280" i="17"/>
  <c r="G98" i="15"/>
  <c r="AN99" i="15"/>
  <c r="AM99" i="15" s="1"/>
  <c r="AL99" i="15" s="1"/>
  <c r="C99" i="15" s="1"/>
  <c r="D99" i="15" s="1"/>
  <c r="F99" i="15" s="1"/>
  <c r="E99" i="15" s="1"/>
  <c r="BB100" i="15" s="1"/>
  <c r="AP101" i="15"/>
  <c r="AA223" i="18"/>
  <c r="AD222" i="18"/>
  <c r="AD222" i="17"/>
  <c r="AA223" i="17"/>
  <c r="AD219" i="15"/>
  <c r="AA220" i="15"/>
  <c r="X220" i="13"/>
  <c r="Y220" i="13" s="1"/>
  <c r="Z220" i="13" s="1"/>
  <c r="AA220" i="13" s="1"/>
  <c r="W221" i="13"/>
  <c r="B215" i="13"/>
  <c r="A216" i="13"/>
  <c r="C215" i="13" l="1"/>
  <c r="D215" i="13"/>
  <c r="D114" i="13"/>
  <c r="E114" i="13" s="1"/>
  <c r="AA226" i="24"/>
  <c r="AD225" i="24"/>
  <c r="AA224" i="22"/>
  <c r="AD223" i="22"/>
  <c r="G172" i="17"/>
  <c r="AN173" i="17"/>
  <c r="AM173" i="17" s="1"/>
  <c r="AL173" i="17" s="1"/>
  <c r="C173" i="17" s="1"/>
  <c r="D173" i="17" s="1"/>
  <c r="F173" i="17" s="1"/>
  <c r="E173" i="17" s="1"/>
  <c r="A281" i="17"/>
  <c r="B280" i="17"/>
  <c r="C280" i="17" s="1"/>
  <c r="D280" i="17" s="1"/>
  <c r="F280" i="17" s="1"/>
  <c r="E280" i="17" s="1"/>
  <c r="G279" i="17"/>
  <c r="AN280" i="17"/>
  <c r="AM280" i="17" s="1"/>
  <c r="AL280" i="17" s="1"/>
  <c r="AO281" i="17"/>
  <c r="G99" i="15"/>
  <c r="AO101" i="15"/>
  <c r="AN100" i="15"/>
  <c r="AM100" i="15" s="1"/>
  <c r="AL100" i="15" s="1"/>
  <c r="C100" i="15" s="1"/>
  <c r="D100" i="15" s="1"/>
  <c r="F100" i="15" s="1"/>
  <c r="E100" i="15" s="1"/>
  <c r="BB101" i="15" s="1"/>
  <c r="AA224" i="18"/>
  <c r="AD223" i="18"/>
  <c r="AA224" i="17"/>
  <c r="AD223" i="17"/>
  <c r="AA221" i="15"/>
  <c r="AD220" i="15"/>
  <c r="B216" i="13"/>
  <c r="A217" i="13"/>
  <c r="X221" i="13"/>
  <c r="Y221" i="13" s="1"/>
  <c r="Z221" i="13" s="1"/>
  <c r="AA221" i="13" s="1"/>
  <c r="W222" i="13"/>
  <c r="C114" i="13" l="1"/>
  <c r="D216" i="13"/>
  <c r="C216" i="13"/>
  <c r="AA227" i="24"/>
  <c r="AD226" i="24"/>
  <c r="AA225" i="22"/>
  <c r="AD224" i="22"/>
  <c r="G280" i="17"/>
  <c r="AN281" i="17"/>
  <c r="AM281" i="17" s="1"/>
  <c r="AL281" i="17" s="1"/>
  <c r="A282" i="17"/>
  <c r="B281" i="17"/>
  <c r="C281" i="17" s="1"/>
  <c r="D281" i="17" s="1"/>
  <c r="F281" i="17" s="1"/>
  <c r="E281" i="17" s="1"/>
  <c r="G173" i="17"/>
  <c r="AN174" i="17"/>
  <c r="AM174" i="17" s="1"/>
  <c r="AL174" i="17" s="1"/>
  <c r="C174" i="17" s="1"/>
  <c r="D174" i="17" s="1"/>
  <c r="F174" i="17" s="1"/>
  <c r="E174" i="17" s="1"/>
  <c r="AO175" i="17"/>
  <c r="AP176" i="17"/>
  <c r="AQ179" i="17"/>
  <c r="G100" i="15"/>
  <c r="AN101" i="15"/>
  <c r="AM101" i="15" s="1"/>
  <c r="AL101" i="15" s="1"/>
  <c r="C101" i="15" s="1"/>
  <c r="D101" i="15" s="1"/>
  <c r="F101" i="15" s="1"/>
  <c r="E101" i="15" s="1"/>
  <c r="BB102" i="15" s="1"/>
  <c r="AD224" i="18"/>
  <c r="AA225" i="18"/>
  <c r="AA225" i="17"/>
  <c r="AD224" i="17"/>
  <c r="AD221" i="15"/>
  <c r="AA222" i="15"/>
  <c r="G114" i="13"/>
  <c r="F114" i="13" s="1"/>
  <c r="B217" i="13"/>
  <c r="A218" i="13"/>
  <c r="X222" i="13"/>
  <c r="Y222" i="13" s="1"/>
  <c r="Z222" i="13" s="1"/>
  <c r="AA222" i="13" s="1"/>
  <c r="W223" i="13"/>
  <c r="D217" i="13" l="1"/>
  <c r="C217" i="13"/>
  <c r="D115" i="13"/>
  <c r="C115" i="13" s="1"/>
  <c r="AA228" i="24"/>
  <c r="AD227" i="24"/>
  <c r="AA226" i="22"/>
  <c r="AD225" i="22"/>
  <c r="G281" i="17"/>
  <c r="AP284" i="17"/>
  <c r="AO283" i="17"/>
  <c r="AN282" i="17"/>
  <c r="AM282" i="17" s="1"/>
  <c r="AL282" i="17" s="1"/>
  <c r="B282" i="17"/>
  <c r="C282" i="17" s="1"/>
  <c r="D282" i="17" s="1"/>
  <c r="F282" i="17" s="1"/>
  <c r="E282" i="17" s="1"/>
  <c r="A283" i="17"/>
  <c r="G174" i="17"/>
  <c r="AN175" i="17"/>
  <c r="AM175" i="17" s="1"/>
  <c r="AL175" i="17" s="1"/>
  <c r="C175" i="17" s="1"/>
  <c r="D175" i="17" s="1"/>
  <c r="F175" i="17" s="1"/>
  <c r="E175" i="17" s="1"/>
  <c r="G101" i="15"/>
  <c r="AP104" i="15"/>
  <c r="AO103" i="15"/>
  <c r="AQ107" i="15"/>
  <c r="AN102" i="15"/>
  <c r="AM102" i="15" s="1"/>
  <c r="AL102" i="15" s="1"/>
  <c r="C102" i="15" s="1"/>
  <c r="D102" i="15" s="1"/>
  <c r="F102" i="15" s="1"/>
  <c r="E102" i="15" s="1"/>
  <c r="BB103" i="15" s="1"/>
  <c r="AA226" i="18"/>
  <c r="AD225" i="18"/>
  <c r="AA226" i="17"/>
  <c r="AD225" i="17"/>
  <c r="AD222" i="15"/>
  <c r="AA223" i="15"/>
  <c r="X223" i="13"/>
  <c r="Y223" i="13" s="1"/>
  <c r="Z223" i="13" s="1"/>
  <c r="AA223" i="13" s="1"/>
  <c r="W224" i="13"/>
  <c r="B218" i="13"/>
  <c r="A219" i="13"/>
  <c r="D218" i="13" l="1"/>
  <c r="C218" i="13"/>
  <c r="E115" i="13"/>
  <c r="G115" i="13" s="1"/>
  <c r="F115" i="13" s="1"/>
  <c r="AA229" i="24"/>
  <c r="AD228" i="24"/>
  <c r="AA227" i="22"/>
  <c r="AD226" i="22"/>
  <c r="G175" i="17"/>
  <c r="AN176" i="17"/>
  <c r="AM176" i="17" s="1"/>
  <c r="AL176" i="17" s="1"/>
  <c r="C176" i="17" s="1"/>
  <c r="D176" i="17" s="1"/>
  <c r="F176" i="17" s="1"/>
  <c r="E176" i="17" s="1"/>
  <c r="AO177" i="17"/>
  <c r="B283" i="17"/>
  <c r="C283" i="17" s="1"/>
  <c r="D283" i="17" s="1"/>
  <c r="F283" i="17" s="1"/>
  <c r="E283" i="17" s="1"/>
  <c r="A284" i="17"/>
  <c r="G282" i="17"/>
  <c r="AN283" i="17"/>
  <c r="AM283" i="17" s="1"/>
  <c r="AL283" i="17" s="1"/>
  <c r="G102" i="15"/>
  <c r="AN103" i="15"/>
  <c r="AM103" i="15" s="1"/>
  <c r="AL103" i="15" s="1"/>
  <c r="C103" i="15" s="1"/>
  <c r="D103" i="15" s="1"/>
  <c r="F103" i="15" s="1"/>
  <c r="E103" i="15" s="1"/>
  <c r="BB104" i="15" s="1"/>
  <c r="AA227" i="18"/>
  <c r="AD226" i="18"/>
  <c r="AD226" i="17"/>
  <c r="AA227" i="17"/>
  <c r="AD223" i="15"/>
  <c r="AA224" i="15"/>
  <c r="X224" i="13"/>
  <c r="Y224" i="13" s="1"/>
  <c r="Z224" i="13" s="1"/>
  <c r="AA224" i="13" s="1"/>
  <c r="W225" i="13"/>
  <c r="B219" i="13"/>
  <c r="A220" i="13"/>
  <c r="C219" i="13" l="1"/>
  <c r="D219" i="13"/>
  <c r="D116" i="13"/>
  <c r="C116" i="13" s="1"/>
  <c r="AA230" i="24"/>
  <c r="AD229" i="24"/>
  <c r="AA228" i="22"/>
  <c r="AD227" i="22"/>
  <c r="G283" i="17"/>
  <c r="AO285" i="17"/>
  <c r="AN284" i="17"/>
  <c r="AM284" i="17" s="1"/>
  <c r="AL284" i="17" s="1"/>
  <c r="G176" i="17"/>
  <c r="AP179" i="17"/>
  <c r="AN177" i="17"/>
  <c r="AM177" i="17" s="1"/>
  <c r="AL177" i="17" s="1"/>
  <c r="C177" i="17" s="1"/>
  <c r="D177" i="17" s="1"/>
  <c r="F177" i="17" s="1"/>
  <c r="E177" i="17" s="1"/>
  <c r="A285" i="17"/>
  <c r="B284" i="17"/>
  <c r="C284" i="17" s="1"/>
  <c r="D284" i="17" s="1"/>
  <c r="F284" i="17" s="1"/>
  <c r="E284" i="17" s="1"/>
  <c r="G103" i="15"/>
  <c r="AO105" i="15"/>
  <c r="AN104" i="15"/>
  <c r="AM104" i="15" s="1"/>
  <c r="AL104" i="15" s="1"/>
  <c r="C104" i="15" s="1"/>
  <c r="D104" i="15" s="1"/>
  <c r="F104" i="15" s="1"/>
  <c r="E104" i="15" s="1"/>
  <c r="BB105" i="15" s="1"/>
  <c r="AA228" i="18"/>
  <c r="AD227" i="18"/>
  <c r="AA228" i="17"/>
  <c r="AD227" i="17"/>
  <c r="AD224" i="15"/>
  <c r="AA225" i="15"/>
  <c r="X225" i="13"/>
  <c r="Y225" i="13" s="1"/>
  <c r="Z225" i="13" s="1"/>
  <c r="AA225" i="13" s="1"/>
  <c r="W226" i="13"/>
  <c r="B220" i="13"/>
  <c r="A221" i="13"/>
  <c r="D220" i="13" l="1"/>
  <c r="C220" i="13"/>
  <c r="E116" i="13"/>
  <c r="G116" i="13" s="1"/>
  <c r="F116" i="13" s="1"/>
  <c r="AD230" i="24"/>
  <c r="AA231" i="24"/>
  <c r="AA229" i="22"/>
  <c r="AD228" i="22"/>
  <c r="G284" i="17"/>
  <c r="AN285" i="17"/>
  <c r="AM285" i="17" s="1"/>
  <c r="AL285" i="17" s="1"/>
  <c r="G177" i="17"/>
  <c r="AN178" i="17"/>
  <c r="AM178" i="17" s="1"/>
  <c r="AL178" i="17" s="1"/>
  <c r="C178" i="17" s="1"/>
  <c r="D178" i="17" s="1"/>
  <c r="F178" i="17" s="1"/>
  <c r="E178" i="17" s="1"/>
  <c r="AO179" i="17"/>
  <c r="B285" i="17"/>
  <c r="C285" i="17" s="1"/>
  <c r="D285" i="17" s="1"/>
  <c r="F285" i="17" s="1"/>
  <c r="E285" i="17" s="1"/>
  <c r="A286" i="17"/>
  <c r="G104" i="15"/>
  <c r="AP107" i="15"/>
  <c r="AN105" i="15"/>
  <c r="AM105" i="15" s="1"/>
  <c r="AL105" i="15" s="1"/>
  <c r="C105" i="15" s="1"/>
  <c r="D105" i="15" s="1"/>
  <c r="F105" i="15" s="1"/>
  <c r="E105" i="15" s="1"/>
  <c r="BB106" i="15" s="1"/>
  <c r="AA229" i="18"/>
  <c r="AD228" i="18"/>
  <c r="AD228" i="17"/>
  <c r="AA229" i="17"/>
  <c r="AD225" i="15"/>
  <c r="AA226" i="15"/>
  <c r="B221" i="13"/>
  <c r="A222" i="13"/>
  <c r="X226" i="13"/>
  <c r="Y226" i="13" s="1"/>
  <c r="Z226" i="13" s="1"/>
  <c r="AA226" i="13" s="1"/>
  <c r="W227" i="13"/>
  <c r="C221" i="13" l="1"/>
  <c r="D221" i="13"/>
  <c r="D117" i="13"/>
  <c r="E117" i="13" s="1"/>
  <c r="AD231" i="24"/>
  <c r="AA232" i="24"/>
  <c r="AA230" i="22"/>
  <c r="AD229" i="22"/>
  <c r="G178" i="17"/>
  <c r="AN179" i="17"/>
  <c r="AL179" i="17"/>
  <c r="C179" i="17" s="1"/>
  <c r="D179" i="17" s="1"/>
  <c r="F179" i="17" s="1"/>
  <c r="E179" i="17" s="1"/>
  <c r="B286" i="17"/>
  <c r="C286" i="17" s="1"/>
  <c r="D286" i="17" s="1"/>
  <c r="F286" i="17" s="1"/>
  <c r="E286" i="17" s="1"/>
  <c r="G286" i="17" s="1"/>
  <c r="A287" i="17"/>
  <c r="G285" i="17"/>
  <c r="AN286" i="17"/>
  <c r="AM286" i="17" s="1"/>
  <c r="AL286" i="17" s="1"/>
  <c r="G105" i="15"/>
  <c r="AN106" i="15"/>
  <c r="AM106" i="15" s="1"/>
  <c r="AO107" i="15"/>
  <c r="AL106" i="15"/>
  <c r="C106" i="15" s="1"/>
  <c r="D106" i="15" s="1"/>
  <c r="F106" i="15" s="1"/>
  <c r="E106" i="15" s="1"/>
  <c r="BB107" i="15" s="1"/>
  <c r="AA230" i="18"/>
  <c r="AD229" i="18"/>
  <c r="AA230" i="17"/>
  <c r="AD229" i="17"/>
  <c r="AA227" i="15"/>
  <c r="AD226" i="15"/>
  <c r="X227" i="13"/>
  <c r="Y227" i="13" s="1"/>
  <c r="Z227" i="13" s="1"/>
  <c r="AA227" i="13" s="1"/>
  <c r="W228" i="13"/>
  <c r="B222" i="13"/>
  <c r="A223" i="13"/>
  <c r="C117" i="13" l="1"/>
  <c r="C222" i="13"/>
  <c r="D222" i="13"/>
  <c r="G117" i="13"/>
  <c r="F117" i="13" s="1"/>
  <c r="AD232" i="24"/>
  <c r="AA233" i="24"/>
  <c r="AD230" i="22"/>
  <c r="AA231" i="22"/>
  <c r="G179" i="17"/>
  <c r="AR191" i="17"/>
  <c r="AM191" i="17" s="1"/>
  <c r="AP182" i="17"/>
  <c r="AQ185" i="17"/>
  <c r="AN180" i="17"/>
  <c r="AM180" i="17" s="1"/>
  <c r="AL180" i="17" s="1"/>
  <c r="C180" i="17" s="1"/>
  <c r="D180" i="17" s="1"/>
  <c r="F180" i="17" s="1"/>
  <c r="E180" i="17" s="1"/>
  <c r="AO181" i="17"/>
  <c r="B287" i="17"/>
  <c r="C287" i="17" s="1"/>
  <c r="D287" i="17" s="1"/>
  <c r="F287" i="17" s="1"/>
  <c r="E287" i="17" s="1"/>
  <c r="G287" i="17" s="1"/>
  <c r="A288" i="17"/>
  <c r="G106" i="15"/>
  <c r="AN107" i="15"/>
  <c r="AM107" i="15" s="1"/>
  <c r="AL107" i="15" s="1"/>
  <c r="C107" i="15" s="1"/>
  <c r="D107" i="15" s="1"/>
  <c r="F107" i="15" s="1"/>
  <c r="E107" i="15" s="1"/>
  <c r="BB108" i="15" s="1"/>
  <c r="AA231" i="18"/>
  <c r="AD230" i="18"/>
  <c r="AD230" i="17"/>
  <c r="AA231" i="17"/>
  <c r="AD227" i="15"/>
  <c r="AA228" i="15"/>
  <c r="A224" i="13"/>
  <c r="B223" i="13"/>
  <c r="X228" i="13"/>
  <c r="Y228" i="13" s="1"/>
  <c r="Z228" i="13" s="1"/>
  <c r="AA228" i="13" s="1"/>
  <c r="W229" i="13"/>
  <c r="C223" i="13" l="1"/>
  <c r="D223" i="13"/>
  <c r="D118" i="13"/>
  <c r="C118" i="13" s="1"/>
  <c r="AA234" i="24"/>
  <c r="AD233" i="24"/>
  <c r="AA232" i="22"/>
  <c r="AD231" i="22"/>
  <c r="A289" i="17"/>
  <c r="B288" i="17"/>
  <c r="C288" i="17" s="1"/>
  <c r="D288" i="17" s="1"/>
  <c r="F288" i="17" s="1"/>
  <c r="E288" i="17" s="1"/>
  <c r="G288" i="17" s="1"/>
  <c r="G180" i="17"/>
  <c r="AN181" i="17"/>
  <c r="AM181" i="17" s="1"/>
  <c r="AL181" i="17" s="1"/>
  <c r="C181" i="17" s="1"/>
  <c r="D181" i="17" s="1"/>
  <c r="F181" i="17" s="1"/>
  <c r="E181" i="17" s="1"/>
  <c r="G107" i="15"/>
  <c r="AQ113" i="15"/>
  <c r="AR119" i="15"/>
  <c r="AP110" i="15"/>
  <c r="AO109" i="15"/>
  <c r="AN108" i="15"/>
  <c r="AM108" i="15" s="1"/>
  <c r="AL108" i="15" s="1"/>
  <c r="C108" i="15" s="1"/>
  <c r="D108" i="15" s="1"/>
  <c r="F108" i="15" s="1"/>
  <c r="E108" i="15" s="1"/>
  <c r="BB109" i="15" s="1"/>
  <c r="AD231" i="18"/>
  <c r="AA232" i="18"/>
  <c r="AD231" i="17"/>
  <c r="AA232" i="17"/>
  <c r="AA229" i="15"/>
  <c r="AD228" i="15"/>
  <c r="A225" i="13"/>
  <c r="B224" i="13"/>
  <c r="X229" i="13"/>
  <c r="Y229" i="13" s="1"/>
  <c r="Z229" i="13" s="1"/>
  <c r="AA229" i="13" s="1"/>
  <c r="W230" i="13"/>
  <c r="D224" i="13" l="1"/>
  <c r="C224" i="13"/>
  <c r="E118" i="13"/>
  <c r="G118" i="13" s="1"/>
  <c r="F118" i="13" s="1"/>
  <c r="AD234" i="24"/>
  <c r="AA235" i="24"/>
  <c r="AD232" i="22"/>
  <c r="AA233" i="22"/>
  <c r="B289" i="17"/>
  <c r="C289" i="17" s="1"/>
  <c r="D289" i="17" s="1"/>
  <c r="F289" i="17" s="1"/>
  <c r="E289" i="17" s="1"/>
  <c r="G289" i="17" s="1"/>
  <c r="A290" i="17"/>
  <c r="G181" i="17"/>
  <c r="AO183" i="17"/>
  <c r="AN182" i="17"/>
  <c r="AM182" i="17" s="1"/>
  <c r="AL182" i="17" s="1"/>
  <c r="C182" i="17" s="1"/>
  <c r="D182" i="17" s="1"/>
  <c r="F182" i="17" s="1"/>
  <c r="E182" i="17" s="1"/>
  <c r="G108" i="15"/>
  <c r="AN109" i="15"/>
  <c r="AM109" i="15" s="1"/>
  <c r="AL109" i="15" s="1"/>
  <c r="C109" i="15" s="1"/>
  <c r="D109" i="15" s="1"/>
  <c r="F109" i="15" s="1"/>
  <c r="E109" i="15" s="1"/>
  <c r="BB110" i="15" s="1"/>
  <c r="AD232" i="18"/>
  <c r="AA233" i="18"/>
  <c r="AD232" i="17"/>
  <c r="AA233" i="17"/>
  <c r="AA230" i="15"/>
  <c r="AD229" i="15"/>
  <c r="X230" i="13"/>
  <c r="Y230" i="13" s="1"/>
  <c r="Z230" i="13" s="1"/>
  <c r="AA230" i="13" s="1"/>
  <c r="W231" i="13"/>
  <c r="A226" i="13"/>
  <c r="B225" i="13"/>
  <c r="D225" i="13" l="1"/>
  <c r="C225" i="13"/>
  <c r="D119" i="13"/>
  <c r="E119" i="13" s="1"/>
  <c r="AD235" i="24"/>
  <c r="AA236" i="24"/>
  <c r="AA234" i="22"/>
  <c r="AD233" i="22"/>
  <c r="B290" i="17"/>
  <c r="C290" i="17" s="1"/>
  <c r="D290" i="17" s="1"/>
  <c r="F290" i="17" s="1"/>
  <c r="E290" i="17" s="1"/>
  <c r="G290" i="17" s="1"/>
  <c r="A291" i="17"/>
  <c r="G182" i="17"/>
  <c r="AN183" i="17"/>
  <c r="AM183" i="17" s="1"/>
  <c r="AL183" i="17" s="1"/>
  <c r="C183" i="17" s="1"/>
  <c r="D183" i="17" s="1"/>
  <c r="F183" i="17" s="1"/>
  <c r="E183" i="17" s="1"/>
  <c r="AP185" i="17"/>
  <c r="G109" i="15"/>
  <c r="AN110" i="15"/>
  <c r="AM110" i="15" s="1"/>
  <c r="AL110" i="15" s="1"/>
  <c r="C110" i="15" s="1"/>
  <c r="D110" i="15" s="1"/>
  <c r="F110" i="15" s="1"/>
  <c r="E110" i="15" s="1"/>
  <c r="BB111" i="15" s="1"/>
  <c r="AO111" i="15"/>
  <c r="AA234" i="18"/>
  <c r="AD233" i="18"/>
  <c r="AA234" i="17"/>
  <c r="AD233" i="17"/>
  <c r="AD230" i="15"/>
  <c r="AA231" i="15"/>
  <c r="X231" i="13"/>
  <c r="Y231" i="13" s="1"/>
  <c r="Z231" i="13" s="1"/>
  <c r="AA231" i="13" s="1"/>
  <c r="W232" i="13"/>
  <c r="A227" i="13"/>
  <c r="B226" i="13"/>
  <c r="C119" i="13" l="1"/>
  <c r="G119" i="13" s="1"/>
  <c r="F119" i="13" s="1"/>
  <c r="C226" i="13"/>
  <c r="D226" i="13"/>
  <c r="AD236" i="24"/>
  <c r="AA237" i="24"/>
  <c r="AD234" i="22"/>
  <c r="AA235" i="22"/>
  <c r="B291" i="17"/>
  <c r="C291" i="17" s="1"/>
  <c r="D291" i="17" s="1"/>
  <c r="F291" i="17" s="1"/>
  <c r="E291" i="17" s="1"/>
  <c r="G291" i="17" s="1"/>
  <c r="A292" i="17"/>
  <c r="G183" i="17"/>
  <c r="AO185" i="17"/>
  <c r="AN184" i="17"/>
  <c r="AM184" i="17" s="1"/>
  <c r="AL184" i="17" s="1"/>
  <c r="C184" i="17" s="1"/>
  <c r="D184" i="17" s="1"/>
  <c r="F184" i="17" s="1"/>
  <c r="E184" i="17" s="1"/>
  <c r="G110" i="15"/>
  <c r="AP113" i="15"/>
  <c r="AN111" i="15"/>
  <c r="AM111" i="15" s="1"/>
  <c r="AL111" i="15" s="1"/>
  <c r="C111" i="15" s="1"/>
  <c r="D111" i="15" s="1"/>
  <c r="F111" i="15" s="1"/>
  <c r="E111" i="15" s="1"/>
  <c r="BB112" i="15" s="1"/>
  <c r="AD234" i="18"/>
  <c r="AA235" i="18"/>
  <c r="AD234" i="17"/>
  <c r="AA235" i="17"/>
  <c r="AA232" i="15"/>
  <c r="AD231" i="15"/>
  <c r="X232" i="13"/>
  <c r="Y232" i="13" s="1"/>
  <c r="Z232" i="13" s="1"/>
  <c r="AA232" i="13" s="1"/>
  <c r="W233" i="13"/>
  <c r="A228" i="13"/>
  <c r="B227" i="13"/>
  <c r="C227" i="13" l="1"/>
  <c r="D227" i="13"/>
  <c r="D120" i="13"/>
  <c r="C120" i="13" s="1"/>
  <c r="AA238" i="24"/>
  <c r="AD237" i="24"/>
  <c r="AA236" i="22"/>
  <c r="AD235" i="22"/>
  <c r="A293" i="17"/>
  <c r="B292" i="17"/>
  <c r="C292" i="17" s="1"/>
  <c r="D292" i="17" s="1"/>
  <c r="F292" i="17" s="1"/>
  <c r="E292" i="17" s="1"/>
  <c r="G292" i="17" s="1"/>
  <c r="G184" i="17"/>
  <c r="AN185" i="17"/>
  <c r="AM185" i="17" s="1"/>
  <c r="AL185" i="17" s="1"/>
  <c r="C185" i="17" s="1"/>
  <c r="D185" i="17" s="1"/>
  <c r="F185" i="17" s="1"/>
  <c r="E185" i="17" s="1"/>
  <c r="G111" i="15"/>
  <c r="AN112" i="15"/>
  <c r="AM112" i="15" s="1"/>
  <c r="AL112" i="15" s="1"/>
  <c r="C112" i="15" s="1"/>
  <c r="D112" i="15" s="1"/>
  <c r="F112" i="15" s="1"/>
  <c r="E112" i="15" s="1"/>
  <c r="BB113" i="15" s="1"/>
  <c r="AO113" i="15"/>
  <c r="AD235" i="18"/>
  <c r="AA236" i="18"/>
  <c r="AD235" i="17"/>
  <c r="AA236" i="17"/>
  <c r="AD232" i="15"/>
  <c r="AA233" i="15"/>
  <c r="X233" i="13"/>
  <c r="Y233" i="13" s="1"/>
  <c r="Z233" i="13" s="1"/>
  <c r="AA233" i="13" s="1"/>
  <c r="W234" i="13"/>
  <c r="A229" i="13"/>
  <c r="B228" i="13"/>
  <c r="D228" i="13" l="1"/>
  <c r="C228" i="13"/>
  <c r="E120" i="13"/>
  <c r="G120" i="13" s="1"/>
  <c r="F120" i="13" s="1"/>
  <c r="AD238" i="24"/>
  <c r="AA239" i="24"/>
  <c r="AD236" i="22"/>
  <c r="AA237" i="22"/>
  <c r="G185" i="17"/>
  <c r="AQ191" i="17"/>
  <c r="AN186" i="17"/>
  <c r="AM186" i="17" s="1"/>
  <c r="AL186" i="17" s="1"/>
  <c r="C186" i="17" s="1"/>
  <c r="D186" i="17" s="1"/>
  <c r="F186" i="17" s="1"/>
  <c r="E186" i="17" s="1"/>
  <c r="AP188" i="17"/>
  <c r="AO187" i="17"/>
  <c r="B293" i="17"/>
  <c r="C293" i="17" s="1"/>
  <c r="D293" i="17" s="1"/>
  <c r="F293" i="17" s="1"/>
  <c r="E293" i="17" s="1"/>
  <c r="G293" i="17" s="1"/>
  <c r="A294" i="17"/>
  <c r="G112" i="15"/>
  <c r="AN113" i="15"/>
  <c r="AM113" i="15" s="1"/>
  <c r="AL113" i="15" s="1"/>
  <c r="C113" i="15" s="1"/>
  <c r="D113" i="15" s="1"/>
  <c r="F113" i="15" s="1"/>
  <c r="E113" i="15" s="1"/>
  <c r="BB114" i="15" s="1"/>
  <c r="AD236" i="18"/>
  <c r="AA237" i="18"/>
  <c r="AD236" i="17"/>
  <c r="AA237" i="17"/>
  <c r="AD233" i="15"/>
  <c r="AA234" i="15"/>
  <c r="X234" i="13"/>
  <c r="Y234" i="13" s="1"/>
  <c r="Z234" i="13" s="1"/>
  <c r="AA234" i="13" s="1"/>
  <c r="W235" i="13"/>
  <c r="A230" i="13"/>
  <c r="B229" i="13"/>
  <c r="C229" i="13" l="1"/>
  <c r="D229" i="13"/>
  <c r="D121" i="13"/>
  <c r="E121" i="13" s="1"/>
  <c r="AD239" i="24"/>
  <c r="AA240" i="24"/>
  <c r="AA238" i="22"/>
  <c r="AD237" i="22"/>
  <c r="G186" i="17"/>
  <c r="AN187" i="17"/>
  <c r="AM187" i="17" s="1"/>
  <c r="AL187" i="17" s="1"/>
  <c r="C187" i="17" s="1"/>
  <c r="D187" i="17" s="1"/>
  <c r="F187" i="17" s="1"/>
  <c r="E187" i="17" s="1"/>
  <c r="B294" i="17"/>
  <c r="C294" i="17" s="1"/>
  <c r="D294" i="17" s="1"/>
  <c r="F294" i="17" s="1"/>
  <c r="E294" i="17" s="1"/>
  <c r="G294" i="17" s="1"/>
  <c r="A295" i="17"/>
  <c r="G113" i="15"/>
  <c r="AP116" i="15"/>
  <c r="AQ119" i="15"/>
  <c r="AO115" i="15"/>
  <c r="AN114" i="15"/>
  <c r="AM114" i="15" s="1"/>
  <c r="AL114" i="15" s="1"/>
  <c r="C114" i="15" s="1"/>
  <c r="D114" i="15" s="1"/>
  <c r="F114" i="15" s="1"/>
  <c r="E114" i="15" s="1"/>
  <c r="BB115" i="15" s="1"/>
  <c r="AA238" i="18"/>
  <c r="AD237" i="18"/>
  <c r="AA238" i="17"/>
  <c r="AD237" i="17"/>
  <c r="AA235" i="15"/>
  <c r="AD234" i="15"/>
  <c r="X235" i="13"/>
  <c r="Y235" i="13" s="1"/>
  <c r="Z235" i="13" s="1"/>
  <c r="AA235" i="13" s="1"/>
  <c r="W236" i="13"/>
  <c r="A231" i="13"/>
  <c r="B230" i="13"/>
  <c r="C121" i="13" l="1"/>
  <c r="C230" i="13"/>
  <c r="D230" i="13"/>
  <c r="G121" i="13"/>
  <c r="F121" i="13" s="1"/>
  <c r="AD240" i="24"/>
  <c r="AA241" i="24"/>
  <c r="AD238" i="22"/>
  <c r="AA239" i="22"/>
  <c r="G187" i="17"/>
  <c r="AO189" i="17"/>
  <c r="AN188" i="17"/>
  <c r="AM188" i="17" s="1"/>
  <c r="AL188" i="17" s="1"/>
  <c r="C188" i="17" s="1"/>
  <c r="D188" i="17" s="1"/>
  <c r="F188" i="17" s="1"/>
  <c r="E188" i="17" s="1"/>
  <c r="B295" i="17"/>
  <c r="C295" i="17" s="1"/>
  <c r="D295" i="17" s="1"/>
  <c r="F295" i="17" s="1"/>
  <c r="E295" i="17" s="1"/>
  <c r="G295" i="17" s="1"/>
  <c r="A296" i="17"/>
  <c r="G114" i="15"/>
  <c r="AN115" i="15"/>
  <c r="AM115" i="15" s="1"/>
  <c r="AL115" i="15" s="1"/>
  <c r="C115" i="15" s="1"/>
  <c r="D115" i="15" s="1"/>
  <c r="F115" i="15" s="1"/>
  <c r="E115" i="15" s="1"/>
  <c r="BB116" i="15" s="1"/>
  <c r="AA239" i="18"/>
  <c r="AD238" i="18"/>
  <c r="AD238" i="17"/>
  <c r="AA239" i="17"/>
  <c r="AA236" i="15"/>
  <c r="AD235" i="15"/>
  <c r="X236" i="13"/>
  <c r="Y236" i="13" s="1"/>
  <c r="Z236" i="13" s="1"/>
  <c r="AA236" i="13" s="1"/>
  <c r="W237" i="13"/>
  <c r="A232" i="13"/>
  <c r="B231" i="13"/>
  <c r="C231" i="13" l="1"/>
  <c r="D231" i="13"/>
  <c r="D122" i="13"/>
  <c r="E122" i="13" s="1"/>
  <c r="AA242" i="24"/>
  <c r="AD241" i="24"/>
  <c r="AA240" i="22"/>
  <c r="AD239" i="22"/>
  <c r="G188" i="17"/>
  <c r="AN189" i="17"/>
  <c r="AM189" i="17" s="1"/>
  <c r="AL189" i="17" s="1"/>
  <c r="C189" i="17" s="1"/>
  <c r="D189" i="17" s="1"/>
  <c r="F189" i="17" s="1"/>
  <c r="E189" i="17" s="1"/>
  <c r="AP191" i="17"/>
  <c r="A297" i="17"/>
  <c r="B296" i="17"/>
  <c r="C296" i="17" s="1"/>
  <c r="D296" i="17" s="1"/>
  <c r="F296" i="17" s="1"/>
  <c r="E296" i="17" s="1"/>
  <c r="G296" i="17" s="1"/>
  <c r="G115" i="15"/>
  <c r="AN116" i="15"/>
  <c r="AM116" i="15" s="1"/>
  <c r="AL116" i="15" s="1"/>
  <c r="C116" i="15" s="1"/>
  <c r="D116" i="15" s="1"/>
  <c r="F116" i="15" s="1"/>
  <c r="E116" i="15" s="1"/>
  <c r="BB117" i="15" s="1"/>
  <c r="AO117" i="15"/>
  <c r="AD239" i="18"/>
  <c r="AA240" i="18"/>
  <c r="AD239" i="17"/>
  <c r="AA240" i="17"/>
  <c r="AA237" i="15"/>
  <c r="AD236" i="15"/>
  <c r="X237" i="13"/>
  <c r="Y237" i="13" s="1"/>
  <c r="Z237" i="13" s="1"/>
  <c r="AA237" i="13" s="1"/>
  <c r="W238" i="13"/>
  <c r="A233" i="13"/>
  <c r="B232" i="13"/>
  <c r="C122" i="13" l="1"/>
  <c r="D232" i="13"/>
  <c r="C232" i="13"/>
  <c r="G122" i="13"/>
  <c r="F122" i="13" s="1"/>
  <c r="AD242" i="24"/>
  <c r="AA243" i="24"/>
  <c r="AD240" i="22"/>
  <c r="AA241" i="22"/>
  <c r="A298" i="17"/>
  <c r="B297" i="17"/>
  <c r="C297" i="17" s="1"/>
  <c r="D297" i="17" s="1"/>
  <c r="F297" i="17" s="1"/>
  <c r="E297" i="17" s="1"/>
  <c r="G297" i="17" s="1"/>
  <c r="G189" i="17"/>
  <c r="AN190" i="17"/>
  <c r="AM190" i="17" s="1"/>
  <c r="AL190" i="17" s="1"/>
  <c r="C190" i="17" s="1"/>
  <c r="D190" i="17" s="1"/>
  <c r="F190" i="17" s="1"/>
  <c r="E190" i="17" s="1"/>
  <c r="AO191" i="17"/>
  <c r="G116" i="15"/>
  <c r="AP119" i="15"/>
  <c r="AN117" i="15"/>
  <c r="AM117" i="15" s="1"/>
  <c r="AL117" i="15" s="1"/>
  <c r="C117" i="15" s="1"/>
  <c r="D117" i="15" s="1"/>
  <c r="F117" i="15" s="1"/>
  <c r="E117" i="15" s="1"/>
  <c r="BB118" i="15" s="1"/>
  <c r="AD240" i="18"/>
  <c r="AA241" i="18"/>
  <c r="AD240" i="17"/>
  <c r="AA241" i="17"/>
  <c r="AD237" i="15"/>
  <c r="AA238" i="15"/>
  <c r="X238" i="13"/>
  <c r="Y238" i="13" s="1"/>
  <c r="Z238" i="13" s="1"/>
  <c r="AA238" i="13" s="1"/>
  <c r="W239" i="13"/>
  <c r="A234" i="13"/>
  <c r="B233" i="13"/>
  <c r="D233" i="13" l="1"/>
  <c r="C233" i="13"/>
  <c r="D123" i="13"/>
  <c r="C123" i="13" s="1"/>
  <c r="AD243" i="24"/>
  <c r="AA244" i="24"/>
  <c r="AA242" i="22"/>
  <c r="AD241" i="22"/>
  <c r="G190" i="17"/>
  <c r="AN191" i="17"/>
  <c r="AL191" i="17"/>
  <c r="C191" i="17" s="1"/>
  <c r="D191" i="17" s="1"/>
  <c r="F191" i="17" s="1"/>
  <c r="E191" i="17" s="1"/>
  <c r="B298" i="17"/>
  <c r="C298" i="17" s="1"/>
  <c r="D298" i="17" s="1"/>
  <c r="F298" i="17" s="1"/>
  <c r="E298" i="17" s="1"/>
  <c r="G298" i="17" s="1"/>
  <c r="A299" i="17"/>
  <c r="G117" i="15"/>
  <c r="AO119" i="15"/>
  <c r="AN118" i="15"/>
  <c r="AM118" i="15" s="1"/>
  <c r="AL118" i="15" s="1"/>
  <c r="C118" i="15" s="1"/>
  <c r="D118" i="15" s="1"/>
  <c r="F118" i="15" s="1"/>
  <c r="E118" i="15" s="1"/>
  <c r="BB119" i="15" s="1"/>
  <c r="AA242" i="18"/>
  <c r="AD241" i="18"/>
  <c r="AA242" i="17"/>
  <c r="AD241" i="17"/>
  <c r="AA239" i="15"/>
  <c r="AD238" i="15"/>
  <c r="A235" i="13"/>
  <c r="B234" i="13"/>
  <c r="X239" i="13"/>
  <c r="Y239" i="13" s="1"/>
  <c r="Z239" i="13" s="1"/>
  <c r="AA239" i="13" s="1"/>
  <c r="W240" i="13"/>
  <c r="D234" i="13" l="1"/>
  <c r="C234" i="13"/>
  <c r="E123" i="13"/>
  <c r="G123" i="13" s="1"/>
  <c r="F123" i="13" s="1"/>
  <c r="AD244" i="24"/>
  <c r="AA245" i="24"/>
  <c r="AD245" i="24" s="1"/>
  <c r="AD242" i="22"/>
  <c r="AA243" i="22"/>
  <c r="G191" i="17"/>
  <c r="AR203" i="17"/>
  <c r="AM203" i="17" s="1"/>
  <c r="AO193" i="17"/>
  <c r="AP194" i="17"/>
  <c r="AQ197" i="17"/>
  <c r="AN192" i="17"/>
  <c r="AM192" i="17" s="1"/>
  <c r="AL192" i="17" s="1"/>
  <c r="C192" i="17" s="1"/>
  <c r="D192" i="17" s="1"/>
  <c r="F192" i="17" s="1"/>
  <c r="E192" i="17" s="1"/>
  <c r="B299" i="17"/>
  <c r="C299" i="17" s="1"/>
  <c r="D299" i="17" s="1"/>
  <c r="F299" i="17" s="1"/>
  <c r="E299" i="17" s="1"/>
  <c r="G299" i="17" s="1"/>
  <c r="A300" i="17"/>
  <c r="G118" i="15"/>
  <c r="AN119" i="15"/>
  <c r="AM119" i="15" s="1"/>
  <c r="AL119" i="15" s="1"/>
  <c r="C119" i="15" s="1"/>
  <c r="D119" i="15" s="1"/>
  <c r="F119" i="15" s="1"/>
  <c r="E119" i="15" s="1"/>
  <c r="BB120" i="15" s="1"/>
  <c r="AD242" i="18"/>
  <c r="AA243" i="18"/>
  <c r="AD242" i="17"/>
  <c r="AA243" i="17"/>
  <c r="AA240" i="15"/>
  <c r="AD239" i="15"/>
  <c r="X240" i="13"/>
  <c r="Y240" i="13" s="1"/>
  <c r="Z240" i="13" s="1"/>
  <c r="AA240" i="13" s="1"/>
  <c r="W241" i="13"/>
  <c r="A236" i="13"/>
  <c r="B235" i="13"/>
  <c r="C235" i="13" l="1"/>
  <c r="D235" i="13"/>
  <c r="D124" i="13"/>
  <c r="E124" i="13" s="1"/>
  <c r="AA244" i="22"/>
  <c r="AD243" i="22"/>
  <c r="A301" i="17"/>
  <c r="B300" i="17"/>
  <c r="C300" i="17" s="1"/>
  <c r="D300" i="17" s="1"/>
  <c r="F300" i="17" s="1"/>
  <c r="E300" i="17" s="1"/>
  <c r="G300" i="17" s="1"/>
  <c r="G192" i="17"/>
  <c r="AN193" i="17"/>
  <c r="AM193" i="17" s="1"/>
  <c r="AL193" i="17" s="1"/>
  <c r="C193" i="17" s="1"/>
  <c r="D193" i="17" s="1"/>
  <c r="F193" i="17" s="1"/>
  <c r="E193" i="17" s="1"/>
  <c r="G119" i="15"/>
  <c r="AR131" i="15"/>
  <c r="AP122" i="15"/>
  <c r="AO121" i="15"/>
  <c r="AQ125" i="15"/>
  <c r="AN120" i="15"/>
  <c r="AM120" i="15" s="1"/>
  <c r="AL120" i="15" s="1"/>
  <c r="C120" i="15" s="1"/>
  <c r="D120" i="15" s="1"/>
  <c r="F120" i="15" s="1"/>
  <c r="E120" i="15" s="1"/>
  <c r="BB121" i="15" s="1"/>
  <c r="AD243" i="18"/>
  <c r="AA244" i="18"/>
  <c r="AD243" i="17"/>
  <c r="AA244" i="17"/>
  <c r="AA241" i="15"/>
  <c r="AD240" i="15"/>
  <c r="X241" i="13"/>
  <c r="Y241" i="13" s="1"/>
  <c r="Z241" i="13" s="1"/>
  <c r="AA241" i="13" s="1"/>
  <c r="W242" i="13"/>
  <c r="A237" i="13"/>
  <c r="B236" i="13"/>
  <c r="C124" i="13" l="1"/>
  <c r="G124" i="13" s="1"/>
  <c r="F124" i="13" s="1"/>
  <c r="D236" i="13"/>
  <c r="C236" i="13"/>
  <c r="AD244" i="22"/>
  <c r="AA245" i="22"/>
  <c r="AD245" i="22" s="1"/>
  <c r="B301" i="17"/>
  <c r="C301" i="17" s="1"/>
  <c r="D301" i="17" s="1"/>
  <c r="F301" i="17" s="1"/>
  <c r="E301" i="17" s="1"/>
  <c r="G301" i="17" s="1"/>
  <c r="A302" i="17"/>
  <c r="G193" i="17"/>
  <c r="AO195" i="17"/>
  <c r="AN194" i="17"/>
  <c r="AM194" i="17" s="1"/>
  <c r="AL194" i="17" s="1"/>
  <c r="C194" i="17" s="1"/>
  <c r="D194" i="17" s="1"/>
  <c r="F194" i="17" s="1"/>
  <c r="E194" i="17" s="1"/>
  <c r="G120" i="15"/>
  <c r="AN121" i="15"/>
  <c r="AM121" i="15" s="1"/>
  <c r="AL121" i="15" s="1"/>
  <c r="C121" i="15" s="1"/>
  <c r="D121" i="15" s="1"/>
  <c r="F121" i="15" s="1"/>
  <c r="E121" i="15" s="1"/>
  <c r="BB122" i="15" s="1"/>
  <c r="AD244" i="18"/>
  <c r="AA245" i="18"/>
  <c r="AD245" i="18" s="1"/>
  <c r="AD244" i="17"/>
  <c r="AA245" i="17"/>
  <c r="AD245" i="17" s="1"/>
  <c r="AA242" i="15"/>
  <c r="AD241" i="15"/>
  <c r="X242" i="13"/>
  <c r="Y242" i="13" s="1"/>
  <c r="Z242" i="13" s="1"/>
  <c r="AA242" i="13" s="1"/>
  <c r="W243" i="13"/>
  <c r="A238" i="13"/>
  <c r="B237" i="13"/>
  <c r="C237" i="13" l="1"/>
  <c r="D237" i="13"/>
  <c r="D125" i="13"/>
  <c r="C125" i="13" s="1"/>
  <c r="B302" i="17"/>
  <c r="C302" i="17" s="1"/>
  <c r="D302" i="17" s="1"/>
  <c r="F302" i="17" s="1"/>
  <c r="E302" i="17" s="1"/>
  <c r="G302" i="17" s="1"/>
  <c r="A303" i="17"/>
  <c r="B303" i="17" s="1"/>
  <c r="C303" i="17" s="1"/>
  <c r="D303" i="17" s="1"/>
  <c r="F303" i="17" s="1"/>
  <c r="E303" i="17" s="1"/>
  <c r="G303" i="17" s="1"/>
  <c r="G194" i="17"/>
  <c r="AP197" i="17"/>
  <c r="AN195" i="17"/>
  <c r="AM195" i="17" s="1"/>
  <c r="AL195" i="17" s="1"/>
  <c r="C195" i="17" s="1"/>
  <c r="D195" i="17" s="1"/>
  <c r="F195" i="17" s="1"/>
  <c r="E195" i="17" s="1"/>
  <c r="G121" i="15"/>
  <c r="AO123" i="15"/>
  <c r="AN122" i="15"/>
  <c r="AM122" i="15" s="1"/>
  <c r="AL122" i="15" s="1"/>
  <c r="C122" i="15" s="1"/>
  <c r="D122" i="15" s="1"/>
  <c r="F122" i="15" s="1"/>
  <c r="E122" i="15" s="1"/>
  <c r="BB123" i="15" s="1"/>
  <c r="AA243" i="15"/>
  <c r="AD242" i="15"/>
  <c r="X243" i="13"/>
  <c r="Y243" i="13" s="1"/>
  <c r="Z243" i="13" s="1"/>
  <c r="AA243" i="13" s="1"/>
  <c r="W244" i="13"/>
  <c r="A239" i="13"/>
  <c r="B238" i="13"/>
  <c r="C238" i="13" l="1"/>
  <c r="D238" i="13"/>
  <c r="E125" i="13"/>
  <c r="G125" i="13" s="1"/>
  <c r="F125" i="13" s="1"/>
  <c r="G195" i="17"/>
  <c r="AN196" i="17"/>
  <c r="AM196" i="17" s="1"/>
  <c r="AL196" i="17" s="1"/>
  <c r="C196" i="17" s="1"/>
  <c r="D196" i="17" s="1"/>
  <c r="F196" i="17" s="1"/>
  <c r="E196" i="17" s="1"/>
  <c r="AO197" i="17"/>
  <c r="G122" i="15"/>
  <c r="AN123" i="15"/>
  <c r="AM123" i="15" s="1"/>
  <c r="AL123" i="15" s="1"/>
  <c r="C123" i="15" s="1"/>
  <c r="D123" i="15" s="1"/>
  <c r="F123" i="15" s="1"/>
  <c r="E123" i="15" s="1"/>
  <c r="BB124" i="15" s="1"/>
  <c r="AP125" i="15"/>
  <c r="AA244" i="15"/>
  <c r="AD243" i="15"/>
  <c r="X244" i="13"/>
  <c r="Y244" i="13" s="1"/>
  <c r="Z244" i="13" s="1"/>
  <c r="AA244" i="13" s="1"/>
  <c r="W245" i="13"/>
  <c r="A240" i="13"/>
  <c r="B239" i="13"/>
  <c r="C239" i="13" l="1"/>
  <c r="D239" i="13"/>
  <c r="D126" i="13"/>
  <c r="C126" i="13" s="1"/>
  <c r="G196" i="17"/>
  <c r="AN197" i="17"/>
  <c r="AM197" i="17" s="1"/>
  <c r="AL197" i="17" s="1"/>
  <c r="C197" i="17" s="1"/>
  <c r="D197" i="17" s="1"/>
  <c r="F197" i="17" s="1"/>
  <c r="E197" i="17" s="1"/>
  <c r="G123" i="15"/>
  <c r="AN124" i="15"/>
  <c r="AM124" i="15" s="1"/>
  <c r="AL124" i="15" s="1"/>
  <c r="C124" i="15" s="1"/>
  <c r="D124" i="15" s="1"/>
  <c r="F124" i="15" s="1"/>
  <c r="E124" i="15" s="1"/>
  <c r="BB125" i="15" s="1"/>
  <c r="AO125" i="15"/>
  <c r="AA245" i="15"/>
  <c r="AD245" i="15" s="1"/>
  <c r="AD244" i="15"/>
  <c r="X245" i="13"/>
  <c r="Y245" i="13" s="1"/>
  <c r="Z245" i="13" s="1"/>
  <c r="AA245" i="13" s="1"/>
  <c r="W246" i="13"/>
  <c r="A241" i="13"/>
  <c r="B240" i="13"/>
  <c r="G15" i="6"/>
  <c r="F15" i="11"/>
  <c r="AL14" i="11" s="1"/>
  <c r="I16" i="3"/>
  <c r="C13" i="11"/>
  <c r="C12" i="11"/>
  <c r="AG437" i="11"/>
  <c r="AG436" i="11"/>
  <c r="AG435" i="11"/>
  <c r="AG434" i="11"/>
  <c r="AG433" i="11"/>
  <c r="AG432" i="11"/>
  <c r="AG431" i="11"/>
  <c r="AG430" i="11"/>
  <c r="AG429" i="11"/>
  <c r="AG428" i="11"/>
  <c r="AD420" i="11"/>
  <c r="AD419" i="11"/>
  <c r="AD418" i="11"/>
  <c r="AD417" i="11"/>
  <c r="AD416" i="11"/>
  <c r="AD415" i="11"/>
  <c r="AD414" i="11"/>
  <c r="AD413" i="11"/>
  <c r="AD412" i="11"/>
  <c r="AD411" i="11"/>
  <c r="AD410" i="11"/>
  <c r="AD409" i="11"/>
  <c r="AD408" i="11"/>
  <c r="AD407" i="11"/>
  <c r="AD406" i="11"/>
  <c r="AD405" i="11"/>
  <c r="AD404" i="11"/>
  <c r="AD403" i="11"/>
  <c r="AD402" i="11"/>
  <c r="AD401" i="11"/>
  <c r="AD400" i="11"/>
  <c r="AD399" i="11"/>
  <c r="AD398" i="11"/>
  <c r="AD397" i="11"/>
  <c r="AD396" i="11"/>
  <c r="AD395" i="11"/>
  <c r="AD394" i="11"/>
  <c r="AD393" i="11"/>
  <c r="AD392" i="11"/>
  <c r="AD391" i="11"/>
  <c r="AD390" i="11"/>
  <c r="AD389" i="11"/>
  <c r="AD388" i="11"/>
  <c r="AD387" i="11"/>
  <c r="AD386" i="11"/>
  <c r="AD385" i="11"/>
  <c r="AD384" i="11"/>
  <c r="AD383" i="11"/>
  <c r="AD382" i="11"/>
  <c r="AD381" i="11"/>
  <c r="AD380" i="11"/>
  <c r="AD379" i="11"/>
  <c r="AD378" i="11"/>
  <c r="AD377" i="11"/>
  <c r="AD376" i="11"/>
  <c r="AD375" i="11"/>
  <c r="AD374" i="11"/>
  <c r="AD373" i="11"/>
  <c r="AD372" i="11"/>
  <c r="AD371" i="11"/>
  <c r="AD370" i="11"/>
  <c r="AD369" i="11"/>
  <c r="AD368" i="11"/>
  <c r="AD367" i="11"/>
  <c r="AD366" i="11"/>
  <c r="AD365" i="11"/>
  <c r="AD364" i="11"/>
  <c r="AD363" i="11"/>
  <c r="AD362" i="11"/>
  <c r="AD361" i="11"/>
  <c r="AD360" i="11"/>
  <c r="AD359" i="11"/>
  <c r="AD358" i="11"/>
  <c r="AD357" i="11"/>
  <c r="AD356" i="11"/>
  <c r="AD355" i="11"/>
  <c r="AD354" i="11"/>
  <c r="AG353" i="11"/>
  <c r="AD353" i="11"/>
  <c r="AG352" i="11"/>
  <c r="AD352" i="11"/>
  <c r="AG351" i="11"/>
  <c r="AD351" i="11"/>
  <c r="AG350" i="11"/>
  <c r="AD350" i="11"/>
  <c r="AG349" i="11"/>
  <c r="AD349" i="11"/>
  <c r="AG348" i="11"/>
  <c r="AD348" i="11"/>
  <c r="AG347" i="11"/>
  <c r="AD347" i="11"/>
  <c r="AG346" i="11"/>
  <c r="AD346" i="11"/>
  <c r="AG345" i="11"/>
  <c r="AD345" i="11"/>
  <c r="AG344" i="11"/>
  <c r="AD344" i="11"/>
  <c r="AG343" i="11"/>
  <c r="AD343" i="11"/>
  <c r="AG342" i="11"/>
  <c r="AD342" i="11"/>
  <c r="AG341" i="11"/>
  <c r="AD341" i="11"/>
  <c r="AG340" i="11"/>
  <c r="AD340" i="11"/>
  <c r="AG339" i="11"/>
  <c r="AD339" i="11"/>
  <c r="AG338" i="11"/>
  <c r="AD338" i="11"/>
  <c r="AG337" i="11"/>
  <c r="AD337" i="11"/>
  <c r="AG336" i="11"/>
  <c r="AD336" i="11"/>
  <c r="AG335" i="11"/>
  <c r="AD335" i="11"/>
  <c r="AG334" i="11"/>
  <c r="AD334" i="11"/>
  <c r="AG333" i="11"/>
  <c r="AD333" i="11"/>
  <c r="AG332" i="11"/>
  <c r="AD332" i="11"/>
  <c r="AG331" i="11"/>
  <c r="AD331" i="11"/>
  <c r="AG330" i="11"/>
  <c r="AD330" i="11"/>
  <c r="AG329" i="11"/>
  <c r="AD329" i="11"/>
  <c r="AG328" i="11"/>
  <c r="AD328" i="11"/>
  <c r="AG327" i="11"/>
  <c r="AD327" i="11"/>
  <c r="AG326" i="11"/>
  <c r="AD326" i="11"/>
  <c r="AG325" i="11"/>
  <c r="AD325" i="11"/>
  <c r="AG324" i="11"/>
  <c r="AD324" i="11"/>
  <c r="AG323" i="11"/>
  <c r="AD323" i="11"/>
  <c r="AG322" i="11"/>
  <c r="AD322" i="11"/>
  <c r="AG321" i="11"/>
  <c r="AD321" i="11"/>
  <c r="AG320" i="11"/>
  <c r="AD320" i="11"/>
  <c r="AG319" i="11"/>
  <c r="AD319" i="11"/>
  <c r="AG318" i="11"/>
  <c r="AD318" i="11"/>
  <c r="AG317" i="11"/>
  <c r="AD317" i="11"/>
  <c r="AG316" i="11"/>
  <c r="AD316" i="11"/>
  <c r="AG315" i="11"/>
  <c r="AD315" i="11"/>
  <c r="AG314" i="11"/>
  <c r="AD314" i="11"/>
  <c r="AG313" i="11"/>
  <c r="AD313" i="11"/>
  <c r="AG312" i="11"/>
  <c r="AD312" i="11"/>
  <c r="AG311" i="11"/>
  <c r="AD311" i="11"/>
  <c r="AH310" i="11"/>
  <c r="AG310" i="11"/>
  <c r="AD310" i="11"/>
  <c r="AH309" i="11"/>
  <c r="AG309" i="11"/>
  <c r="AD309" i="11"/>
  <c r="AH308" i="11"/>
  <c r="AG308" i="11"/>
  <c r="AD308" i="11"/>
  <c r="AH307" i="11"/>
  <c r="AG307" i="11"/>
  <c r="AD307" i="11"/>
  <c r="AH306" i="11"/>
  <c r="AG306" i="11"/>
  <c r="AD306" i="11"/>
  <c r="AH305" i="11"/>
  <c r="AG305" i="11"/>
  <c r="AD305" i="11"/>
  <c r="AH304" i="11"/>
  <c r="AG304" i="11"/>
  <c r="AD304" i="11"/>
  <c r="AH303" i="11"/>
  <c r="AG303" i="11"/>
  <c r="AD303" i="11"/>
  <c r="AH302" i="11"/>
  <c r="AG302" i="11"/>
  <c r="AD302" i="11"/>
  <c r="AH301" i="11"/>
  <c r="AG301" i="11"/>
  <c r="AD301" i="11"/>
  <c r="AH300" i="11"/>
  <c r="AG300" i="11"/>
  <c r="AD300" i="11"/>
  <c r="AH299" i="11"/>
  <c r="AG299" i="11"/>
  <c r="AD299" i="11"/>
  <c r="AH298" i="11"/>
  <c r="AG298" i="11"/>
  <c r="AD298" i="11"/>
  <c r="AH297" i="11"/>
  <c r="AG297" i="11"/>
  <c r="AD297" i="11"/>
  <c r="AH296" i="11"/>
  <c r="AG296" i="11"/>
  <c r="AD296" i="11"/>
  <c r="AH295" i="11"/>
  <c r="AG295" i="11"/>
  <c r="AD295" i="11"/>
  <c r="AH294" i="11"/>
  <c r="AG294" i="11"/>
  <c r="AD294" i="11"/>
  <c r="AH293" i="11"/>
  <c r="AG293" i="11"/>
  <c r="AD293" i="11"/>
  <c r="AH292" i="11"/>
  <c r="AG292" i="11"/>
  <c r="AD292" i="11"/>
  <c r="AH291" i="11"/>
  <c r="AG291" i="11"/>
  <c r="AD291" i="11"/>
  <c r="AH290" i="11"/>
  <c r="AG290" i="11"/>
  <c r="AD290" i="11"/>
  <c r="AH289" i="11"/>
  <c r="AG289" i="11"/>
  <c r="AD289" i="11"/>
  <c r="AH288" i="11"/>
  <c r="AG288" i="11"/>
  <c r="AD288" i="11"/>
  <c r="AH287" i="11"/>
  <c r="AG287" i="11"/>
  <c r="AD287" i="11"/>
  <c r="AH286" i="11"/>
  <c r="AG286" i="11"/>
  <c r="AD286" i="11"/>
  <c r="AH285" i="11"/>
  <c r="AG285" i="11"/>
  <c r="AD285" i="11"/>
  <c r="AH284" i="11"/>
  <c r="AG284" i="11"/>
  <c r="AD284" i="11"/>
  <c r="AH283" i="11"/>
  <c r="AG283" i="11"/>
  <c r="AD283" i="11"/>
  <c r="AH282" i="11"/>
  <c r="AG282" i="11"/>
  <c r="AD282" i="11"/>
  <c r="AH281" i="11"/>
  <c r="AG281" i="11"/>
  <c r="AD281" i="11"/>
  <c r="AH280" i="11"/>
  <c r="AG280" i="11"/>
  <c r="AD280" i="11"/>
  <c r="AH279" i="11"/>
  <c r="AG279" i="11"/>
  <c r="AD279" i="11"/>
  <c r="AH278" i="11"/>
  <c r="AG278" i="11"/>
  <c r="AD278" i="11"/>
  <c r="AH277" i="11"/>
  <c r="AG277" i="11"/>
  <c r="AD277" i="11"/>
  <c r="AH276" i="11"/>
  <c r="AG276" i="11"/>
  <c r="AD276" i="11"/>
  <c r="AH275" i="11"/>
  <c r="AG275" i="11"/>
  <c r="AD275" i="11"/>
  <c r="AH274" i="11"/>
  <c r="AG274" i="11"/>
  <c r="AD274" i="11"/>
  <c r="AH273" i="11"/>
  <c r="AG273" i="11"/>
  <c r="AD273" i="11"/>
  <c r="AH272" i="11"/>
  <c r="AG272" i="11"/>
  <c r="AD272" i="11"/>
  <c r="AH271" i="11"/>
  <c r="AG271" i="11"/>
  <c r="AD271" i="11"/>
  <c r="AH270" i="11"/>
  <c r="AG270" i="11"/>
  <c r="AD270" i="11"/>
  <c r="AH269" i="11"/>
  <c r="AG269" i="11"/>
  <c r="AD269" i="11"/>
  <c r="AH268" i="11"/>
  <c r="AG268" i="11"/>
  <c r="AD268" i="11"/>
  <c r="AH267" i="11"/>
  <c r="AG267" i="11"/>
  <c r="AD267" i="11"/>
  <c r="AH266" i="11"/>
  <c r="AG266" i="11"/>
  <c r="AD266" i="11"/>
  <c r="AH265" i="11"/>
  <c r="AG265" i="11"/>
  <c r="AD265" i="11"/>
  <c r="AH264" i="11"/>
  <c r="AG264" i="11"/>
  <c r="AD264" i="11"/>
  <c r="AH263" i="11"/>
  <c r="AG263" i="11"/>
  <c r="AD263" i="11"/>
  <c r="AH262" i="11"/>
  <c r="AG262" i="11"/>
  <c r="AD262" i="11"/>
  <c r="AH261" i="11"/>
  <c r="AG261" i="11"/>
  <c r="AD261" i="11"/>
  <c r="AH260" i="11"/>
  <c r="AG260" i="11"/>
  <c r="AD260" i="11"/>
  <c r="AH259" i="11"/>
  <c r="AG259" i="11"/>
  <c r="AD259" i="11"/>
  <c r="AH258" i="11"/>
  <c r="AG258" i="11"/>
  <c r="AD258" i="11"/>
  <c r="AH257" i="11"/>
  <c r="AG257" i="11"/>
  <c r="AD257" i="11"/>
  <c r="AH256" i="11"/>
  <c r="AG256" i="11"/>
  <c r="AD256" i="11"/>
  <c r="AH255" i="11"/>
  <c r="AG255" i="11"/>
  <c r="AD255" i="11"/>
  <c r="AH254" i="11"/>
  <c r="AG254" i="11"/>
  <c r="AD254" i="11"/>
  <c r="AH253" i="11"/>
  <c r="AG253" i="11"/>
  <c r="AD253" i="11"/>
  <c r="AH252" i="11"/>
  <c r="AG252" i="11"/>
  <c r="AD252" i="11"/>
  <c r="AH251" i="11"/>
  <c r="AG251" i="11"/>
  <c r="AD251" i="11"/>
  <c r="AH250" i="11"/>
  <c r="AG250" i="11"/>
  <c r="AD250" i="11"/>
  <c r="AH249" i="11"/>
  <c r="AG249" i="11"/>
  <c r="AD249" i="11"/>
  <c r="AH248" i="11"/>
  <c r="AG248" i="11"/>
  <c r="AD248" i="11"/>
  <c r="AH247" i="11"/>
  <c r="AG247" i="11"/>
  <c r="AD247" i="11"/>
  <c r="AH246" i="11"/>
  <c r="AG246" i="11"/>
  <c r="AD246" i="11"/>
  <c r="AH245" i="11"/>
  <c r="AG245" i="11"/>
  <c r="AH244" i="11"/>
  <c r="AG244" i="11"/>
  <c r="AC244" i="11"/>
  <c r="AH243" i="11"/>
  <c r="AG243" i="11"/>
  <c r="AC243" i="11"/>
  <c r="AH242" i="11"/>
  <c r="AG242" i="11"/>
  <c r="AC242" i="11"/>
  <c r="AH241" i="11"/>
  <c r="AG241" i="11"/>
  <c r="AC241" i="11"/>
  <c r="AH240" i="11"/>
  <c r="AG240" i="11"/>
  <c r="AC240" i="11"/>
  <c r="AH239" i="11"/>
  <c r="AG239" i="11"/>
  <c r="AC239" i="11"/>
  <c r="AH238" i="11"/>
  <c r="AG238" i="11"/>
  <c r="AC238" i="11"/>
  <c r="AH237" i="11"/>
  <c r="AG237" i="11"/>
  <c r="AC237" i="11"/>
  <c r="AH236" i="11"/>
  <c r="AG236" i="11"/>
  <c r="AC236" i="11"/>
  <c r="AH235" i="11"/>
  <c r="AG235" i="11"/>
  <c r="AC235" i="11"/>
  <c r="AH234" i="11"/>
  <c r="AG234" i="11"/>
  <c r="AC234" i="11"/>
  <c r="AH233" i="11"/>
  <c r="AG233" i="11"/>
  <c r="AC233" i="11"/>
  <c r="AH232" i="11"/>
  <c r="AG232" i="11"/>
  <c r="AC232" i="11"/>
  <c r="AH231" i="11"/>
  <c r="AG231" i="11"/>
  <c r="AC231" i="11"/>
  <c r="AH230" i="11"/>
  <c r="AG230" i="11"/>
  <c r="AC230" i="11"/>
  <c r="AF229" i="11"/>
  <c r="AH229" i="11" s="1"/>
  <c r="AC229" i="11"/>
  <c r="AF228" i="11"/>
  <c r="AG228" i="11" s="1"/>
  <c r="AC228" i="11"/>
  <c r="AF227" i="11"/>
  <c r="AH227" i="11" s="1"/>
  <c r="AC227" i="11"/>
  <c r="AF226" i="11"/>
  <c r="AG226" i="11" s="1"/>
  <c r="AC226" i="11"/>
  <c r="AF225" i="11"/>
  <c r="AH225" i="11" s="1"/>
  <c r="AC225" i="11"/>
  <c r="AF224" i="11"/>
  <c r="AG224" i="11" s="1"/>
  <c r="AC224" i="11"/>
  <c r="AF223" i="11"/>
  <c r="AH223" i="11" s="1"/>
  <c r="AC223" i="11"/>
  <c r="AF222" i="11"/>
  <c r="AG222" i="11" s="1"/>
  <c r="AC222" i="11"/>
  <c r="AF221" i="11"/>
  <c r="AC221" i="11"/>
  <c r="AF220" i="11"/>
  <c r="AC220" i="11"/>
  <c r="AF219" i="11"/>
  <c r="AC219" i="11"/>
  <c r="AF218" i="11"/>
  <c r="AG218" i="11" s="1"/>
  <c r="AC218" i="11"/>
  <c r="AF217" i="11"/>
  <c r="AH217" i="11" s="1"/>
  <c r="AC217" i="11"/>
  <c r="AF216" i="11"/>
  <c r="AG216" i="11" s="1"/>
  <c r="AC216" i="11"/>
  <c r="AF215" i="11"/>
  <c r="AG215" i="11" s="1"/>
  <c r="AC215" i="11"/>
  <c r="AF214" i="11"/>
  <c r="AG214" i="11" s="1"/>
  <c r="AC214" i="11"/>
  <c r="AF213" i="11"/>
  <c r="AC213" i="11"/>
  <c r="AF212" i="11"/>
  <c r="AC212" i="11"/>
  <c r="AF211" i="11"/>
  <c r="AH211" i="11" s="1"/>
  <c r="AC211" i="11"/>
  <c r="AF210" i="11"/>
  <c r="AG210" i="11" s="1"/>
  <c r="AC210" i="11"/>
  <c r="AF209" i="11"/>
  <c r="AH209" i="11" s="1"/>
  <c r="AC209" i="11"/>
  <c r="AF208" i="11"/>
  <c r="AG208" i="11" s="1"/>
  <c r="AC208" i="11"/>
  <c r="AF207" i="11"/>
  <c r="AG207" i="11" s="1"/>
  <c r="AC207" i="11"/>
  <c r="AF206" i="11"/>
  <c r="AG206" i="11" s="1"/>
  <c r="AC206" i="11"/>
  <c r="AF205" i="11"/>
  <c r="AC205" i="11"/>
  <c r="AF204" i="11"/>
  <c r="AC204" i="11"/>
  <c r="AF203" i="11"/>
  <c r="AC203" i="11"/>
  <c r="AF202" i="11"/>
  <c r="AG202" i="11" s="1"/>
  <c r="AC202" i="11"/>
  <c r="AF201" i="11"/>
  <c r="AG201" i="11" s="1"/>
  <c r="AC201" i="11"/>
  <c r="AF200" i="11"/>
  <c r="AG200" i="11" s="1"/>
  <c r="AC200" i="11"/>
  <c r="AF199" i="11"/>
  <c r="AG199" i="11" s="1"/>
  <c r="AC199" i="11"/>
  <c r="AF198" i="11"/>
  <c r="AG198" i="11" s="1"/>
  <c r="AC198" i="11"/>
  <c r="AF197" i="11"/>
  <c r="AC197" i="11"/>
  <c r="AF196" i="11"/>
  <c r="AC196" i="11"/>
  <c r="AF195" i="11"/>
  <c r="AH195" i="11" s="1"/>
  <c r="AC195" i="11"/>
  <c r="AF194" i="11"/>
  <c r="AG194" i="11" s="1"/>
  <c r="AC194" i="11"/>
  <c r="AF193" i="11"/>
  <c r="AH193" i="11" s="1"/>
  <c r="AC193" i="11"/>
  <c r="AF192" i="11"/>
  <c r="AG192" i="11" s="1"/>
  <c r="AC192" i="11"/>
  <c r="AF191" i="11"/>
  <c r="AG191" i="11" s="1"/>
  <c r="AC191" i="11"/>
  <c r="AF190" i="11"/>
  <c r="AG190" i="11" s="1"/>
  <c r="AC190" i="11"/>
  <c r="AF189" i="11"/>
  <c r="AC189" i="11"/>
  <c r="AF188" i="11"/>
  <c r="AC188" i="11"/>
  <c r="AF187" i="11"/>
  <c r="AC187" i="11"/>
  <c r="AF186" i="11"/>
  <c r="AG186" i="11" s="1"/>
  <c r="AC186" i="11"/>
  <c r="AF185" i="11"/>
  <c r="AH185" i="11" s="1"/>
  <c r="AC185" i="11"/>
  <c r="AF184" i="11"/>
  <c r="AG184" i="11" s="1"/>
  <c r="AC184" i="11"/>
  <c r="AF183" i="11"/>
  <c r="AG183" i="11" s="1"/>
  <c r="AC183" i="11"/>
  <c r="AF182" i="11"/>
  <c r="AG182" i="11" s="1"/>
  <c r="AC182" i="11"/>
  <c r="AF181" i="11"/>
  <c r="AC181" i="11"/>
  <c r="AF180" i="11"/>
  <c r="AC180" i="11"/>
  <c r="AF179" i="11"/>
  <c r="AH179" i="11" s="1"/>
  <c r="AC179" i="11"/>
  <c r="AF178" i="11"/>
  <c r="AH178" i="11" s="1"/>
  <c r="AC178" i="11"/>
  <c r="AF177" i="11"/>
  <c r="AC177" i="11"/>
  <c r="AF176" i="11"/>
  <c r="AH176" i="11" s="1"/>
  <c r="AC176" i="11"/>
  <c r="AF175" i="11"/>
  <c r="AC175" i="11"/>
  <c r="AF174" i="11"/>
  <c r="AH174" i="11" s="1"/>
  <c r="AC174" i="11"/>
  <c r="AF173" i="11"/>
  <c r="AC173" i="11"/>
  <c r="AF172" i="11"/>
  <c r="AH172" i="11" s="1"/>
  <c r="AC172" i="11"/>
  <c r="AF171" i="11"/>
  <c r="AC171" i="11"/>
  <c r="AF170" i="11"/>
  <c r="AH170" i="11" s="1"/>
  <c r="AC170" i="11"/>
  <c r="AF169" i="11"/>
  <c r="AC169" i="11"/>
  <c r="AF168" i="11"/>
  <c r="AH168" i="11" s="1"/>
  <c r="AC168" i="11"/>
  <c r="AF167" i="11"/>
  <c r="AC167" i="11"/>
  <c r="AF166" i="11"/>
  <c r="AH166" i="11" s="1"/>
  <c r="AC166" i="11"/>
  <c r="AF165" i="11"/>
  <c r="AC165" i="11"/>
  <c r="AF164" i="11"/>
  <c r="AH164" i="11" s="1"/>
  <c r="AC164" i="11"/>
  <c r="AF163" i="11"/>
  <c r="AC163" i="11"/>
  <c r="AH162" i="11"/>
  <c r="AF162" i="11"/>
  <c r="AG162" i="11" s="1"/>
  <c r="AC162" i="11"/>
  <c r="AF161" i="11"/>
  <c r="AC161" i="11"/>
  <c r="AF160" i="11"/>
  <c r="AH160" i="11" s="1"/>
  <c r="AC160" i="11"/>
  <c r="AF159" i="11"/>
  <c r="AC159" i="11"/>
  <c r="AF158" i="11"/>
  <c r="AH158" i="11" s="1"/>
  <c r="AC158" i="11"/>
  <c r="AF157" i="11"/>
  <c r="AC157" i="11"/>
  <c r="AF156" i="11"/>
  <c r="AH156" i="11" s="1"/>
  <c r="AC156" i="11"/>
  <c r="AF155" i="11"/>
  <c r="AC155" i="11"/>
  <c r="AF154" i="11"/>
  <c r="AH154" i="11" s="1"/>
  <c r="AC154" i="11"/>
  <c r="AF153" i="11"/>
  <c r="AC153" i="11"/>
  <c r="AF152" i="11"/>
  <c r="AH152" i="11" s="1"/>
  <c r="AC152" i="11"/>
  <c r="AF151" i="11"/>
  <c r="AC151" i="11"/>
  <c r="AF150" i="11"/>
  <c r="AH150" i="11" s="1"/>
  <c r="AC150" i="11"/>
  <c r="AF149" i="11"/>
  <c r="AC149" i="11"/>
  <c r="AF148" i="11"/>
  <c r="AH148" i="11" s="1"/>
  <c r="AC148" i="11"/>
  <c r="AF147" i="11"/>
  <c r="AC147" i="11"/>
  <c r="AF146" i="11"/>
  <c r="AH146" i="11" s="1"/>
  <c r="AC146" i="11"/>
  <c r="AF145" i="11"/>
  <c r="AC145" i="11"/>
  <c r="AF144" i="11"/>
  <c r="AH144" i="11" s="1"/>
  <c r="AC144" i="11"/>
  <c r="AF143" i="11"/>
  <c r="AC143" i="11"/>
  <c r="AF142" i="11"/>
  <c r="AH142" i="11" s="1"/>
  <c r="AC142" i="11"/>
  <c r="AF141" i="11"/>
  <c r="AC141" i="11"/>
  <c r="AF140" i="11"/>
  <c r="AH140" i="11" s="1"/>
  <c r="AC140" i="11"/>
  <c r="AF139" i="11"/>
  <c r="AC139" i="11"/>
  <c r="AF138" i="11"/>
  <c r="AH138" i="11" s="1"/>
  <c r="AC138" i="11"/>
  <c r="AF137" i="11"/>
  <c r="AH137" i="11" s="1"/>
  <c r="AC137" i="11"/>
  <c r="AF136" i="11"/>
  <c r="AG136" i="11" s="1"/>
  <c r="AC136" i="11"/>
  <c r="AF135" i="11"/>
  <c r="AH135" i="11" s="1"/>
  <c r="AC135" i="11"/>
  <c r="AF134" i="11"/>
  <c r="AH134" i="11" s="1"/>
  <c r="AC134" i="11"/>
  <c r="AF133" i="11"/>
  <c r="AH133" i="11" s="1"/>
  <c r="AC133" i="11"/>
  <c r="AF132" i="11"/>
  <c r="AH132" i="11" s="1"/>
  <c r="AC132" i="11"/>
  <c r="AF131" i="11"/>
  <c r="AC131" i="11"/>
  <c r="AF130" i="11"/>
  <c r="AH130" i="11" s="1"/>
  <c r="AC130" i="11"/>
  <c r="AF129" i="11"/>
  <c r="AH129" i="11" s="1"/>
  <c r="AC129" i="11"/>
  <c r="AF128" i="11"/>
  <c r="AG128" i="11" s="1"/>
  <c r="AC128" i="11"/>
  <c r="AF127" i="11"/>
  <c r="AH127" i="11" s="1"/>
  <c r="AC127" i="11"/>
  <c r="AF126" i="11"/>
  <c r="AH126" i="11" s="1"/>
  <c r="AC126" i="11"/>
  <c r="AF125" i="11"/>
  <c r="AC125" i="11"/>
  <c r="AF124" i="11"/>
  <c r="AH124" i="11" s="1"/>
  <c r="AC124" i="11"/>
  <c r="AF123" i="11"/>
  <c r="AC123" i="11"/>
  <c r="AF122" i="11"/>
  <c r="AG122" i="11" s="1"/>
  <c r="AC122" i="11"/>
  <c r="AF121" i="11"/>
  <c r="AH121" i="11" s="1"/>
  <c r="AC121" i="11"/>
  <c r="AF120" i="11"/>
  <c r="AG120" i="11" s="1"/>
  <c r="AC120" i="11"/>
  <c r="AF119" i="11"/>
  <c r="AH119" i="11" s="1"/>
  <c r="AC119" i="11"/>
  <c r="AF118" i="11"/>
  <c r="AH118" i="11" s="1"/>
  <c r="AC118" i="11"/>
  <c r="AF117" i="11"/>
  <c r="AH117" i="11" s="1"/>
  <c r="AC117" i="11"/>
  <c r="AF116" i="11"/>
  <c r="AG116" i="11" s="1"/>
  <c r="AC116" i="11"/>
  <c r="AF115" i="11"/>
  <c r="AC115" i="11"/>
  <c r="AF114" i="11"/>
  <c r="AG114" i="11" s="1"/>
  <c r="AC114" i="11"/>
  <c r="AF113" i="11"/>
  <c r="AH113" i="11" s="1"/>
  <c r="AC113" i="11"/>
  <c r="AF112" i="11"/>
  <c r="AG112" i="11" s="1"/>
  <c r="AC112" i="11"/>
  <c r="AF111" i="11"/>
  <c r="AH111" i="11" s="1"/>
  <c r="AC111" i="11"/>
  <c r="AF110" i="11"/>
  <c r="AG110" i="11" s="1"/>
  <c r="AC110" i="11"/>
  <c r="AF109" i="11"/>
  <c r="AH109" i="11" s="1"/>
  <c r="AC109" i="11"/>
  <c r="AF108" i="11"/>
  <c r="AH108" i="11" s="1"/>
  <c r="AC108" i="11"/>
  <c r="AF107" i="11"/>
  <c r="AC107" i="11"/>
  <c r="AF106" i="11"/>
  <c r="AG106" i="11" s="1"/>
  <c r="AC106" i="11"/>
  <c r="AF105" i="11"/>
  <c r="AH105" i="11" s="1"/>
  <c r="AC105" i="11"/>
  <c r="AF104" i="11"/>
  <c r="AG104" i="11" s="1"/>
  <c r="AC104" i="11"/>
  <c r="AF103" i="11"/>
  <c r="AH103" i="11" s="1"/>
  <c r="AC103" i="11"/>
  <c r="AF102" i="11"/>
  <c r="AG102" i="11" s="1"/>
  <c r="AC102" i="11"/>
  <c r="AF101" i="11"/>
  <c r="AH101" i="11" s="1"/>
  <c r="AC101" i="11"/>
  <c r="AF100" i="11"/>
  <c r="AH100" i="11" s="1"/>
  <c r="AC100" i="11"/>
  <c r="AF99" i="11"/>
  <c r="AC99" i="11"/>
  <c r="AF98" i="11"/>
  <c r="AH98" i="11" s="1"/>
  <c r="AC98" i="11"/>
  <c r="AF97" i="11"/>
  <c r="AH97" i="11" s="1"/>
  <c r="AC97" i="11"/>
  <c r="AF96" i="11"/>
  <c r="AH96" i="11" s="1"/>
  <c r="AC96" i="11"/>
  <c r="AF95" i="11"/>
  <c r="AH95" i="11" s="1"/>
  <c r="AC95" i="11"/>
  <c r="AF94" i="11"/>
  <c r="AH94" i="11" s="1"/>
  <c r="AC94" i="11"/>
  <c r="AF93" i="11"/>
  <c r="AH93" i="11" s="1"/>
  <c r="AC93" i="11"/>
  <c r="AF92" i="11"/>
  <c r="AG92" i="11" s="1"/>
  <c r="AC92" i="11"/>
  <c r="AF91" i="11"/>
  <c r="AC91" i="11"/>
  <c r="AF90" i="11"/>
  <c r="AH90" i="11" s="1"/>
  <c r="AC90" i="11"/>
  <c r="AF89" i="11"/>
  <c r="AH89" i="11" s="1"/>
  <c r="AC89" i="11"/>
  <c r="AF88" i="11"/>
  <c r="AG88" i="11" s="1"/>
  <c r="AC88" i="11"/>
  <c r="AF87" i="11"/>
  <c r="AH87" i="11" s="1"/>
  <c r="AC87" i="11"/>
  <c r="AF86" i="11"/>
  <c r="AH86" i="11" s="1"/>
  <c r="AC86" i="11"/>
  <c r="AF85" i="11"/>
  <c r="AH85" i="11" s="1"/>
  <c r="AC85" i="11"/>
  <c r="AF84" i="11"/>
  <c r="AG84" i="11" s="1"/>
  <c r="AC84" i="11"/>
  <c r="AF83" i="11"/>
  <c r="AC83" i="11"/>
  <c r="AF82" i="11"/>
  <c r="AG82" i="11" s="1"/>
  <c r="AC82" i="11"/>
  <c r="AF81" i="11"/>
  <c r="AH81" i="11" s="1"/>
  <c r="AC81" i="11"/>
  <c r="AF80" i="11"/>
  <c r="AG80" i="11" s="1"/>
  <c r="AC80" i="11"/>
  <c r="AF79" i="11"/>
  <c r="AH79" i="11" s="1"/>
  <c r="AC79" i="11"/>
  <c r="AF78" i="11"/>
  <c r="AH78" i="11" s="1"/>
  <c r="AC78" i="11"/>
  <c r="AA30" i="11"/>
  <c r="AD30" i="11" s="1"/>
  <c r="AD29" i="11"/>
  <c r="AC27" i="11"/>
  <c r="AE24" i="11" s="1"/>
  <c r="AC26" i="11"/>
  <c r="A24" i="11"/>
  <c r="B24" i="11" s="1"/>
  <c r="F17" i="11"/>
  <c r="AB29" i="11"/>
  <c r="C11" i="11"/>
  <c r="C10" i="11"/>
  <c r="C9" i="11"/>
  <c r="C8" i="11"/>
  <c r="C7" i="11"/>
  <c r="C6" i="11"/>
  <c r="D19" i="3"/>
  <c r="G19" i="6"/>
  <c r="D19" i="6" s="1"/>
  <c r="D240" i="13" l="1"/>
  <c r="C240" i="13"/>
  <c r="E126" i="13"/>
  <c r="G126" i="13" s="1"/>
  <c r="F126" i="13" s="1"/>
  <c r="G197" i="17"/>
  <c r="AN198" i="17"/>
  <c r="AM198" i="17" s="1"/>
  <c r="AL198" i="17" s="1"/>
  <c r="C198" i="17" s="1"/>
  <c r="D198" i="17" s="1"/>
  <c r="F198" i="17" s="1"/>
  <c r="E198" i="17" s="1"/>
  <c r="AO199" i="17"/>
  <c r="AQ203" i="17"/>
  <c r="AP200" i="17"/>
  <c r="G124" i="15"/>
  <c r="AN125" i="15"/>
  <c r="AM125" i="15" s="1"/>
  <c r="AL125" i="15" s="1"/>
  <c r="C125" i="15" s="1"/>
  <c r="D125" i="15" s="1"/>
  <c r="F125" i="15" s="1"/>
  <c r="E125" i="15" s="1"/>
  <c r="BB126" i="15" s="1"/>
  <c r="AH122" i="11"/>
  <c r="X246" i="13"/>
  <c r="Y246" i="13" s="1"/>
  <c r="Z246" i="13" s="1"/>
  <c r="AA246" i="13" s="1"/>
  <c r="W247" i="13"/>
  <c r="A242" i="13"/>
  <c r="B241" i="13"/>
  <c r="AH228" i="11"/>
  <c r="D16" i="11"/>
  <c r="C23" i="11" s="1"/>
  <c r="AA31" i="11"/>
  <c r="AD31" i="11" s="1"/>
  <c r="AB30" i="11"/>
  <c r="AE30" i="11" s="1"/>
  <c r="AF30" i="11" s="1"/>
  <c r="AG30" i="11" s="1"/>
  <c r="AG146" i="11"/>
  <c r="AG178" i="11"/>
  <c r="AG179" i="11"/>
  <c r="AH92" i="11"/>
  <c r="AH207" i="11"/>
  <c r="AG86" i="11"/>
  <c r="AG87" i="11"/>
  <c r="AH104" i="11"/>
  <c r="AG138" i="11"/>
  <c r="AG154" i="11"/>
  <c r="AG170" i="11"/>
  <c r="AH110" i="11"/>
  <c r="AG98" i="11"/>
  <c r="AH128" i="11"/>
  <c r="AG193" i="11"/>
  <c r="A25" i="11"/>
  <c r="B25" i="11" s="1"/>
  <c r="AH106" i="11"/>
  <c r="AH112" i="11"/>
  <c r="AG126" i="11"/>
  <c r="AG127" i="11"/>
  <c r="AG132" i="11"/>
  <c r="AG142" i="11"/>
  <c r="AG150" i="11"/>
  <c r="AG158" i="11"/>
  <c r="AG166" i="11"/>
  <c r="AG174" i="11"/>
  <c r="AG185" i="11"/>
  <c r="AH186" i="11"/>
  <c r="AG217" i="11"/>
  <c r="AH218" i="11"/>
  <c r="AH82" i="11"/>
  <c r="AH88" i="11"/>
  <c r="AG105" i="11"/>
  <c r="AG111" i="11"/>
  <c r="AH116" i="11"/>
  <c r="AH184" i="11"/>
  <c r="AH199" i="11"/>
  <c r="AH208" i="11"/>
  <c r="AH226" i="11"/>
  <c r="AG90" i="11"/>
  <c r="AG96" i="11"/>
  <c r="AG97" i="11"/>
  <c r="AG103" i="11"/>
  <c r="AG108" i="11"/>
  <c r="AG109" i="11"/>
  <c r="AG121" i="11"/>
  <c r="AG78" i="11"/>
  <c r="AG79" i="11"/>
  <c r="AH80" i="11"/>
  <c r="AH84" i="11"/>
  <c r="AG94" i="11"/>
  <c r="AG95" i="11"/>
  <c r="AG100" i="11"/>
  <c r="AG101" i="11"/>
  <c r="AH102" i="11"/>
  <c r="AH114" i="11"/>
  <c r="AG118" i="11"/>
  <c r="AG119" i="11"/>
  <c r="AH120" i="11"/>
  <c r="AG124" i="11"/>
  <c r="AG130" i="11"/>
  <c r="AG134" i="11"/>
  <c r="AG135" i="11"/>
  <c r="AH136" i="11"/>
  <c r="AG140" i="11"/>
  <c r="AG144" i="11"/>
  <c r="AG148" i="11"/>
  <c r="AG152" i="11"/>
  <c r="AG156" i="11"/>
  <c r="AG160" i="11"/>
  <c r="AG164" i="11"/>
  <c r="AG168" i="11"/>
  <c r="AG172" i="11"/>
  <c r="AG176" i="11"/>
  <c r="AH191" i="11"/>
  <c r="AG195" i="11"/>
  <c r="AH200" i="11"/>
  <c r="AH201" i="11"/>
  <c r="AG209" i="11"/>
  <c r="AH210" i="11"/>
  <c r="AH215" i="11"/>
  <c r="AH224" i="11"/>
  <c r="AG85" i="11"/>
  <c r="AG137" i="11"/>
  <c r="AH183" i="11"/>
  <c r="AH192" i="11"/>
  <c r="AH202" i="11"/>
  <c r="AG211" i="11"/>
  <c r="AH216" i="11"/>
  <c r="AH222" i="11"/>
  <c r="AG93" i="11"/>
  <c r="AG117" i="11"/>
  <c r="AG129" i="11"/>
  <c r="AH83" i="11"/>
  <c r="AG83" i="11"/>
  <c r="AH197" i="11"/>
  <c r="AG197" i="11"/>
  <c r="AG89" i="11"/>
  <c r="AH107" i="11"/>
  <c r="AG107" i="11"/>
  <c r="AH99" i="11"/>
  <c r="AG99" i="11"/>
  <c r="AG113" i="11"/>
  <c r="AG133" i="11"/>
  <c r="AH187" i="11"/>
  <c r="AG187" i="11"/>
  <c r="AH115" i="11"/>
  <c r="AG115" i="11"/>
  <c r="AH181" i="11"/>
  <c r="AG181" i="11"/>
  <c r="AH123" i="11"/>
  <c r="AG123" i="11"/>
  <c r="AH145" i="11"/>
  <c r="AG145" i="11"/>
  <c r="AH155" i="11"/>
  <c r="AG155" i="11"/>
  <c r="AH161" i="11"/>
  <c r="AG161" i="11"/>
  <c r="AH171" i="11"/>
  <c r="AG171" i="11"/>
  <c r="AH177" i="11"/>
  <c r="AG177" i="11"/>
  <c r="AH194" i="11"/>
  <c r="AG220" i="11"/>
  <c r="AH220" i="11"/>
  <c r="AC29" i="11"/>
  <c r="AG81" i="11"/>
  <c r="AH91" i="11"/>
  <c r="AG91" i="11"/>
  <c r="AH125" i="11"/>
  <c r="AG125" i="11"/>
  <c r="AH131" i="11"/>
  <c r="AG131" i="11"/>
  <c r="AH147" i="11"/>
  <c r="AG147" i="11"/>
  <c r="AH153" i="11"/>
  <c r="AG153" i="11"/>
  <c r="AH163" i="11"/>
  <c r="AG163" i="11"/>
  <c r="AH169" i="11"/>
  <c r="AG169" i="11"/>
  <c r="AH143" i="11"/>
  <c r="AG143" i="11"/>
  <c r="AH151" i="11"/>
  <c r="AG151" i="11"/>
  <c r="AH159" i="11"/>
  <c r="AG159" i="11"/>
  <c r="AH167" i="11"/>
  <c r="AG167" i="11"/>
  <c r="AH175" i="11"/>
  <c r="AG175" i="11"/>
  <c r="AG204" i="11"/>
  <c r="AH204" i="11"/>
  <c r="AH219" i="11"/>
  <c r="AG219" i="11"/>
  <c r="AH139" i="11"/>
  <c r="AG139" i="11"/>
  <c r="AH141" i="11"/>
  <c r="AG141" i="11"/>
  <c r="AH149" i="11"/>
  <c r="AG149" i="11"/>
  <c r="AH157" i="11"/>
  <c r="AG157" i="11"/>
  <c r="AH165" i="11"/>
  <c r="AG165" i="11"/>
  <c r="AH173" i="11"/>
  <c r="AG173" i="11"/>
  <c r="AG188" i="11"/>
  <c r="AH188" i="11"/>
  <c r="AH203" i="11"/>
  <c r="AG203" i="11"/>
  <c r="AH213" i="11"/>
  <c r="AG213" i="11"/>
  <c r="AG180" i="11"/>
  <c r="AH180" i="11"/>
  <c r="AH189" i="11"/>
  <c r="AG189" i="11"/>
  <c r="AG196" i="11"/>
  <c r="AH196" i="11"/>
  <c r="AH205" i="11"/>
  <c r="AG205" i="11"/>
  <c r="AG212" i="11"/>
  <c r="AH212" i="11"/>
  <c r="AH221" i="11"/>
  <c r="AG221" i="11"/>
  <c r="AH182" i="11"/>
  <c r="AH190" i="11"/>
  <c r="AH198" i="11"/>
  <c r="AH206" i="11"/>
  <c r="AH214" i="11"/>
  <c r="AG223" i="11"/>
  <c r="AG225" i="11"/>
  <c r="AG227" i="11"/>
  <c r="AG229" i="11"/>
  <c r="D241" i="13" l="1"/>
  <c r="C241" i="13"/>
  <c r="D127" i="13"/>
  <c r="E127" i="13" s="1"/>
  <c r="G198" i="17"/>
  <c r="AN199" i="17"/>
  <c r="AM199" i="17" s="1"/>
  <c r="AL199" i="17" s="1"/>
  <c r="C199" i="17" s="1"/>
  <c r="D199" i="17" s="1"/>
  <c r="F199" i="17" s="1"/>
  <c r="E199" i="17" s="1"/>
  <c r="G125" i="15"/>
  <c r="AQ131" i="15"/>
  <c r="AO127" i="15"/>
  <c r="AN126" i="15"/>
  <c r="AM126" i="15" s="1"/>
  <c r="AL126" i="15" s="1"/>
  <c r="C126" i="15" s="1"/>
  <c r="D126" i="15" s="1"/>
  <c r="F126" i="15" s="1"/>
  <c r="E126" i="15" s="1"/>
  <c r="BB127" i="15" s="1"/>
  <c r="AP128" i="15"/>
  <c r="X247" i="13"/>
  <c r="Y247" i="13" s="1"/>
  <c r="Z247" i="13" s="1"/>
  <c r="AA247" i="13" s="1"/>
  <c r="W248" i="13"/>
  <c r="A243" i="13"/>
  <c r="B242" i="13"/>
  <c r="AA32" i="11"/>
  <c r="AD32" i="11" s="1"/>
  <c r="AC30" i="11"/>
  <c r="AB31" i="11"/>
  <c r="A26" i="11"/>
  <c r="A27" i="11" s="1"/>
  <c r="AH30" i="11"/>
  <c r="C127" i="13" l="1"/>
  <c r="G127" i="13" s="1"/>
  <c r="F127" i="13" s="1"/>
  <c r="C242" i="13"/>
  <c r="D242" i="13"/>
  <c r="G199" i="17"/>
  <c r="AN200" i="17"/>
  <c r="AM200" i="17" s="1"/>
  <c r="AL200" i="17" s="1"/>
  <c r="C200" i="17" s="1"/>
  <c r="D200" i="17" s="1"/>
  <c r="F200" i="17" s="1"/>
  <c r="E200" i="17" s="1"/>
  <c r="AO201" i="17"/>
  <c r="G126" i="15"/>
  <c r="AN127" i="15"/>
  <c r="AM127" i="15" s="1"/>
  <c r="AL127" i="15" s="1"/>
  <c r="C127" i="15" s="1"/>
  <c r="D127" i="15" s="1"/>
  <c r="F127" i="15" s="1"/>
  <c r="E127" i="15" s="1"/>
  <c r="BB128" i="15" s="1"/>
  <c r="AA33" i="11"/>
  <c r="AA34" i="11" s="1"/>
  <c r="AB32" i="11"/>
  <c r="AB33" i="11" s="1"/>
  <c r="X248" i="13"/>
  <c r="Y248" i="13" s="1"/>
  <c r="Z248" i="13" s="1"/>
  <c r="AA248" i="13" s="1"/>
  <c r="W249" i="13"/>
  <c r="A244" i="13"/>
  <c r="B243" i="13"/>
  <c r="B26" i="11"/>
  <c r="AC31" i="11"/>
  <c r="AE31" i="11"/>
  <c r="AF31" i="11" s="1"/>
  <c r="AG31" i="11" s="1"/>
  <c r="B27" i="11"/>
  <c r="A28" i="11"/>
  <c r="AD33" i="11"/>
  <c r="C243" i="13" l="1"/>
  <c r="D243" i="13"/>
  <c r="D128" i="13"/>
  <c r="C128" i="13" s="1"/>
  <c r="G200" i="17"/>
  <c r="AP203" i="17"/>
  <c r="AN201" i="17"/>
  <c r="AM201" i="17" s="1"/>
  <c r="AL201" i="17" s="1"/>
  <c r="C201" i="17" s="1"/>
  <c r="D201" i="17" s="1"/>
  <c r="F201" i="17" s="1"/>
  <c r="E201" i="17" s="1"/>
  <c r="G127" i="15"/>
  <c r="AO129" i="15"/>
  <c r="AN128" i="15"/>
  <c r="AM128" i="15" s="1"/>
  <c r="AL128" i="15" s="1"/>
  <c r="C128" i="15" s="1"/>
  <c r="D128" i="15" s="1"/>
  <c r="F128" i="15" s="1"/>
  <c r="E128" i="15" s="1"/>
  <c r="BB129" i="15" s="1"/>
  <c r="AE32" i="11"/>
  <c r="AF32" i="11" s="1"/>
  <c r="AG32" i="11" s="1"/>
  <c r="AC32" i="11"/>
  <c r="AC33" i="11" s="1"/>
  <c r="A245" i="13"/>
  <c r="B244" i="13"/>
  <c r="X249" i="13"/>
  <c r="Y249" i="13" s="1"/>
  <c r="Z249" i="13" s="1"/>
  <c r="AA249" i="13" s="1"/>
  <c r="W250" i="13"/>
  <c r="AH31" i="11"/>
  <c r="AE33" i="11"/>
  <c r="AF33" i="11" s="1"/>
  <c r="AB34" i="11"/>
  <c r="AA35" i="11"/>
  <c r="AD34" i="11"/>
  <c r="B28" i="11"/>
  <c r="A29" i="11"/>
  <c r="G16" i="6"/>
  <c r="D244" i="13" l="1"/>
  <c r="C244" i="13"/>
  <c r="E128" i="13"/>
  <c r="G128" i="13" s="1"/>
  <c r="F128" i="13" s="1"/>
  <c r="G201" i="17"/>
  <c r="AN202" i="17"/>
  <c r="AM202" i="17" s="1"/>
  <c r="AL202" i="17" s="1"/>
  <c r="C202" i="17" s="1"/>
  <c r="D202" i="17" s="1"/>
  <c r="F202" i="17" s="1"/>
  <c r="E202" i="17" s="1"/>
  <c r="AO203" i="17"/>
  <c r="G128" i="15"/>
  <c r="AN129" i="15"/>
  <c r="AM129" i="15" s="1"/>
  <c r="AL129" i="15" s="1"/>
  <c r="C129" i="15" s="1"/>
  <c r="D129" i="15" s="1"/>
  <c r="F129" i="15" s="1"/>
  <c r="E129" i="15" s="1"/>
  <c r="BB130" i="15" s="1"/>
  <c r="AP131" i="15"/>
  <c r="AH32" i="11"/>
  <c r="X250" i="13"/>
  <c r="Y250" i="13" s="1"/>
  <c r="Z250" i="13" s="1"/>
  <c r="AA250" i="13" s="1"/>
  <c r="W251" i="13"/>
  <c r="A246" i="13"/>
  <c r="B245" i="13"/>
  <c r="AC34" i="11"/>
  <c r="A30" i="11"/>
  <c r="B29" i="11"/>
  <c r="AE34" i="11"/>
  <c r="AF34" i="11" s="1"/>
  <c r="AB35" i="11"/>
  <c r="AD35" i="11"/>
  <c r="AA36" i="11"/>
  <c r="AH33" i="11"/>
  <c r="AG33" i="11"/>
  <c r="C245" i="13" l="1"/>
  <c r="D245" i="13"/>
  <c r="D129" i="13"/>
  <c r="C129" i="13"/>
  <c r="G202" i="17"/>
  <c r="AN203" i="17"/>
  <c r="AL203" i="17"/>
  <c r="C203" i="17" s="1"/>
  <c r="D203" i="17" s="1"/>
  <c r="F203" i="17" s="1"/>
  <c r="E203" i="17" s="1"/>
  <c r="G129" i="15"/>
  <c r="AN130" i="15"/>
  <c r="AM130" i="15" s="1"/>
  <c r="AL130" i="15" s="1"/>
  <c r="C130" i="15" s="1"/>
  <c r="D130" i="15" s="1"/>
  <c r="F130" i="15" s="1"/>
  <c r="E130" i="15" s="1"/>
  <c r="BB131" i="15" s="1"/>
  <c r="AO131" i="15"/>
  <c r="A247" i="13"/>
  <c r="B246" i="13"/>
  <c r="X251" i="13"/>
  <c r="Y251" i="13" s="1"/>
  <c r="Z251" i="13" s="1"/>
  <c r="AA251" i="13" s="1"/>
  <c r="W252" i="13"/>
  <c r="AE35" i="11"/>
  <c r="AF35" i="11" s="1"/>
  <c r="AG35" i="11" s="1"/>
  <c r="AH34" i="11"/>
  <c r="AG34" i="11"/>
  <c r="AA37" i="11"/>
  <c r="AD36" i="11"/>
  <c r="AB36" i="11"/>
  <c r="AC35" i="11"/>
  <c r="A31" i="11"/>
  <c r="B30" i="11"/>
  <c r="C246" i="13" l="1"/>
  <c r="D246" i="13"/>
  <c r="E129" i="13"/>
  <c r="G129" i="13" s="1"/>
  <c r="F129" i="13" s="1"/>
  <c r="G203" i="17"/>
  <c r="AQ209" i="17"/>
  <c r="AO205" i="17"/>
  <c r="AN204" i="17"/>
  <c r="AM204" i="17" s="1"/>
  <c r="AL204" i="17" s="1"/>
  <c r="C204" i="17" s="1"/>
  <c r="D204" i="17" s="1"/>
  <c r="F204" i="17" s="1"/>
  <c r="E204" i="17" s="1"/>
  <c r="AP206" i="17"/>
  <c r="AR215" i="17"/>
  <c r="AM215" i="17" s="1"/>
  <c r="G130" i="15"/>
  <c r="AN131" i="15"/>
  <c r="AM131" i="15" s="1"/>
  <c r="AL131" i="15" s="1"/>
  <c r="C131" i="15" s="1"/>
  <c r="D131" i="15" s="1"/>
  <c r="F131" i="15" s="1"/>
  <c r="E131" i="15" s="1"/>
  <c r="BB132" i="15" s="1"/>
  <c r="X252" i="13"/>
  <c r="Y252" i="13" s="1"/>
  <c r="Z252" i="13" s="1"/>
  <c r="AA252" i="13" s="1"/>
  <c r="W253" i="13"/>
  <c r="A248" i="13"/>
  <c r="B247" i="13"/>
  <c r="AC36" i="11"/>
  <c r="AE36" i="11"/>
  <c r="AF36" i="11" s="1"/>
  <c r="AH36" i="11" s="1"/>
  <c r="AH35" i="11"/>
  <c r="B31" i="11"/>
  <c r="A32" i="11"/>
  <c r="AA38" i="11"/>
  <c r="AD37" i="11"/>
  <c r="AB37" i="11"/>
  <c r="C247" i="13" l="1"/>
  <c r="D247" i="13"/>
  <c r="D130" i="13"/>
  <c r="C130" i="13" s="1"/>
  <c r="G204" i="17"/>
  <c r="AN205" i="17"/>
  <c r="AM205" i="17" s="1"/>
  <c r="AL205" i="17" s="1"/>
  <c r="C205" i="17" s="1"/>
  <c r="D205" i="17" s="1"/>
  <c r="F205" i="17" s="1"/>
  <c r="E205" i="17" s="1"/>
  <c r="G131" i="15"/>
  <c r="AN132" i="15"/>
  <c r="AM132" i="15" s="1"/>
  <c r="AL132" i="15" s="1"/>
  <c r="C132" i="15" s="1"/>
  <c r="D132" i="15" s="1"/>
  <c r="F132" i="15" s="1"/>
  <c r="E132" i="15" s="1"/>
  <c r="BB133" i="15" s="1"/>
  <c r="AP134" i="15"/>
  <c r="AR143" i="15"/>
  <c r="AQ137" i="15"/>
  <c r="AO133" i="15"/>
  <c r="X253" i="13"/>
  <c r="Y253" i="13" s="1"/>
  <c r="Z253" i="13" s="1"/>
  <c r="AA253" i="13" s="1"/>
  <c r="W254" i="13"/>
  <c r="A249" i="13"/>
  <c r="B248" i="13"/>
  <c r="AG36" i="11"/>
  <c r="AE37" i="11"/>
  <c r="AF37" i="11" s="1"/>
  <c r="AH37" i="11" s="1"/>
  <c r="AC37" i="11"/>
  <c r="AB38" i="11"/>
  <c r="AD38" i="11"/>
  <c r="AA39" i="11"/>
  <c r="B32" i="11"/>
  <c r="A33" i="11"/>
  <c r="D17" i="3"/>
  <c r="D248" i="13" l="1"/>
  <c r="C248" i="13"/>
  <c r="E130" i="13"/>
  <c r="G130" i="13" s="1"/>
  <c r="G205" i="17"/>
  <c r="AO207" i="17"/>
  <c r="AN206" i="17"/>
  <c r="AM206" i="17" s="1"/>
  <c r="AL206" i="17" s="1"/>
  <c r="C206" i="17" s="1"/>
  <c r="D206" i="17" s="1"/>
  <c r="F206" i="17" s="1"/>
  <c r="E206" i="17" s="1"/>
  <c r="G132" i="15"/>
  <c r="AN133" i="15"/>
  <c r="AM133" i="15" s="1"/>
  <c r="AL133" i="15" s="1"/>
  <c r="C133" i="15" s="1"/>
  <c r="D133" i="15" s="1"/>
  <c r="F133" i="15" s="1"/>
  <c r="E133" i="15" s="1"/>
  <c r="BB134" i="15" s="1"/>
  <c r="X254" i="13"/>
  <c r="Y254" i="13" s="1"/>
  <c r="Z254" i="13" s="1"/>
  <c r="AA254" i="13" s="1"/>
  <c r="W255" i="13"/>
  <c r="A250" i="13"/>
  <c r="B249" i="13"/>
  <c r="AE38" i="11"/>
  <c r="AF38" i="11" s="1"/>
  <c r="AG38" i="11" s="1"/>
  <c r="AG37" i="11"/>
  <c r="AC38" i="11"/>
  <c r="A34" i="11"/>
  <c r="B33" i="11"/>
  <c r="AB39" i="11"/>
  <c r="AA40" i="11"/>
  <c r="AD39" i="11"/>
  <c r="D249" i="13" l="1"/>
  <c r="C249" i="13"/>
  <c r="G206" i="17"/>
  <c r="AP209" i="17"/>
  <c r="AN207" i="17"/>
  <c r="AM207" i="17" s="1"/>
  <c r="AL207" i="17" s="1"/>
  <c r="C207" i="17" s="1"/>
  <c r="D207" i="17" s="1"/>
  <c r="F207" i="17" s="1"/>
  <c r="E207" i="17" s="1"/>
  <c r="G133" i="15"/>
  <c r="AO135" i="15"/>
  <c r="AN134" i="15"/>
  <c r="AM134" i="15" s="1"/>
  <c r="AL134" i="15" s="1"/>
  <c r="C134" i="15" s="1"/>
  <c r="D134" i="15" s="1"/>
  <c r="F134" i="15" s="1"/>
  <c r="E134" i="15" s="1"/>
  <c r="BB135" i="15" s="1"/>
  <c r="F130" i="13"/>
  <c r="X255" i="13"/>
  <c r="Y255" i="13" s="1"/>
  <c r="Z255" i="13" s="1"/>
  <c r="AA255" i="13" s="1"/>
  <c r="W256" i="13"/>
  <c r="A251" i="13"/>
  <c r="B250" i="13"/>
  <c r="AH38" i="11"/>
  <c r="AC39" i="11"/>
  <c r="AE39" i="11"/>
  <c r="AF39" i="11" s="1"/>
  <c r="AH39" i="11" s="1"/>
  <c r="AA41" i="11"/>
  <c r="AD40" i="11"/>
  <c r="AB40" i="11"/>
  <c r="A35" i="11"/>
  <c r="B34" i="11"/>
  <c r="D250" i="13" l="1"/>
  <c r="C250" i="13"/>
  <c r="D131" i="13"/>
  <c r="C131" i="13" s="1"/>
  <c r="G207" i="17"/>
  <c r="AN208" i="17"/>
  <c r="AM208" i="17" s="1"/>
  <c r="AL208" i="17" s="1"/>
  <c r="C208" i="17" s="1"/>
  <c r="D208" i="17" s="1"/>
  <c r="F208" i="17" s="1"/>
  <c r="E208" i="17" s="1"/>
  <c r="AO209" i="17"/>
  <c r="G134" i="15"/>
  <c r="AP137" i="15"/>
  <c r="AN135" i="15"/>
  <c r="AM135" i="15" s="1"/>
  <c r="AL135" i="15" s="1"/>
  <c r="C135" i="15" s="1"/>
  <c r="D135" i="15" s="1"/>
  <c r="F135" i="15" s="1"/>
  <c r="E135" i="15" s="1"/>
  <c r="BB136" i="15" s="1"/>
  <c r="X256" i="13"/>
  <c r="Y256" i="13" s="1"/>
  <c r="Z256" i="13" s="1"/>
  <c r="AA256" i="13" s="1"/>
  <c r="W257" i="13"/>
  <c r="A252" i="13"/>
  <c r="B251" i="13"/>
  <c r="AG39" i="11"/>
  <c r="AE40" i="11"/>
  <c r="AF40" i="11" s="1"/>
  <c r="AH40" i="11" s="1"/>
  <c r="AC40" i="11"/>
  <c r="B35" i="11"/>
  <c r="A36" i="11"/>
  <c r="AA42" i="11"/>
  <c r="AD41" i="11"/>
  <c r="AB41" i="11"/>
  <c r="F23" i="6"/>
  <c r="D17" i="6"/>
  <c r="A24" i="6"/>
  <c r="C251" i="13" l="1"/>
  <c r="D251" i="13"/>
  <c r="D24" i="6"/>
  <c r="C24" i="6" s="1"/>
  <c r="G208" i="17"/>
  <c r="AN209" i="17"/>
  <c r="AM209" i="17" s="1"/>
  <c r="AL209" i="17" s="1"/>
  <c r="C209" i="17" s="1"/>
  <c r="D209" i="17" s="1"/>
  <c r="F209" i="17" s="1"/>
  <c r="E209" i="17" s="1"/>
  <c r="B24" i="6"/>
  <c r="G135" i="15"/>
  <c r="AO137" i="15"/>
  <c r="AN136" i="15"/>
  <c r="AM136" i="15" s="1"/>
  <c r="AL136" i="15" s="1"/>
  <c r="C136" i="15" s="1"/>
  <c r="D136" i="15" s="1"/>
  <c r="F136" i="15" s="1"/>
  <c r="E136" i="15" s="1"/>
  <c r="BB137" i="15" s="1"/>
  <c r="E131" i="13"/>
  <c r="X257" i="13"/>
  <c r="Y257" i="13" s="1"/>
  <c r="Z257" i="13" s="1"/>
  <c r="AA257" i="13" s="1"/>
  <c r="W258" i="13"/>
  <c r="A253" i="13"/>
  <c r="B252" i="13"/>
  <c r="AG40" i="11"/>
  <c r="AE41" i="11"/>
  <c r="AF41" i="11" s="1"/>
  <c r="AH41" i="11" s="1"/>
  <c r="AC41" i="11"/>
  <c r="AA43" i="11"/>
  <c r="AD42" i="11"/>
  <c r="AB42" i="11"/>
  <c r="B36" i="11"/>
  <c r="A37" i="11"/>
  <c r="A25" i="6"/>
  <c r="D252" i="13" l="1"/>
  <c r="C252" i="13"/>
  <c r="G209" i="17"/>
  <c r="AQ215" i="17"/>
  <c r="AP212" i="17"/>
  <c r="AN210" i="17"/>
  <c r="AM210" i="17" s="1"/>
  <c r="AL210" i="17" s="1"/>
  <c r="C210" i="17" s="1"/>
  <c r="D210" i="17" s="1"/>
  <c r="F210" i="17" s="1"/>
  <c r="E210" i="17" s="1"/>
  <c r="AO211" i="17"/>
  <c r="A26" i="6"/>
  <c r="E25" i="6"/>
  <c r="B25" i="6"/>
  <c r="G136" i="15"/>
  <c r="AN137" i="15"/>
  <c r="AM137" i="15" s="1"/>
  <c r="AL137" i="15" s="1"/>
  <c r="C137" i="15" s="1"/>
  <c r="D137" i="15" s="1"/>
  <c r="F137" i="15" s="1"/>
  <c r="E137" i="15" s="1"/>
  <c r="BB138" i="15" s="1"/>
  <c r="G131" i="13"/>
  <c r="X258" i="13"/>
  <c r="Y258" i="13" s="1"/>
  <c r="Z258" i="13" s="1"/>
  <c r="AA258" i="13" s="1"/>
  <c r="W259" i="13"/>
  <c r="A254" i="13"/>
  <c r="B253" i="13"/>
  <c r="AC42" i="11"/>
  <c r="AG41" i="11"/>
  <c r="AE42" i="11"/>
  <c r="AF42" i="11" s="1"/>
  <c r="AG42" i="11" s="1"/>
  <c r="A38" i="11"/>
  <c r="B37" i="11"/>
  <c r="AA44" i="11"/>
  <c r="AD43" i="11"/>
  <c r="AB43" i="11"/>
  <c r="C253" i="13" l="1"/>
  <c r="D253" i="13"/>
  <c r="G210" i="17"/>
  <c r="AN211" i="17"/>
  <c r="AM211" i="17" s="1"/>
  <c r="AL211" i="17" s="1"/>
  <c r="C211" i="17" s="1"/>
  <c r="D211" i="17" s="1"/>
  <c r="F211" i="17" s="1"/>
  <c r="E211" i="17" s="1"/>
  <c r="B26" i="6"/>
  <c r="E26" i="6"/>
  <c r="A27" i="6"/>
  <c r="G137" i="15"/>
  <c r="AO139" i="15"/>
  <c r="AQ143" i="15"/>
  <c r="AN138" i="15"/>
  <c r="AM138" i="15" s="1"/>
  <c r="AL138" i="15" s="1"/>
  <c r="C138" i="15" s="1"/>
  <c r="D138" i="15" s="1"/>
  <c r="F138" i="15" s="1"/>
  <c r="E138" i="15" s="1"/>
  <c r="BB139" i="15" s="1"/>
  <c r="AP140" i="15"/>
  <c r="F131" i="13"/>
  <c r="A255" i="13"/>
  <c r="B254" i="13"/>
  <c r="X259" i="13"/>
  <c r="Y259" i="13" s="1"/>
  <c r="Z259" i="13" s="1"/>
  <c r="AA259" i="13" s="1"/>
  <c r="W260" i="13"/>
  <c r="AH42" i="11"/>
  <c r="AE43" i="11"/>
  <c r="AF43" i="11" s="1"/>
  <c r="AH43" i="11" s="1"/>
  <c r="AC43" i="11"/>
  <c r="AB44" i="11"/>
  <c r="AA45" i="11"/>
  <c r="AD44" i="11"/>
  <c r="A39" i="11"/>
  <c r="B38" i="11"/>
  <c r="C254" i="13" l="1"/>
  <c r="D254" i="13"/>
  <c r="D132" i="13"/>
  <c r="C132" i="13" s="1"/>
  <c r="G211" i="17"/>
  <c r="AN212" i="17"/>
  <c r="AM212" i="17" s="1"/>
  <c r="AL212" i="17" s="1"/>
  <c r="C212" i="17" s="1"/>
  <c r="D212" i="17" s="1"/>
  <c r="F212" i="17" s="1"/>
  <c r="E212" i="17" s="1"/>
  <c r="AO213" i="17"/>
  <c r="E27" i="6"/>
  <c r="A28" i="6"/>
  <c r="B27" i="6"/>
  <c r="G138" i="15"/>
  <c r="AN139" i="15"/>
  <c r="AM139" i="15" s="1"/>
  <c r="AL139" i="15" s="1"/>
  <c r="C139" i="15" s="1"/>
  <c r="D139" i="15" s="1"/>
  <c r="F139" i="15" s="1"/>
  <c r="E139" i="15" s="1"/>
  <c r="BB140" i="15" s="1"/>
  <c r="X260" i="13"/>
  <c r="Y260" i="13" s="1"/>
  <c r="Z260" i="13" s="1"/>
  <c r="AA260" i="13" s="1"/>
  <c r="W261" i="13"/>
  <c r="A256" i="13"/>
  <c r="B255" i="13"/>
  <c r="AG43" i="11"/>
  <c r="AE44" i="11"/>
  <c r="AF44" i="11" s="1"/>
  <c r="AH44" i="11" s="1"/>
  <c r="AC44" i="11"/>
  <c r="B39" i="11"/>
  <c r="A40" i="11"/>
  <c r="AB45" i="11"/>
  <c r="AD45" i="11"/>
  <c r="AA46" i="11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C26" i="3"/>
  <c r="C12" i="3"/>
  <c r="C11" i="3"/>
  <c r="C10" i="3"/>
  <c r="C9" i="3"/>
  <c r="C8" i="3"/>
  <c r="C7" i="3"/>
  <c r="C6" i="3"/>
  <c r="C255" i="13" l="1"/>
  <c r="D255" i="13"/>
  <c r="G212" i="17"/>
  <c r="AP215" i="17"/>
  <c r="AN213" i="17"/>
  <c r="AM213" i="17" s="1"/>
  <c r="AL213" i="17" s="1"/>
  <c r="C213" i="17" s="1"/>
  <c r="D213" i="17" s="1"/>
  <c r="F213" i="17" s="1"/>
  <c r="E213" i="17" s="1"/>
  <c r="E28" i="6"/>
  <c r="B28" i="6"/>
  <c r="A29" i="6"/>
  <c r="C23" i="3"/>
  <c r="G139" i="15"/>
  <c r="AO141" i="15"/>
  <c r="AN140" i="15"/>
  <c r="AM140" i="15" s="1"/>
  <c r="AL140" i="15" s="1"/>
  <c r="C140" i="15" s="1"/>
  <c r="D140" i="15" s="1"/>
  <c r="F140" i="15" s="1"/>
  <c r="E140" i="15" s="1"/>
  <c r="BB141" i="15" s="1"/>
  <c r="E132" i="13"/>
  <c r="X261" i="13"/>
  <c r="Y261" i="13" s="1"/>
  <c r="Z261" i="13" s="1"/>
  <c r="AA261" i="13" s="1"/>
  <c r="W262" i="13"/>
  <c r="A257" i="13"/>
  <c r="B256" i="13"/>
  <c r="AG44" i="11"/>
  <c r="AE45" i="11"/>
  <c r="AF45" i="11" s="1"/>
  <c r="AH45" i="11" s="1"/>
  <c r="AC45" i="11"/>
  <c r="B40" i="11"/>
  <c r="A41" i="11"/>
  <c r="AA47" i="11"/>
  <c r="AD46" i="11"/>
  <c r="AB46" i="11"/>
  <c r="D256" i="13" l="1"/>
  <c r="C256" i="13"/>
  <c r="G213" i="17"/>
  <c r="AO215" i="17"/>
  <c r="AN214" i="17"/>
  <c r="AM214" i="17" s="1"/>
  <c r="AL214" i="17" s="1"/>
  <c r="C214" i="17" s="1"/>
  <c r="D214" i="17" s="1"/>
  <c r="F214" i="17" s="1"/>
  <c r="E214" i="17" s="1"/>
  <c r="E29" i="6"/>
  <c r="A30" i="6"/>
  <c r="B29" i="6"/>
  <c r="G140" i="15"/>
  <c r="AN141" i="15"/>
  <c r="AM141" i="15" s="1"/>
  <c r="AL141" i="15" s="1"/>
  <c r="C141" i="15" s="1"/>
  <c r="D141" i="15" s="1"/>
  <c r="F141" i="15" s="1"/>
  <c r="E141" i="15" s="1"/>
  <c r="BB142" i="15" s="1"/>
  <c r="AP143" i="15"/>
  <c r="G132" i="13"/>
  <c r="X262" i="13"/>
  <c r="Y262" i="13" s="1"/>
  <c r="Z262" i="13" s="1"/>
  <c r="AA262" i="13" s="1"/>
  <c r="W263" i="13"/>
  <c r="A258" i="13"/>
  <c r="B257" i="13"/>
  <c r="AC46" i="11"/>
  <c r="AG45" i="11"/>
  <c r="AE46" i="11"/>
  <c r="AF46" i="11" s="1"/>
  <c r="AH46" i="11" s="1"/>
  <c r="AA48" i="11"/>
  <c r="AD47" i="11"/>
  <c r="AB47" i="11"/>
  <c r="A42" i="11"/>
  <c r="B41" i="11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9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D257" i="13" l="1"/>
  <c r="C257" i="13"/>
  <c r="G214" i="17"/>
  <c r="AN215" i="17"/>
  <c r="AL215" i="17"/>
  <c r="C215" i="17" s="1"/>
  <c r="D215" i="17" s="1"/>
  <c r="F215" i="17" s="1"/>
  <c r="E215" i="17" s="1"/>
  <c r="E30" i="6"/>
  <c r="B30" i="6"/>
  <c r="A31" i="6"/>
  <c r="G141" i="15"/>
  <c r="AO143" i="15"/>
  <c r="AN142" i="15"/>
  <c r="AM142" i="15" s="1"/>
  <c r="AL142" i="15" s="1"/>
  <c r="C142" i="15" s="1"/>
  <c r="D142" i="15" s="1"/>
  <c r="F142" i="15" s="1"/>
  <c r="E142" i="15" s="1"/>
  <c r="BB143" i="15" s="1"/>
  <c r="F132" i="13"/>
  <c r="W264" i="13"/>
  <c r="X263" i="13"/>
  <c r="Y263" i="13" s="1"/>
  <c r="Z263" i="13" s="1"/>
  <c r="AA263" i="13" s="1"/>
  <c r="A259" i="13"/>
  <c r="B258" i="13"/>
  <c r="AG46" i="11"/>
  <c r="AE47" i="11"/>
  <c r="AF47" i="11" s="1"/>
  <c r="AH47" i="11" s="1"/>
  <c r="AC47" i="11"/>
  <c r="AB48" i="11"/>
  <c r="AA49" i="11"/>
  <c r="AD48" i="11"/>
  <c r="B42" i="11"/>
  <c r="A43" i="11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C258" i="13" l="1"/>
  <c r="D258" i="13"/>
  <c r="D133" i="13"/>
  <c r="C133" i="13" s="1"/>
  <c r="G215" i="17"/>
  <c r="AQ221" i="17"/>
  <c r="AP218" i="17"/>
  <c r="AR227" i="17"/>
  <c r="AM227" i="17" s="1"/>
  <c r="AO217" i="17"/>
  <c r="AN216" i="17"/>
  <c r="AM216" i="17" s="1"/>
  <c r="AL216" i="17" s="1"/>
  <c r="C216" i="17" s="1"/>
  <c r="D216" i="17" s="1"/>
  <c r="F216" i="17" s="1"/>
  <c r="E216" i="17" s="1"/>
  <c r="E31" i="6"/>
  <c r="B31" i="6"/>
  <c r="A32" i="6"/>
  <c r="G142" i="15"/>
  <c r="AN143" i="15"/>
  <c r="AM143" i="15" s="1"/>
  <c r="AL143" i="15" s="1"/>
  <c r="C143" i="15" s="1"/>
  <c r="D143" i="15" s="1"/>
  <c r="F143" i="15" s="1"/>
  <c r="E143" i="15" s="1"/>
  <c r="BB144" i="15" s="1"/>
  <c r="X264" i="13"/>
  <c r="Y264" i="13" s="1"/>
  <c r="Z264" i="13" s="1"/>
  <c r="AA264" i="13" s="1"/>
  <c r="W265" i="13"/>
  <c r="A260" i="13"/>
  <c r="B259" i="13"/>
  <c r="AG47" i="11"/>
  <c r="AE48" i="11"/>
  <c r="AF48" i="11" s="1"/>
  <c r="AG48" i="11" s="1"/>
  <c r="AC48" i="11"/>
  <c r="AB49" i="11"/>
  <c r="AA50" i="11"/>
  <c r="AD49" i="11"/>
  <c r="B43" i="11"/>
  <c r="A44" i="11"/>
  <c r="Z609" i="6"/>
  <c r="Z610" i="6"/>
  <c r="Z611" i="6"/>
  <c r="Z612" i="6"/>
  <c r="X544" i="6"/>
  <c r="Y544" i="6" s="1"/>
  <c r="Z544" i="6" s="1"/>
  <c r="X545" i="6"/>
  <c r="Y545" i="6" s="1"/>
  <c r="Z545" i="6" s="1"/>
  <c r="X546" i="6"/>
  <c r="Y546" i="6" s="1"/>
  <c r="Z546" i="6" s="1"/>
  <c r="X547" i="6"/>
  <c r="Y547" i="6" s="1"/>
  <c r="Z547" i="6" s="1"/>
  <c r="X548" i="6"/>
  <c r="Y548" i="6" s="1"/>
  <c r="Z548" i="6" s="1"/>
  <c r="X549" i="6"/>
  <c r="Y549" i="6" s="1"/>
  <c r="Z549" i="6" s="1"/>
  <c r="X550" i="6"/>
  <c r="Y550" i="6" s="1"/>
  <c r="Z550" i="6" s="1"/>
  <c r="X551" i="6"/>
  <c r="Y551" i="6" s="1"/>
  <c r="Z551" i="6" s="1"/>
  <c r="X552" i="6"/>
  <c r="Y552" i="6" s="1"/>
  <c r="Z552" i="6" s="1"/>
  <c r="X553" i="6"/>
  <c r="Y553" i="6" s="1"/>
  <c r="Z553" i="6" s="1"/>
  <c r="X554" i="6"/>
  <c r="Y554" i="6" s="1"/>
  <c r="Z554" i="6" s="1"/>
  <c r="X555" i="6"/>
  <c r="Y555" i="6" s="1"/>
  <c r="Z555" i="6" s="1"/>
  <c r="X556" i="6"/>
  <c r="Y556" i="6" s="1"/>
  <c r="Z556" i="6" s="1"/>
  <c r="X557" i="6"/>
  <c r="Y557" i="6" s="1"/>
  <c r="Z557" i="6" s="1"/>
  <c r="X558" i="6"/>
  <c r="Y558" i="6" s="1"/>
  <c r="Z558" i="6" s="1"/>
  <c r="X559" i="6"/>
  <c r="Y559" i="6" s="1"/>
  <c r="Z559" i="6" s="1"/>
  <c r="X560" i="6"/>
  <c r="Y560" i="6" s="1"/>
  <c r="Z560" i="6" s="1"/>
  <c r="X561" i="6"/>
  <c r="Y561" i="6" s="1"/>
  <c r="Z561" i="6" s="1"/>
  <c r="X562" i="6"/>
  <c r="Y562" i="6" s="1"/>
  <c r="Z562" i="6" s="1"/>
  <c r="X563" i="6"/>
  <c r="Y563" i="6" s="1"/>
  <c r="Z563" i="6" s="1"/>
  <c r="X564" i="6"/>
  <c r="Y564" i="6" s="1"/>
  <c r="Z564" i="6" s="1"/>
  <c r="X565" i="6"/>
  <c r="Y565" i="6" s="1"/>
  <c r="Z565" i="6" s="1"/>
  <c r="X566" i="6"/>
  <c r="Y566" i="6" s="1"/>
  <c r="Z566" i="6" s="1"/>
  <c r="X567" i="6"/>
  <c r="Y567" i="6" s="1"/>
  <c r="Z567" i="6" s="1"/>
  <c r="X568" i="6"/>
  <c r="Y568" i="6" s="1"/>
  <c r="Z568" i="6" s="1"/>
  <c r="X569" i="6"/>
  <c r="Y569" i="6" s="1"/>
  <c r="Z569" i="6" s="1"/>
  <c r="X570" i="6"/>
  <c r="Y570" i="6" s="1"/>
  <c r="Z570" i="6" s="1"/>
  <c r="X571" i="6"/>
  <c r="Y571" i="6" s="1"/>
  <c r="Z571" i="6" s="1"/>
  <c r="X572" i="6"/>
  <c r="Y572" i="6" s="1"/>
  <c r="Z572" i="6" s="1"/>
  <c r="X573" i="6"/>
  <c r="Y573" i="6" s="1"/>
  <c r="Z573" i="6" s="1"/>
  <c r="X574" i="6"/>
  <c r="Y574" i="6" s="1"/>
  <c r="Z574" i="6" s="1"/>
  <c r="X575" i="6"/>
  <c r="Y575" i="6" s="1"/>
  <c r="Z575" i="6" s="1"/>
  <c r="X576" i="6"/>
  <c r="Y576" i="6" s="1"/>
  <c r="Z576" i="6" s="1"/>
  <c r="X577" i="6"/>
  <c r="Y577" i="6" s="1"/>
  <c r="Z577" i="6" s="1"/>
  <c r="X578" i="6"/>
  <c r="Y578" i="6" s="1"/>
  <c r="Z578" i="6" s="1"/>
  <c r="X579" i="6"/>
  <c r="Y579" i="6" s="1"/>
  <c r="Z579" i="6" s="1"/>
  <c r="X580" i="6"/>
  <c r="Y580" i="6" s="1"/>
  <c r="Z580" i="6" s="1"/>
  <c r="X581" i="6"/>
  <c r="Y581" i="6" s="1"/>
  <c r="Z581" i="6" s="1"/>
  <c r="X582" i="6"/>
  <c r="Y582" i="6" s="1"/>
  <c r="Z582" i="6" s="1"/>
  <c r="X583" i="6"/>
  <c r="Y583" i="6" s="1"/>
  <c r="Z583" i="6" s="1"/>
  <c r="X584" i="6"/>
  <c r="Y584" i="6" s="1"/>
  <c r="Z584" i="6" s="1"/>
  <c r="X585" i="6"/>
  <c r="Y585" i="6" s="1"/>
  <c r="Z585" i="6" s="1"/>
  <c r="X586" i="6"/>
  <c r="Y586" i="6" s="1"/>
  <c r="Z586" i="6" s="1"/>
  <c r="X587" i="6"/>
  <c r="Y587" i="6" s="1"/>
  <c r="Z587" i="6" s="1"/>
  <c r="X588" i="6"/>
  <c r="Y588" i="6" s="1"/>
  <c r="Z588" i="6" s="1"/>
  <c r="X589" i="6"/>
  <c r="Y589" i="6" s="1"/>
  <c r="Z589" i="6" s="1"/>
  <c r="X590" i="6"/>
  <c r="Y590" i="6" s="1"/>
  <c r="Z590" i="6" s="1"/>
  <c r="X591" i="6"/>
  <c r="Y591" i="6" s="1"/>
  <c r="Z591" i="6" s="1"/>
  <c r="X592" i="6"/>
  <c r="Y592" i="6" s="1"/>
  <c r="Z592" i="6" s="1"/>
  <c r="X593" i="6"/>
  <c r="Y593" i="6" s="1"/>
  <c r="Z593" i="6" s="1"/>
  <c r="X594" i="6"/>
  <c r="Y594" i="6" s="1"/>
  <c r="Z594" i="6" s="1"/>
  <c r="X595" i="6"/>
  <c r="Y595" i="6" s="1"/>
  <c r="Z595" i="6" s="1"/>
  <c r="X596" i="6"/>
  <c r="Y596" i="6" s="1"/>
  <c r="Z596" i="6" s="1"/>
  <c r="X597" i="6"/>
  <c r="Y597" i="6" s="1"/>
  <c r="Z597" i="6" s="1"/>
  <c r="X598" i="6"/>
  <c r="Y598" i="6" s="1"/>
  <c r="Z598" i="6" s="1"/>
  <c r="X599" i="6"/>
  <c r="Y599" i="6" s="1"/>
  <c r="Z599" i="6" s="1"/>
  <c r="X600" i="6"/>
  <c r="Y600" i="6" s="1"/>
  <c r="Z600" i="6" s="1"/>
  <c r="X601" i="6"/>
  <c r="Y601" i="6" s="1"/>
  <c r="Z601" i="6" s="1"/>
  <c r="X602" i="6"/>
  <c r="Y602" i="6" s="1"/>
  <c r="Z602" i="6" s="1"/>
  <c r="X603" i="6"/>
  <c r="Y603" i="6" s="1"/>
  <c r="Z603" i="6" s="1"/>
  <c r="X604" i="6"/>
  <c r="Y604" i="6" s="1"/>
  <c r="Z604" i="6" s="1"/>
  <c r="X605" i="6"/>
  <c r="Y605" i="6" s="1"/>
  <c r="Z605" i="6" s="1"/>
  <c r="X606" i="6"/>
  <c r="Y606" i="6" s="1"/>
  <c r="Z606" i="6" s="1"/>
  <c r="X607" i="6"/>
  <c r="Y607" i="6" s="1"/>
  <c r="Z607" i="6" s="1"/>
  <c r="X608" i="6"/>
  <c r="Y608" i="6" s="1"/>
  <c r="Z608" i="6" s="1"/>
  <c r="X609" i="6"/>
  <c r="X610" i="6"/>
  <c r="W30" i="6"/>
  <c r="X30" i="6" s="1"/>
  <c r="V31" i="6"/>
  <c r="X27" i="6"/>
  <c r="Z25" i="6" s="1"/>
  <c r="C259" i="13" l="1"/>
  <c r="D259" i="13"/>
  <c r="G216" i="17"/>
  <c r="AN217" i="17"/>
  <c r="AM217" i="17" s="1"/>
  <c r="AL217" i="17" s="1"/>
  <c r="C217" i="17" s="1"/>
  <c r="D217" i="17" s="1"/>
  <c r="F217" i="17" s="1"/>
  <c r="E217" i="17" s="1"/>
  <c r="E32" i="6"/>
  <c r="B32" i="6"/>
  <c r="A33" i="6"/>
  <c r="G143" i="15"/>
  <c r="AP146" i="15"/>
  <c r="AQ149" i="15"/>
  <c r="AO145" i="15"/>
  <c r="AR155" i="15"/>
  <c r="AN144" i="15"/>
  <c r="AM144" i="15" s="1"/>
  <c r="AL144" i="15" s="1"/>
  <c r="C144" i="15" s="1"/>
  <c r="D144" i="15" s="1"/>
  <c r="F144" i="15" s="1"/>
  <c r="E144" i="15" s="1"/>
  <c r="BB145" i="15" s="1"/>
  <c r="E133" i="13"/>
  <c r="W266" i="13"/>
  <c r="X265" i="13"/>
  <c r="Y265" i="13" s="1"/>
  <c r="Z265" i="13" s="1"/>
  <c r="AA265" i="13" s="1"/>
  <c r="A261" i="13"/>
  <c r="B260" i="13"/>
  <c r="AH48" i="11"/>
  <c r="AC49" i="11"/>
  <c r="AE49" i="11"/>
  <c r="AF49" i="11" s="1"/>
  <c r="AH49" i="11" s="1"/>
  <c r="A45" i="11"/>
  <c r="B44" i="11"/>
  <c r="AD50" i="11"/>
  <c r="AB50" i="11"/>
  <c r="AA51" i="11"/>
  <c r="W31" i="6"/>
  <c r="X31" i="6" s="1"/>
  <c r="V32" i="6"/>
  <c r="D260" i="13" l="1"/>
  <c r="C260" i="13"/>
  <c r="G217" i="17"/>
  <c r="AO219" i="17"/>
  <c r="AN218" i="17"/>
  <c r="AM218" i="17" s="1"/>
  <c r="AL218" i="17" s="1"/>
  <c r="C218" i="17" s="1"/>
  <c r="D218" i="17" s="1"/>
  <c r="F218" i="17" s="1"/>
  <c r="E218" i="17" s="1"/>
  <c r="E33" i="6"/>
  <c r="A34" i="6"/>
  <c r="B33" i="6"/>
  <c r="G144" i="15"/>
  <c r="AN145" i="15"/>
  <c r="AM145" i="15" s="1"/>
  <c r="AL145" i="15" s="1"/>
  <c r="C145" i="15" s="1"/>
  <c r="D145" i="15" s="1"/>
  <c r="F145" i="15" s="1"/>
  <c r="E145" i="15" s="1"/>
  <c r="BB146" i="15" s="1"/>
  <c r="G133" i="13"/>
  <c r="X266" i="13"/>
  <c r="Y266" i="13" s="1"/>
  <c r="Z266" i="13" s="1"/>
  <c r="AA266" i="13" s="1"/>
  <c r="W267" i="13"/>
  <c r="A262" i="13"/>
  <c r="B261" i="13"/>
  <c r="AG49" i="11"/>
  <c r="AE50" i="11"/>
  <c r="AF50" i="11" s="1"/>
  <c r="AG50" i="11" s="1"/>
  <c r="AC50" i="11"/>
  <c r="AA52" i="11"/>
  <c r="AD51" i="11"/>
  <c r="AB51" i="11"/>
  <c r="A46" i="11"/>
  <c r="B45" i="11"/>
  <c r="V33" i="6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W32" i="6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G428" i="3"/>
  <c r="AG429" i="3"/>
  <c r="AG430" i="3"/>
  <c r="AG431" i="3"/>
  <c r="AG432" i="3"/>
  <c r="AG433" i="3"/>
  <c r="AG434" i="3"/>
  <c r="AG435" i="3"/>
  <c r="AG436" i="3"/>
  <c r="AG437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C235" i="3"/>
  <c r="AC236" i="3"/>
  <c r="AC237" i="3"/>
  <c r="AC238" i="3"/>
  <c r="AC239" i="3"/>
  <c r="AC240" i="3"/>
  <c r="AC241" i="3"/>
  <c r="AC242" i="3"/>
  <c r="AC243" i="3"/>
  <c r="AC244" i="3"/>
  <c r="AA30" i="3"/>
  <c r="AB29" i="3"/>
  <c r="AC27" i="3"/>
  <c r="AE24" i="3" s="1"/>
  <c r="C261" i="13" l="1"/>
  <c r="D261" i="13"/>
  <c r="G218" i="17"/>
  <c r="AN219" i="17"/>
  <c r="AM219" i="17" s="1"/>
  <c r="AL219" i="17" s="1"/>
  <c r="C219" i="17" s="1"/>
  <c r="D219" i="17" s="1"/>
  <c r="F219" i="17" s="1"/>
  <c r="E219" i="17" s="1"/>
  <c r="AP221" i="17"/>
  <c r="E34" i="6"/>
  <c r="B34" i="6"/>
  <c r="A35" i="6"/>
  <c r="G145" i="15"/>
  <c r="AO147" i="15"/>
  <c r="AN146" i="15"/>
  <c r="AM146" i="15" s="1"/>
  <c r="AL146" i="15" s="1"/>
  <c r="C146" i="15" s="1"/>
  <c r="D146" i="15" s="1"/>
  <c r="F146" i="15" s="1"/>
  <c r="E146" i="15" s="1"/>
  <c r="BB147" i="15" s="1"/>
  <c r="F133" i="13"/>
  <c r="W268" i="13"/>
  <c r="X267" i="13"/>
  <c r="Y267" i="13" s="1"/>
  <c r="Z267" i="13" s="1"/>
  <c r="AA267" i="13" s="1"/>
  <c r="A263" i="13"/>
  <c r="B263" i="13" s="1"/>
  <c r="B262" i="13"/>
  <c r="AH50" i="11"/>
  <c r="AC51" i="11"/>
  <c r="AE51" i="11"/>
  <c r="AF51" i="11" s="1"/>
  <c r="AH51" i="11" s="1"/>
  <c r="B46" i="11"/>
  <c r="A47" i="11"/>
  <c r="AA53" i="11"/>
  <c r="AD52" i="11"/>
  <c r="AB52" i="11"/>
  <c r="AC29" i="3"/>
  <c r="W33" i="6"/>
  <c r="X32" i="6"/>
  <c r="AH172" i="3"/>
  <c r="AG172" i="3"/>
  <c r="AH156" i="3"/>
  <c r="AG156" i="3"/>
  <c r="AH140" i="3"/>
  <c r="AG140" i="3"/>
  <c r="AH120" i="3"/>
  <c r="AG120" i="3"/>
  <c r="AH104" i="3"/>
  <c r="AG104" i="3"/>
  <c r="AH175" i="3"/>
  <c r="AG175" i="3"/>
  <c r="AH163" i="3"/>
  <c r="AG163" i="3"/>
  <c r="AH155" i="3"/>
  <c r="AG155" i="3"/>
  <c r="AH147" i="3"/>
  <c r="AG147" i="3"/>
  <c r="AH131" i="3"/>
  <c r="AG131" i="3"/>
  <c r="AH119" i="3"/>
  <c r="AG119" i="3"/>
  <c r="AH115" i="3"/>
  <c r="AG115" i="3"/>
  <c r="AH103" i="3"/>
  <c r="AG103" i="3"/>
  <c r="AH91" i="3"/>
  <c r="AG91" i="3"/>
  <c r="AH83" i="3"/>
  <c r="AG83" i="3"/>
  <c r="AH227" i="3"/>
  <c r="AG227" i="3"/>
  <c r="AH215" i="3"/>
  <c r="AG215" i="3"/>
  <c r="AH207" i="3"/>
  <c r="AG207" i="3"/>
  <c r="AH199" i="3"/>
  <c r="AG199" i="3"/>
  <c r="AH191" i="3"/>
  <c r="AG191" i="3"/>
  <c r="AH178" i="3"/>
  <c r="AG178" i="3"/>
  <c r="AH174" i="3"/>
  <c r="AG174" i="3"/>
  <c r="AH170" i="3"/>
  <c r="AG170" i="3"/>
  <c r="AH166" i="3"/>
  <c r="AG166" i="3"/>
  <c r="AH162" i="3"/>
  <c r="AG162" i="3"/>
  <c r="AH158" i="3"/>
  <c r="AG158" i="3"/>
  <c r="AH154" i="3"/>
  <c r="AG154" i="3"/>
  <c r="AH150" i="3"/>
  <c r="AG150" i="3"/>
  <c r="AH146" i="3"/>
  <c r="AG146" i="3"/>
  <c r="AH142" i="3"/>
  <c r="AG142" i="3"/>
  <c r="AH138" i="3"/>
  <c r="AG138" i="3"/>
  <c r="AH134" i="3"/>
  <c r="AG134" i="3"/>
  <c r="AH130" i="3"/>
  <c r="AG130" i="3"/>
  <c r="AH126" i="3"/>
  <c r="AG126" i="3"/>
  <c r="AH122" i="3"/>
  <c r="AG122" i="3"/>
  <c r="AH118" i="3"/>
  <c r="AG118" i="3"/>
  <c r="AH114" i="3"/>
  <c r="AG114" i="3"/>
  <c r="AH110" i="3"/>
  <c r="AG110" i="3"/>
  <c r="AH106" i="3"/>
  <c r="AG106" i="3"/>
  <c r="AH102" i="3"/>
  <c r="AG102" i="3"/>
  <c r="AH98" i="3"/>
  <c r="AG98" i="3"/>
  <c r="AH94" i="3"/>
  <c r="AG94" i="3"/>
  <c r="AH90" i="3"/>
  <c r="AG90" i="3"/>
  <c r="AH86" i="3"/>
  <c r="AG86" i="3"/>
  <c r="AH82" i="3"/>
  <c r="AG82" i="3"/>
  <c r="AH78" i="3"/>
  <c r="AG78" i="3"/>
  <c r="AH226" i="3"/>
  <c r="AG226" i="3"/>
  <c r="AH222" i="3"/>
  <c r="AG222" i="3"/>
  <c r="AH218" i="3"/>
  <c r="AG218" i="3"/>
  <c r="AH214" i="3"/>
  <c r="AG214" i="3"/>
  <c r="AH210" i="3"/>
  <c r="AG210" i="3"/>
  <c r="AH206" i="3"/>
  <c r="AG206" i="3"/>
  <c r="AH202" i="3"/>
  <c r="AG202" i="3"/>
  <c r="AH198" i="3"/>
  <c r="AG198" i="3"/>
  <c r="AH194" i="3"/>
  <c r="AG194" i="3"/>
  <c r="AH190" i="3"/>
  <c r="AG190" i="3"/>
  <c r="AH186" i="3"/>
  <c r="AG186" i="3"/>
  <c r="AH182" i="3"/>
  <c r="AG182" i="3"/>
  <c r="AH168" i="3"/>
  <c r="AG168" i="3"/>
  <c r="AH152" i="3"/>
  <c r="AG152" i="3"/>
  <c r="AH136" i="3"/>
  <c r="AG136" i="3"/>
  <c r="AH124" i="3"/>
  <c r="AG124" i="3"/>
  <c r="AH100" i="3"/>
  <c r="AG100" i="3"/>
  <c r="AH179" i="3"/>
  <c r="AG179" i="3"/>
  <c r="AH171" i="3"/>
  <c r="AG171" i="3"/>
  <c r="AH159" i="3"/>
  <c r="AG159" i="3"/>
  <c r="AH143" i="3"/>
  <c r="AG143" i="3"/>
  <c r="AH135" i="3"/>
  <c r="AG135" i="3"/>
  <c r="AH123" i="3"/>
  <c r="AG123" i="3"/>
  <c r="AH107" i="3"/>
  <c r="AG107" i="3"/>
  <c r="AH99" i="3"/>
  <c r="AG99" i="3"/>
  <c r="AH87" i="3"/>
  <c r="AG87" i="3"/>
  <c r="AH219" i="3"/>
  <c r="AG219" i="3"/>
  <c r="AH177" i="3"/>
  <c r="AG177" i="3"/>
  <c r="AH173" i="3"/>
  <c r="AG173" i="3"/>
  <c r="AH169" i="3"/>
  <c r="AG169" i="3"/>
  <c r="AH165" i="3"/>
  <c r="AG165" i="3"/>
  <c r="AH161" i="3"/>
  <c r="AG161" i="3"/>
  <c r="AH157" i="3"/>
  <c r="AG157" i="3"/>
  <c r="AH153" i="3"/>
  <c r="AG153" i="3"/>
  <c r="AH149" i="3"/>
  <c r="AG149" i="3"/>
  <c r="AH145" i="3"/>
  <c r="AG145" i="3"/>
  <c r="AH141" i="3"/>
  <c r="AG141" i="3"/>
  <c r="AH137" i="3"/>
  <c r="AG137" i="3"/>
  <c r="AH133" i="3"/>
  <c r="AG133" i="3"/>
  <c r="AH129" i="3"/>
  <c r="AG129" i="3"/>
  <c r="AH125" i="3"/>
  <c r="AG125" i="3"/>
  <c r="AH121" i="3"/>
  <c r="AG121" i="3"/>
  <c r="AH117" i="3"/>
  <c r="AG117" i="3"/>
  <c r="AH113" i="3"/>
  <c r="AG113" i="3"/>
  <c r="AH109" i="3"/>
  <c r="AG109" i="3"/>
  <c r="AH105" i="3"/>
  <c r="AG105" i="3"/>
  <c r="AH101" i="3"/>
  <c r="AG101" i="3"/>
  <c r="AH97" i="3"/>
  <c r="AG97" i="3"/>
  <c r="AH93" i="3"/>
  <c r="AG93" i="3"/>
  <c r="AH89" i="3"/>
  <c r="AG89" i="3"/>
  <c r="AH85" i="3"/>
  <c r="AG85" i="3"/>
  <c r="AH81" i="3"/>
  <c r="AG81" i="3"/>
  <c r="AH229" i="3"/>
  <c r="AG229" i="3"/>
  <c r="AH225" i="3"/>
  <c r="AG225" i="3"/>
  <c r="AH221" i="3"/>
  <c r="AG221" i="3"/>
  <c r="AH217" i="3"/>
  <c r="AG217" i="3"/>
  <c r="AH213" i="3"/>
  <c r="AG213" i="3"/>
  <c r="AH209" i="3"/>
  <c r="AG209" i="3"/>
  <c r="AH205" i="3"/>
  <c r="AG205" i="3"/>
  <c r="AH201" i="3"/>
  <c r="AG201" i="3"/>
  <c r="AH197" i="3"/>
  <c r="AG197" i="3"/>
  <c r="AH193" i="3"/>
  <c r="AG193" i="3"/>
  <c r="AH189" i="3"/>
  <c r="AG189" i="3"/>
  <c r="AH185" i="3"/>
  <c r="AG185" i="3"/>
  <c r="AH181" i="3"/>
  <c r="AG181" i="3"/>
  <c r="AH176" i="3"/>
  <c r="AG176" i="3"/>
  <c r="AH160" i="3"/>
  <c r="AG160" i="3"/>
  <c r="AH148" i="3"/>
  <c r="AG148" i="3"/>
  <c r="AH132" i="3"/>
  <c r="AG132" i="3"/>
  <c r="AH116" i="3"/>
  <c r="AG116" i="3"/>
  <c r="AH112" i="3"/>
  <c r="AG112" i="3"/>
  <c r="AH96" i="3"/>
  <c r="AG96" i="3"/>
  <c r="AH92" i="3"/>
  <c r="AG92" i="3"/>
  <c r="AH88" i="3"/>
  <c r="AG88" i="3"/>
  <c r="AH84" i="3"/>
  <c r="AG84" i="3"/>
  <c r="AH80" i="3"/>
  <c r="AG80" i="3"/>
  <c r="AH228" i="3"/>
  <c r="AG228" i="3"/>
  <c r="AH224" i="3"/>
  <c r="AG224" i="3"/>
  <c r="AH220" i="3"/>
  <c r="AG220" i="3"/>
  <c r="AH216" i="3"/>
  <c r="AG216" i="3"/>
  <c r="AH212" i="3"/>
  <c r="AG212" i="3"/>
  <c r="AH208" i="3"/>
  <c r="AG208" i="3"/>
  <c r="AH204" i="3"/>
  <c r="AG204" i="3"/>
  <c r="AH200" i="3"/>
  <c r="AG200" i="3"/>
  <c r="AH196" i="3"/>
  <c r="AG196" i="3"/>
  <c r="AH192" i="3"/>
  <c r="AG192" i="3"/>
  <c r="AH188" i="3"/>
  <c r="AG188" i="3"/>
  <c r="AH184" i="3"/>
  <c r="AG184" i="3"/>
  <c r="AH180" i="3"/>
  <c r="AG180" i="3"/>
  <c r="AH164" i="3"/>
  <c r="AG164" i="3"/>
  <c r="AH144" i="3"/>
  <c r="AG144" i="3"/>
  <c r="AH128" i="3"/>
  <c r="AG128" i="3"/>
  <c r="AH108" i="3"/>
  <c r="AG108" i="3"/>
  <c r="AH167" i="3"/>
  <c r="AG167" i="3"/>
  <c r="AH151" i="3"/>
  <c r="AG151" i="3"/>
  <c r="AH139" i="3"/>
  <c r="AG139" i="3"/>
  <c r="AH127" i="3"/>
  <c r="AG127" i="3"/>
  <c r="AH111" i="3"/>
  <c r="AG111" i="3"/>
  <c r="AH95" i="3"/>
  <c r="AG95" i="3"/>
  <c r="AH79" i="3"/>
  <c r="AG79" i="3"/>
  <c r="AH223" i="3"/>
  <c r="AG223" i="3"/>
  <c r="AH211" i="3"/>
  <c r="AG211" i="3"/>
  <c r="AH203" i="3"/>
  <c r="AG203" i="3"/>
  <c r="AH195" i="3"/>
  <c r="AG195" i="3"/>
  <c r="AH187" i="3"/>
  <c r="AG187" i="3"/>
  <c r="AH183" i="3"/>
  <c r="AG183" i="3"/>
  <c r="AB30" i="3"/>
  <c r="AD30" i="3"/>
  <c r="V74" i="6"/>
  <c r="AA31" i="3"/>
  <c r="A24" i="3"/>
  <c r="C262" i="13" l="1"/>
  <c r="D262" i="13"/>
  <c r="C263" i="13"/>
  <c r="D263" i="13"/>
  <c r="D134" i="13"/>
  <c r="C134" i="13" s="1"/>
  <c r="G219" i="17"/>
  <c r="AO221" i="17"/>
  <c r="AN220" i="17"/>
  <c r="AM220" i="17" s="1"/>
  <c r="AL220" i="17" s="1"/>
  <c r="C220" i="17" s="1"/>
  <c r="D220" i="17" s="1"/>
  <c r="F220" i="17" s="1"/>
  <c r="E220" i="17" s="1"/>
  <c r="E35" i="6"/>
  <c r="B35" i="6"/>
  <c r="A36" i="6"/>
  <c r="G146" i="15"/>
  <c r="AN147" i="15"/>
  <c r="AM147" i="15" s="1"/>
  <c r="AL147" i="15" s="1"/>
  <c r="C147" i="15" s="1"/>
  <c r="D147" i="15" s="1"/>
  <c r="F147" i="15" s="1"/>
  <c r="E147" i="15" s="1"/>
  <c r="BB148" i="15" s="1"/>
  <c r="AP149" i="15"/>
  <c r="W269" i="13"/>
  <c r="X268" i="13"/>
  <c r="Y268" i="13" s="1"/>
  <c r="Z268" i="13" s="1"/>
  <c r="AA268" i="13" s="1"/>
  <c r="AG51" i="11"/>
  <c r="AC52" i="11"/>
  <c r="AE52" i="11"/>
  <c r="AF52" i="11" s="1"/>
  <c r="AH52" i="11" s="1"/>
  <c r="B47" i="11"/>
  <c r="A48" i="11"/>
  <c r="AB53" i="11"/>
  <c r="AA54" i="11"/>
  <c r="AD53" i="11"/>
  <c r="AC30" i="3"/>
  <c r="W34" i="6"/>
  <c r="X33" i="6"/>
  <c r="AA32" i="3"/>
  <c r="AD31" i="3"/>
  <c r="V75" i="6"/>
  <c r="AB31" i="3"/>
  <c r="A25" i="3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B24" i="3"/>
  <c r="G220" i="17" l="1"/>
  <c r="AN221" i="17"/>
  <c r="AM221" i="17" s="1"/>
  <c r="AL221" i="17" s="1"/>
  <c r="C221" i="17" s="1"/>
  <c r="D221" i="17" s="1"/>
  <c r="F221" i="17" s="1"/>
  <c r="E221" i="17" s="1"/>
  <c r="E36" i="6"/>
  <c r="B36" i="6"/>
  <c r="A37" i="6"/>
  <c r="G147" i="15"/>
  <c r="AN148" i="15"/>
  <c r="AM148" i="15" s="1"/>
  <c r="AL148" i="15" s="1"/>
  <c r="C148" i="15" s="1"/>
  <c r="D148" i="15" s="1"/>
  <c r="F148" i="15" s="1"/>
  <c r="E148" i="15" s="1"/>
  <c r="BB149" i="15" s="1"/>
  <c r="AO149" i="15"/>
  <c r="E134" i="13"/>
  <c r="W270" i="13"/>
  <c r="X269" i="13"/>
  <c r="Y269" i="13" s="1"/>
  <c r="Z269" i="13" s="1"/>
  <c r="AA269" i="13" s="1"/>
  <c r="AG52" i="11"/>
  <c r="AE53" i="11"/>
  <c r="AF53" i="11" s="1"/>
  <c r="AG53" i="11" s="1"/>
  <c r="AC53" i="11"/>
  <c r="A49" i="11"/>
  <c r="B48" i="11"/>
  <c r="AB54" i="11"/>
  <c r="AA55" i="11"/>
  <c r="AD54" i="11"/>
  <c r="AB32" i="3"/>
  <c r="W35" i="6"/>
  <c r="X34" i="6"/>
  <c r="AC31" i="3"/>
  <c r="AA33" i="3"/>
  <c r="AD32" i="3"/>
  <c r="V76" i="6"/>
  <c r="B26" i="3"/>
  <c r="B28" i="3"/>
  <c r="B25" i="3"/>
  <c r="B30" i="3"/>
  <c r="B27" i="3"/>
  <c r="B29" i="3"/>
  <c r="B31" i="3"/>
  <c r="B33" i="3"/>
  <c r="B34" i="3"/>
  <c r="B32" i="3"/>
  <c r="B35" i="3"/>
  <c r="A37" i="3"/>
  <c r="B36" i="3"/>
  <c r="G221" i="17" l="1"/>
  <c r="AQ227" i="17"/>
  <c r="AP224" i="17"/>
  <c r="AN222" i="17"/>
  <c r="AM222" i="17" s="1"/>
  <c r="AL222" i="17" s="1"/>
  <c r="C222" i="17" s="1"/>
  <c r="D222" i="17" s="1"/>
  <c r="F222" i="17" s="1"/>
  <c r="E222" i="17" s="1"/>
  <c r="AO223" i="17"/>
  <c r="E37" i="6"/>
  <c r="A38" i="6"/>
  <c r="B37" i="6"/>
  <c r="G148" i="15"/>
  <c r="AN149" i="15"/>
  <c r="AM149" i="15" s="1"/>
  <c r="AL149" i="15" s="1"/>
  <c r="C149" i="15" s="1"/>
  <c r="D149" i="15" s="1"/>
  <c r="F149" i="15" s="1"/>
  <c r="E149" i="15" s="1"/>
  <c r="BB150" i="15" s="1"/>
  <c r="G134" i="13"/>
  <c r="W271" i="13"/>
  <c r="X270" i="13"/>
  <c r="Y270" i="13" s="1"/>
  <c r="Z270" i="13" s="1"/>
  <c r="AA270" i="13" s="1"/>
  <c r="AH53" i="11"/>
  <c r="AE54" i="11"/>
  <c r="AF54" i="11" s="1"/>
  <c r="AH54" i="11" s="1"/>
  <c r="AC54" i="11"/>
  <c r="AA56" i="11"/>
  <c r="AD55" i="11"/>
  <c r="AB55" i="11"/>
  <c r="A50" i="11"/>
  <c r="B49" i="11"/>
  <c r="AC32" i="3"/>
  <c r="AB33" i="3"/>
  <c r="W36" i="6"/>
  <c r="X35" i="6"/>
  <c r="Y31" i="6"/>
  <c r="Z31" i="6" s="1"/>
  <c r="AA34" i="3"/>
  <c r="AD33" i="3"/>
  <c r="V77" i="6"/>
  <c r="A38" i="3"/>
  <c r="B37" i="3"/>
  <c r="G222" i="17" l="1"/>
  <c r="AN223" i="17"/>
  <c r="AM223" i="17" s="1"/>
  <c r="AL223" i="17" s="1"/>
  <c r="C223" i="17" s="1"/>
  <c r="D223" i="17" s="1"/>
  <c r="F223" i="17" s="1"/>
  <c r="E223" i="17" s="1"/>
  <c r="E38" i="6"/>
  <c r="B38" i="6"/>
  <c r="A39" i="6"/>
  <c r="G149" i="15"/>
  <c r="AO151" i="15"/>
  <c r="AQ155" i="15"/>
  <c r="AN150" i="15"/>
  <c r="AM150" i="15" s="1"/>
  <c r="AL150" i="15" s="1"/>
  <c r="C150" i="15" s="1"/>
  <c r="D150" i="15" s="1"/>
  <c r="F150" i="15" s="1"/>
  <c r="E150" i="15" s="1"/>
  <c r="BB151" i="15" s="1"/>
  <c r="AP152" i="15"/>
  <c r="F134" i="13"/>
  <c r="W272" i="13"/>
  <c r="X271" i="13"/>
  <c r="Y271" i="13" s="1"/>
  <c r="Z271" i="13" s="1"/>
  <c r="AA271" i="13" s="1"/>
  <c r="AG54" i="11"/>
  <c r="AC55" i="11"/>
  <c r="AE55" i="11"/>
  <c r="AF55" i="11" s="1"/>
  <c r="AG55" i="11" s="1"/>
  <c r="AD56" i="11"/>
  <c r="AA57" i="11"/>
  <c r="AB56" i="11"/>
  <c r="B50" i="11"/>
  <c r="A51" i="11"/>
  <c r="AC33" i="3"/>
  <c r="AB34" i="3"/>
  <c r="W37" i="6"/>
  <c r="X36" i="6"/>
  <c r="AA35" i="3"/>
  <c r="AD34" i="3"/>
  <c r="V78" i="6"/>
  <c r="A39" i="3"/>
  <c r="B38" i="3"/>
  <c r="D135" i="13" l="1"/>
  <c r="C135" i="13" s="1"/>
  <c r="G223" i="17"/>
  <c r="AN224" i="17"/>
  <c r="AM224" i="17" s="1"/>
  <c r="AL224" i="17" s="1"/>
  <c r="C224" i="17" s="1"/>
  <c r="D224" i="17" s="1"/>
  <c r="F224" i="17" s="1"/>
  <c r="E224" i="17" s="1"/>
  <c r="AO225" i="17"/>
  <c r="E39" i="6"/>
  <c r="B39" i="6"/>
  <c r="A40" i="6"/>
  <c r="G150" i="15"/>
  <c r="AN151" i="15"/>
  <c r="AM151" i="15" s="1"/>
  <c r="AL151" i="15" s="1"/>
  <c r="C151" i="15" s="1"/>
  <c r="D151" i="15" s="1"/>
  <c r="F151" i="15" s="1"/>
  <c r="E151" i="15" s="1"/>
  <c r="BB152" i="15" s="1"/>
  <c r="X272" i="13"/>
  <c r="Y272" i="13" s="1"/>
  <c r="Z272" i="13" s="1"/>
  <c r="AA272" i="13" s="1"/>
  <c r="W273" i="13"/>
  <c r="AH55" i="11"/>
  <c r="AE56" i="11"/>
  <c r="AF56" i="11" s="1"/>
  <c r="AG56" i="11" s="1"/>
  <c r="AC56" i="11"/>
  <c r="AB57" i="11"/>
  <c r="AA58" i="11"/>
  <c r="AD57" i="11"/>
  <c r="A52" i="11"/>
  <c r="B51" i="11"/>
  <c r="AC34" i="3"/>
  <c r="W38" i="6"/>
  <c r="X37" i="6"/>
  <c r="AA36" i="3"/>
  <c r="AD35" i="3"/>
  <c r="AB35" i="3"/>
  <c r="V79" i="6"/>
  <c r="A40" i="3"/>
  <c r="B39" i="3"/>
  <c r="E135" i="13" l="1"/>
  <c r="G135" i="13" s="1"/>
  <c r="F135" i="13" s="1"/>
  <c r="G224" i="17"/>
  <c r="AN225" i="17"/>
  <c r="AM225" i="17" s="1"/>
  <c r="AL225" i="17" s="1"/>
  <c r="C225" i="17" s="1"/>
  <c r="D225" i="17" s="1"/>
  <c r="F225" i="17" s="1"/>
  <c r="E225" i="17" s="1"/>
  <c r="AP227" i="17"/>
  <c r="E40" i="6"/>
  <c r="B40" i="6"/>
  <c r="A41" i="6"/>
  <c r="G151" i="15"/>
  <c r="AN152" i="15"/>
  <c r="AM152" i="15" s="1"/>
  <c r="AL152" i="15" s="1"/>
  <c r="C152" i="15" s="1"/>
  <c r="D152" i="15" s="1"/>
  <c r="F152" i="15" s="1"/>
  <c r="E152" i="15" s="1"/>
  <c r="BB153" i="15" s="1"/>
  <c r="AO153" i="15"/>
  <c r="W274" i="13"/>
  <c r="X273" i="13"/>
  <c r="Y273" i="13" s="1"/>
  <c r="Z273" i="13" s="1"/>
  <c r="AA273" i="13" s="1"/>
  <c r="AH56" i="11"/>
  <c r="AE57" i="11"/>
  <c r="AF57" i="11" s="1"/>
  <c r="AH57" i="11" s="1"/>
  <c r="AC57" i="11"/>
  <c r="A53" i="11"/>
  <c r="B52" i="11"/>
  <c r="AA59" i="11"/>
  <c r="AB58" i="11"/>
  <c r="AD58" i="11"/>
  <c r="W39" i="6"/>
  <c r="X38" i="6"/>
  <c r="AC35" i="3"/>
  <c r="AA37" i="3"/>
  <c r="AD36" i="3"/>
  <c r="AB36" i="3"/>
  <c r="V80" i="6"/>
  <c r="A41" i="3"/>
  <c r="B40" i="3"/>
  <c r="D136" i="13" l="1"/>
  <c r="C136" i="13" s="1"/>
  <c r="G225" i="17"/>
  <c r="AN226" i="17"/>
  <c r="AM226" i="17" s="1"/>
  <c r="AL226" i="17" s="1"/>
  <c r="C226" i="17" s="1"/>
  <c r="D226" i="17" s="1"/>
  <c r="F226" i="17" s="1"/>
  <c r="E226" i="17" s="1"/>
  <c r="AO227" i="17"/>
  <c r="E41" i="6"/>
  <c r="A42" i="6"/>
  <c r="B41" i="6"/>
  <c r="G152" i="15"/>
  <c r="AP155" i="15"/>
  <c r="AN153" i="15"/>
  <c r="AM153" i="15" s="1"/>
  <c r="AL153" i="15" s="1"/>
  <c r="C153" i="15" s="1"/>
  <c r="D153" i="15" s="1"/>
  <c r="F153" i="15" s="1"/>
  <c r="E153" i="15" s="1"/>
  <c r="BB154" i="15" s="1"/>
  <c r="X274" i="13"/>
  <c r="Y274" i="13" s="1"/>
  <c r="Z274" i="13" s="1"/>
  <c r="AA274" i="13" s="1"/>
  <c r="W275" i="13"/>
  <c r="AG57" i="11"/>
  <c r="AE58" i="11"/>
  <c r="AF58" i="11" s="1"/>
  <c r="AG58" i="11" s="1"/>
  <c r="AC58" i="11"/>
  <c r="B53" i="11"/>
  <c r="A54" i="11"/>
  <c r="AA60" i="11"/>
  <c r="AD59" i="11"/>
  <c r="AB59" i="11"/>
  <c r="W40" i="6"/>
  <c r="X39" i="6"/>
  <c r="AC36" i="3"/>
  <c r="AA38" i="3"/>
  <c r="AD37" i="3"/>
  <c r="AB37" i="3"/>
  <c r="V81" i="6"/>
  <c r="A42" i="3"/>
  <c r="B41" i="3"/>
  <c r="E136" i="13" l="1"/>
  <c r="G136" i="13" s="1"/>
  <c r="F136" i="13" s="1"/>
  <c r="G226" i="17"/>
  <c r="AN227" i="17"/>
  <c r="AL227" i="17"/>
  <c r="C227" i="17" s="1"/>
  <c r="D227" i="17" s="1"/>
  <c r="F227" i="17" s="1"/>
  <c r="E227" i="17" s="1"/>
  <c r="E42" i="6"/>
  <c r="A43" i="6"/>
  <c r="B42" i="6"/>
  <c r="G153" i="15"/>
  <c r="AO155" i="15"/>
  <c r="AN154" i="15"/>
  <c r="AM154" i="15" s="1"/>
  <c r="AL154" i="15" s="1"/>
  <c r="C154" i="15" s="1"/>
  <c r="W276" i="13"/>
  <c r="X275" i="13"/>
  <c r="Y275" i="13" s="1"/>
  <c r="Z275" i="13" s="1"/>
  <c r="AA275" i="13" s="1"/>
  <c r="AH58" i="11"/>
  <c r="AC59" i="11"/>
  <c r="AE59" i="11"/>
  <c r="AF59" i="11" s="1"/>
  <c r="AG59" i="11" s="1"/>
  <c r="B54" i="11"/>
  <c r="A55" i="11"/>
  <c r="AB60" i="11"/>
  <c r="AD60" i="11"/>
  <c r="AA61" i="11"/>
  <c r="W41" i="6"/>
  <c r="X40" i="6"/>
  <c r="AC37" i="3"/>
  <c r="AA39" i="3"/>
  <c r="AD38" i="3"/>
  <c r="AB38" i="3"/>
  <c r="V82" i="6"/>
  <c r="A43" i="3"/>
  <c r="B42" i="3"/>
  <c r="D137" i="13" l="1"/>
  <c r="C137" i="13" s="1"/>
  <c r="G227" i="17"/>
  <c r="AO229" i="17"/>
  <c r="AQ233" i="17"/>
  <c r="AP230" i="17"/>
  <c r="AN228" i="17"/>
  <c r="AM228" i="17" s="1"/>
  <c r="AL228" i="17" s="1"/>
  <c r="C228" i="17" s="1"/>
  <c r="D228" i="17" s="1"/>
  <c r="F228" i="17" s="1"/>
  <c r="E228" i="17" s="1"/>
  <c r="AR239" i="17"/>
  <c r="AM239" i="17" s="1"/>
  <c r="E43" i="6"/>
  <c r="B43" i="6"/>
  <c r="A44" i="6"/>
  <c r="D154" i="15"/>
  <c r="W277" i="13"/>
  <c r="X276" i="13"/>
  <c r="Y276" i="13" s="1"/>
  <c r="Z276" i="13" s="1"/>
  <c r="AA276" i="13" s="1"/>
  <c r="AC60" i="11"/>
  <c r="AH59" i="11"/>
  <c r="AE60" i="11"/>
  <c r="AF60" i="11" s="1"/>
  <c r="AH60" i="11" s="1"/>
  <c r="AB61" i="11"/>
  <c r="AD61" i="11"/>
  <c r="AA62" i="11"/>
  <c r="A56" i="11"/>
  <c r="B55" i="11"/>
  <c r="W42" i="6"/>
  <c r="X41" i="6"/>
  <c r="AC38" i="3"/>
  <c r="AA40" i="3"/>
  <c r="AD39" i="3"/>
  <c r="AB39" i="3"/>
  <c r="V83" i="6"/>
  <c r="A44" i="3"/>
  <c r="B43" i="3"/>
  <c r="E137" i="13" l="1"/>
  <c r="G137" i="13" s="1"/>
  <c r="F137" i="13" s="1"/>
  <c r="G228" i="17"/>
  <c r="AN229" i="17"/>
  <c r="AM229" i="17" s="1"/>
  <c r="AL229" i="17" s="1"/>
  <c r="C229" i="17" s="1"/>
  <c r="D229" i="17" s="1"/>
  <c r="F229" i="17" s="1"/>
  <c r="E229" i="17" s="1"/>
  <c r="E44" i="6"/>
  <c r="B44" i="6"/>
  <c r="A45" i="6"/>
  <c r="F154" i="15"/>
  <c r="W278" i="13"/>
  <c r="X277" i="13"/>
  <c r="Y277" i="13" s="1"/>
  <c r="Z277" i="13" s="1"/>
  <c r="AA277" i="13" s="1"/>
  <c r="AG60" i="11"/>
  <c r="AC61" i="11"/>
  <c r="AE61" i="11"/>
  <c r="AF61" i="11" s="1"/>
  <c r="AG61" i="11" s="1"/>
  <c r="AA63" i="11"/>
  <c r="AD62" i="11"/>
  <c r="AB62" i="11"/>
  <c r="A57" i="11"/>
  <c r="B56" i="11"/>
  <c r="W43" i="6"/>
  <c r="X42" i="6"/>
  <c r="AC39" i="3"/>
  <c r="AA41" i="3"/>
  <c r="AD40" i="3"/>
  <c r="AB40" i="3"/>
  <c r="V84" i="6"/>
  <c r="A45" i="3"/>
  <c r="B44" i="3"/>
  <c r="D138" i="13" l="1"/>
  <c r="C138" i="13" s="1"/>
  <c r="G229" i="17"/>
  <c r="AO231" i="17"/>
  <c r="AN230" i="17"/>
  <c r="AM230" i="17" s="1"/>
  <c r="AL230" i="17" s="1"/>
  <c r="C230" i="17" s="1"/>
  <c r="D230" i="17" s="1"/>
  <c r="F230" i="17" s="1"/>
  <c r="E230" i="17" s="1"/>
  <c r="E45" i="6"/>
  <c r="B45" i="6"/>
  <c r="A46" i="6"/>
  <c r="E154" i="15"/>
  <c r="BB155" i="15" s="1"/>
  <c r="W279" i="13"/>
  <c r="X278" i="13"/>
  <c r="Y278" i="13" s="1"/>
  <c r="Z278" i="13" s="1"/>
  <c r="AA278" i="13" s="1"/>
  <c r="AH61" i="11"/>
  <c r="AC62" i="11"/>
  <c r="AE62" i="11"/>
  <c r="AF62" i="11" s="1"/>
  <c r="AH62" i="11" s="1"/>
  <c r="B57" i="11"/>
  <c r="A58" i="11"/>
  <c r="AA64" i="11"/>
  <c r="AD63" i="11"/>
  <c r="AB63" i="11"/>
  <c r="W44" i="6"/>
  <c r="X43" i="6"/>
  <c r="AC40" i="3"/>
  <c r="AA42" i="3"/>
  <c r="AD41" i="3"/>
  <c r="AB41" i="3"/>
  <c r="V85" i="6"/>
  <c r="A46" i="3"/>
  <c r="B45" i="3"/>
  <c r="E138" i="13" l="1"/>
  <c r="G138" i="13" s="1"/>
  <c r="F138" i="13" s="1"/>
  <c r="G230" i="17"/>
  <c r="AP233" i="17"/>
  <c r="AN231" i="17"/>
  <c r="AM231" i="17" s="1"/>
  <c r="AL231" i="17" s="1"/>
  <c r="C231" i="17" s="1"/>
  <c r="D231" i="17" s="1"/>
  <c r="F231" i="17" s="1"/>
  <c r="E231" i="17" s="1"/>
  <c r="E46" i="6"/>
  <c r="B46" i="6"/>
  <c r="A47" i="6"/>
  <c r="G154" i="15"/>
  <c r="AN155" i="15"/>
  <c r="AM155" i="15" s="1"/>
  <c r="AL155" i="15" s="1"/>
  <c r="C155" i="15" s="1"/>
  <c r="W280" i="13"/>
  <c r="X279" i="13"/>
  <c r="Y279" i="13" s="1"/>
  <c r="Z279" i="13" s="1"/>
  <c r="AA279" i="13" s="1"/>
  <c r="AC63" i="11"/>
  <c r="AG62" i="11"/>
  <c r="AE63" i="11"/>
  <c r="AF63" i="11" s="1"/>
  <c r="AG63" i="11" s="1"/>
  <c r="B58" i="11"/>
  <c r="A59" i="11"/>
  <c r="AB64" i="11"/>
  <c r="AA65" i="11"/>
  <c r="AD64" i="11"/>
  <c r="W45" i="6"/>
  <c r="X44" i="6"/>
  <c r="AC41" i="3"/>
  <c r="AA43" i="3"/>
  <c r="AD42" i="3"/>
  <c r="AB42" i="3"/>
  <c r="V86" i="6"/>
  <c r="A47" i="3"/>
  <c r="B46" i="3"/>
  <c r="D139" i="13" l="1"/>
  <c r="C139" i="13" s="1"/>
  <c r="G231" i="17"/>
  <c r="AO233" i="17"/>
  <c r="AN232" i="17"/>
  <c r="AM232" i="17" s="1"/>
  <c r="AL232" i="17" s="1"/>
  <c r="C232" i="17" s="1"/>
  <c r="D232" i="17" s="1"/>
  <c r="F232" i="17" s="1"/>
  <c r="E232" i="17" s="1"/>
  <c r="E47" i="6"/>
  <c r="B47" i="6"/>
  <c r="A48" i="6"/>
  <c r="D155" i="15"/>
  <c r="X280" i="13"/>
  <c r="Y280" i="13" s="1"/>
  <c r="Z280" i="13" s="1"/>
  <c r="AA280" i="13" s="1"/>
  <c r="W281" i="13"/>
  <c r="AH63" i="11"/>
  <c r="AE64" i="11"/>
  <c r="AF64" i="11" s="1"/>
  <c r="AG64" i="11" s="1"/>
  <c r="AC64" i="11"/>
  <c r="B59" i="11"/>
  <c r="A60" i="11"/>
  <c r="AB65" i="11"/>
  <c r="AD65" i="11"/>
  <c r="AA66" i="11"/>
  <c r="W46" i="6"/>
  <c r="X45" i="6"/>
  <c r="AA44" i="3"/>
  <c r="AD43" i="3"/>
  <c r="AB43" i="3"/>
  <c r="V87" i="6"/>
  <c r="A48" i="3"/>
  <c r="B47" i="3"/>
  <c r="E139" i="13" l="1"/>
  <c r="G139" i="13" s="1"/>
  <c r="F139" i="13" s="1"/>
  <c r="G232" i="17"/>
  <c r="AN233" i="17"/>
  <c r="AM233" i="17" s="1"/>
  <c r="AL233" i="17" s="1"/>
  <c r="C233" i="17" s="1"/>
  <c r="D233" i="17" s="1"/>
  <c r="F233" i="17" s="1"/>
  <c r="E233" i="17" s="1"/>
  <c r="E48" i="6"/>
  <c r="A49" i="6"/>
  <c r="B48" i="6"/>
  <c r="F155" i="15"/>
  <c r="W282" i="13"/>
  <c r="X281" i="13"/>
  <c r="Y281" i="13" s="1"/>
  <c r="Z281" i="13" s="1"/>
  <c r="AA281" i="13" s="1"/>
  <c r="AH64" i="11"/>
  <c r="AE65" i="11"/>
  <c r="AF65" i="11" s="1"/>
  <c r="AH65" i="11" s="1"/>
  <c r="AC65" i="11"/>
  <c r="AD66" i="11"/>
  <c r="AB66" i="11"/>
  <c r="AA67" i="11"/>
  <c r="A61" i="11"/>
  <c r="B60" i="11"/>
  <c r="W47" i="6"/>
  <c r="X46" i="6"/>
  <c r="AA45" i="3"/>
  <c r="AD44" i="3"/>
  <c r="AB44" i="3"/>
  <c r="V88" i="6"/>
  <c r="A49" i="3"/>
  <c r="B48" i="3"/>
  <c r="D140" i="13" l="1"/>
  <c r="C140" i="13" s="1"/>
  <c r="G233" i="17"/>
  <c r="AP236" i="17"/>
  <c r="AO235" i="17"/>
  <c r="AQ239" i="17"/>
  <c r="AN234" i="17"/>
  <c r="AM234" i="17" s="1"/>
  <c r="AL234" i="17" s="1"/>
  <c r="C234" i="17" s="1"/>
  <c r="D234" i="17" s="1"/>
  <c r="F234" i="17" s="1"/>
  <c r="E234" i="17" s="1"/>
  <c r="E49" i="6"/>
  <c r="A50" i="6"/>
  <c r="B49" i="6"/>
  <c r="E155" i="15"/>
  <c r="BB156" i="15" s="1"/>
  <c r="X282" i="13"/>
  <c r="Y282" i="13" s="1"/>
  <c r="Z282" i="13" s="1"/>
  <c r="AA282" i="13" s="1"/>
  <c r="W283" i="13"/>
  <c r="AG65" i="11"/>
  <c r="AC66" i="11"/>
  <c r="AE66" i="11"/>
  <c r="AF66" i="11" s="1"/>
  <c r="AG66" i="11" s="1"/>
  <c r="AA68" i="11"/>
  <c r="AD67" i="11"/>
  <c r="AB67" i="11"/>
  <c r="A62" i="11"/>
  <c r="B61" i="11"/>
  <c r="W48" i="6"/>
  <c r="X47" i="6"/>
  <c r="AA46" i="3"/>
  <c r="AD45" i="3"/>
  <c r="AB45" i="3"/>
  <c r="V89" i="6"/>
  <c r="A50" i="3"/>
  <c r="B49" i="3"/>
  <c r="E140" i="13" l="1"/>
  <c r="G234" i="17"/>
  <c r="AN235" i="17"/>
  <c r="AM235" i="17" s="1"/>
  <c r="AL235" i="17" s="1"/>
  <c r="C235" i="17" s="1"/>
  <c r="D235" i="17" s="1"/>
  <c r="F235" i="17" s="1"/>
  <c r="E235" i="17" s="1"/>
  <c r="E50" i="6"/>
  <c r="B50" i="6"/>
  <c r="A51" i="6"/>
  <c r="G155" i="15"/>
  <c r="AP158" i="15"/>
  <c r="AR167" i="15"/>
  <c r="AN156" i="15"/>
  <c r="AM156" i="15" s="1"/>
  <c r="AL156" i="15" s="1"/>
  <c r="C156" i="15" s="1"/>
  <c r="AQ161" i="15"/>
  <c r="AO157" i="15"/>
  <c r="G140" i="13"/>
  <c r="F140" i="13" s="1"/>
  <c r="W284" i="13"/>
  <c r="X283" i="13"/>
  <c r="Y283" i="13" s="1"/>
  <c r="Z283" i="13" s="1"/>
  <c r="AA283" i="13" s="1"/>
  <c r="AH66" i="11"/>
  <c r="AC67" i="11"/>
  <c r="AE67" i="11"/>
  <c r="AF67" i="11" s="1"/>
  <c r="AH67" i="11" s="1"/>
  <c r="B62" i="11"/>
  <c r="A63" i="11"/>
  <c r="AA69" i="11"/>
  <c r="AD68" i="11"/>
  <c r="AB68" i="11"/>
  <c r="W49" i="6"/>
  <c r="X48" i="6"/>
  <c r="AA47" i="3"/>
  <c r="AD46" i="3"/>
  <c r="AB46" i="3"/>
  <c r="V90" i="6"/>
  <c r="A51" i="3"/>
  <c r="B50" i="3"/>
  <c r="D141" i="13" l="1"/>
  <c r="C141" i="13" s="1"/>
  <c r="G235" i="17"/>
  <c r="AO237" i="17"/>
  <c r="AN236" i="17"/>
  <c r="AM236" i="17" s="1"/>
  <c r="AL236" i="17" s="1"/>
  <c r="C236" i="17" s="1"/>
  <c r="D236" i="17" s="1"/>
  <c r="F236" i="17" s="1"/>
  <c r="E236" i="17" s="1"/>
  <c r="E51" i="6"/>
  <c r="B51" i="6"/>
  <c r="A52" i="6"/>
  <c r="D156" i="15"/>
  <c r="W285" i="13"/>
  <c r="X284" i="13"/>
  <c r="Y284" i="13" s="1"/>
  <c r="Z284" i="13" s="1"/>
  <c r="AA284" i="13" s="1"/>
  <c r="AG67" i="11"/>
  <c r="AC68" i="11"/>
  <c r="AE68" i="11"/>
  <c r="AF68" i="11" s="1"/>
  <c r="AG68" i="11" s="1"/>
  <c r="B63" i="11"/>
  <c r="A64" i="11"/>
  <c r="AB69" i="11"/>
  <c r="AD69" i="11"/>
  <c r="AA70" i="11"/>
  <c r="W50" i="6"/>
  <c r="X49" i="6"/>
  <c r="AA48" i="3"/>
  <c r="AD47" i="3"/>
  <c r="AB47" i="3"/>
  <c r="V91" i="6"/>
  <c r="A52" i="3"/>
  <c r="B51" i="3"/>
  <c r="E141" i="13" l="1"/>
  <c r="G141" i="13" s="1"/>
  <c r="F141" i="13" s="1"/>
  <c r="G236" i="17"/>
  <c r="AN237" i="17"/>
  <c r="AM237" i="17" s="1"/>
  <c r="AL237" i="17" s="1"/>
  <c r="C237" i="17" s="1"/>
  <c r="D237" i="17" s="1"/>
  <c r="F237" i="17" s="1"/>
  <c r="E237" i="17" s="1"/>
  <c r="AP239" i="17"/>
  <c r="E52" i="6"/>
  <c r="A53" i="6"/>
  <c r="B52" i="6"/>
  <c r="F156" i="15"/>
  <c r="W286" i="13"/>
  <c r="X285" i="13"/>
  <c r="Y285" i="13" s="1"/>
  <c r="Z285" i="13" s="1"/>
  <c r="AA285" i="13" s="1"/>
  <c r="AH68" i="11"/>
  <c r="AE69" i="11"/>
  <c r="AF69" i="11" s="1"/>
  <c r="AH69" i="11" s="1"/>
  <c r="AC69" i="11"/>
  <c r="A65" i="11"/>
  <c r="B64" i="11"/>
  <c r="AA71" i="11"/>
  <c r="AD70" i="11"/>
  <c r="AB70" i="11"/>
  <c r="W51" i="6"/>
  <c r="X50" i="6"/>
  <c r="AA49" i="3"/>
  <c r="AD48" i="3"/>
  <c r="AB48" i="3"/>
  <c r="V92" i="6"/>
  <c r="A53" i="3"/>
  <c r="B52" i="3"/>
  <c r="D142" i="13" l="1"/>
  <c r="C142" i="13" s="1"/>
  <c r="G237" i="17"/>
  <c r="AN238" i="17"/>
  <c r="AM238" i="17" s="1"/>
  <c r="AL238" i="17" s="1"/>
  <c r="C238" i="17" s="1"/>
  <c r="D238" i="17" s="1"/>
  <c r="F238" i="17" s="1"/>
  <c r="E238" i="17" s="1"/>
  <c r="AO239" i="17"/>
  <c r="E53" i="6"/>
  <c r="B53" i="6"/>
  <c r="A54" i="6"/>
  <c r="E156" i="15"/>
  <c r="BB157" i="15" s="1"/>
  <c r="W287" i="13"/>
  <c r="X286" i="13"/>
  <c r="Y286" i="13" s="1"/>
  <c r="Z286" i="13" s="1"/>
  <c r="AA286" i="13" s="1"/>
  <c r="AG69" i="11"/>
  <c r="AC70" i="11"/>
  <c r="AE70" i="11"/>
  <c r="AF70" i="11" s="1"/>
  <c r="AH70" i="11" s="1"/>
  <c r="AA72" i="11"/>
  <c r="AD71" i="11"/>
  <c r="AB71" i="11"/>
  <c r="A66" i="11"/>
  <c r="B65" i="11"/>
  <c r="W52" i="6"/>
  <c r="X51" i="6"/>
  <c r="AA50" i="3"/>
  <c r="AD49" i="3"/>
  <c r="AB49" i="3"/>
  <c r="V93" i="6"/>
  <c r="A54" i="3"/>
  <c r="B53" i="3"/>
  <c r="E142" i="13" l="1"/>
  <c r="G142" i="13" s="1"/>
  <c r="F142" i="13" s="1"/>
  <c r="G238" i="17"/>
  <c r="AN239" i="17"/>
  <c r="AL239" i="17"/>
  <c r="C239" i="17" s="1"/>
  <c r="D239" i="17" s="1"/>
  <c r="F239" i="17" s="1"/>
  <c r="E239" i="17" s="1"/>
  <c r="E54" i="6"/>
  <c r="A55" i="6"/>
  <c r="B54" i="6"/>
  <c r="G156" i="15"/>
  <c r="AN157" i="15"/>
  <c r="AM157" i="15" s="1"/>
  <c r="AL157" i="15" s="1"/>
  <c r="C157" i="15" s="1"/>
  <c r="W288" i="13"/>
  <c r="X287" i="13"/>
  <c r="Y287" i="13" s="1"/>
  <c r="Z287" i="13" s="1"/>
  <c r="AA287" i="13" s="1"/>
  <c r="AC71" i="11"/>
  <c r="AG70" i="11"/>
  <c r="AE71" i="11"/>
  <c r="AF71" i="11" s="1"/>
  <c r="AG71" i="11" s="1"/>
  <c r="AA73" i="11"/>
  <c r="AD72" i="11"/>
  <c r="AB72" i="11"/>
  <c r="B66" i="11"/>
  <c r="A67" i="11"/>
  <c r="W53" i="6"/>
  <c r="X52" i="6"/>
  <c r="AA51" i="3"/>
  <c r="AD50" i="3"/>
  <c r="AB50" i="3"/>
  <c r="V94" i="6"/>
  <c r="A55" i="3"/>
  <c r="B54" i="3"/>
  <c r="D143" i="13" l="1"/>
  <c r="C143" i="13" s="1"/>
  <c r="G239" i="17"/>
  <c r="AQ245" i="17"/>
  <c r="AN240" i="17"/>
  <c r="AM240" i="17" s="1"/>
  <c r="AL240" i="17" s="1"/>
  <c r="C240" i="17" s="1"/>
  <c r="D240" i="17" s="1"/>
  <c r="F240" i="17" s="1"/>
  <c r="E240" i="17" s="1"/>
  <c r="AO241" i="17"/>
  <c r="AR251" i="17"/>
  <c r="AM251" i="17" s="1"/>
  <c r="AP242" i="17"/>
  <c r="E55" i="6"/>
  <c r="A56" i="6"/>
  <c r="B55" i="6"/>
  <c r="D157" i="15"/>
  <c r="X288" i="13"/>
  <c r="Y288" i="13" s="1"/>
  <c r="Z288" i="13" s="1"/>
  <c r="AA288" i="13" s="1"/>
  <c r="W289" i="13"/>
  <c r="AH71" i="11"/>
  <c r="AC72" i="11"/>
  <c r="AE72" i="11"/>
  <c r="AF72" i="11" s="1"/>
  <c r="AH72" i="11" s="1"/>
  <c r="A68" i="11"/>
  <c r="B67" i="11"/>
  <c r="AA74" i="11"/>
  <c r="AD73" i="11"/>
  <c r="AB73" i="11"/>
  <c r="W54" i="6"/>
  <c r="X53" i="6"/>
  <c r="AA52" i="3"/>
  <c r="AD51" i="3"/>
  <c r="AB51" i="3"/>
  <c r="V95" i="6"/>
  <c r="A56" i="3"/>
  <c r="B55" i="3"/>
  <c r="E143" i="13" l="1"/>
  <c r="G143" i="13" s="1"/>
  <c r="F143" i="13" s="1"/>
  <c r="G240" i="17"/>
  <c r="AN241" i="17"/>
  <c r="AM241" i="17" s="1"/>
  <c r="AL241" i="17" s="1"/>
  <c r="C241" i="17" s="1"/>
  <c r="D241" i="17" s="1"/>
  <c r="F241" i="17" s="1"/>
  <c r="E241" i="17" s="1"/>
  <c r="E56" i="6"/>
  <c r="B56" i="6"/>
  <c r="A57" i="6"/>
  <c r="F157" i="15"/>
  <c r="W290" i="13"/>
  <c r="X289" i="13"/>
  <c r="Y289" i="13" s="1"/>
  <c r="Z289" i="13" s="1"/>
  <c r="AA289" i="13" s="1"/>
  <c r="AC73" i="11"/>
  <c r="AE73" i="11"/>
  <c r="AF73" i="11" s="1"/>
  <c r="AH73" i="11" s="1"/>
  <c r="AG72" i="11"/>
  <c r="A69" i="11"/>
  <c r="B68" i="11"/>
  <c r="AA75" i="11"/>
  <c r="AD74" i="11"/>
  <c r="AB74" i="11"/>
  <c r="W55" i="6"/>
  <c r="X54" i="6"/>
  <c r="AA53" i="3"/>
  <c r="AD52" i="3"/>
  <c r="AB52" i="3"/>
  <c r="V96" i="6"/>
  <c r="A57" i="3"/>
  <c r="B56" i="3"/>
  <c r="G241" i="17" l="1"/>
  <c r="B19" i="17" s="1"/>
  <c r="AO243" i="17"/>
  <c r="AN242" i="17"/>
  <c r="AM242" i="17" s="1"/>
  <c r="AL242" i="17" s="1"/>
  <c r="C242" i="17" s="1"/>
  <c r="E57" i="6"/>
  <c r="B57" i="6"/>
  <c r="A58" i="6"/>
  <c r="E157" i="15"/>
  <c r="BB158" i="15" s="1"/>
  <c r="X290" i="13"/>
  <c r="Y290" i="13" s="1"/>
  <c r="Z290" i="13" s="1"/>
  <c r="AA290" i="13" s="1"/>
  <c r="W291" i="13"/>
  <c r="AE74" i="11"/>
  <c r="AF74" i="11" s="1"/>
  <c r="AH74" i="11" s="1"/>
  <c r="AG73" i="11"/>
  <c r="AC74" i="11"/>
  <c r="AA76" i="11"/>
  <c r="AD75" i="11"/>
  <c r="AB75" i="11"/>
  <c r="B69" i="11"/>
  <c r="A70" i="11"/>
  <c r="W56" i="6"/>
  <c r="X55" i="6"/>
  <c r="AA54" i="3"/>
  <c r="AD53" i="3"/>
  <c r="AB53" i="3"/>
  <c r="V97" i="6"/>
  <c r="A58" i="3"/>
  <c r="B57" i="3"/>
  <c r="D22" i="13" l="1"/>
  <c r="D242" i="17"/>
  <c r="C22" i="17"/>
  <c r="E58" i="6"/>
  <c r="A59" i="6"/>
  <c r="B58" i="6"/>
  <c r="G157" i="15"/>
  <c r="AN158" i="15"/>
  <c r="AM158" i="15" s="1"/>
  <c r="AL158" i="15" s="1"/>
  <c r="C158" i="15" s="1"/>
  <c r="AO159" i="15"/>
  <c r="W292" i="13"/>
  <c r="X291" i="13"/>
  <c r="Y291" i="13" s="1"/>
  <c r="Z291" i="13" s="1"/>
  <c r="AA291" i="13" s="1"/>
  <c r="AG74" i="11"/>
  <c r="AC75" i="11"/>
  <c r="AE75" i="11"/>
  <c r="AF75" i="11" s="1"/>
  <c r="AH75" i="11" s="1"/>
  <c r="B70" i="11"/>
  <c r="A71" i="11"/>
  <c r="AA77" i="11"/>
  <c r="AD76" i="11"/>
  <c r="AB76" i="11"/>
  <c r="W57" i="6"/>
  <c r="X56" i="6"/>
  <c r="AA55" i="3"/>
  <c r="AD54" i="3"/>
  <c r="AB54" i="3"/>
  <c r="V98" i="6"/>
  <c r="A59" i="3"/>
  <c r="B58" i="3"/>
  <c r="F242" i="17" l="1"/>
  <c r="E242" i="17" s="1"/>
  <c r="D22" i="17"/>
  <c r="E59" i="6"/>
  <c r="A60" i="6"/>
  <c r="B59" i="6"/>
  <c r="D158" i="15"/>
  <c r="W293" i="13"/>
  <c r="X292" i="13"/>
  <c r="Y292" i="13" s="1"/>
  <c r="Z292" i="13" s="1"/>
  <c r="AA292" i="13" s="1"/>
  <c r="B71" i="11"/>
  <c r="A72" i="11"/>
  <c r="AC76" i="11"/>
  <c r="AE76" i="11"/>
  <c r="AF76" i="11" s="1"/>
  <c r="AG76" i="11" s="1"/>
  <c r="AG75" i="11"/>
  <c r="AA78" i="11"/>
  <c r="AD77" i="11"/>
  <c r="AB77" i="11"/>
  <c r="W58" i="6"/>
  <c r="X57" i="6"/>
  <c r="AA56" i="3"/>
  <c r="AD55" i="3"/>
  <c r="AB55" i="3"/>
  <c r="V99" i="6"/>
  <c r="A60" i="3"/>
  <c r="B59" i="3"/>
  <c r="C22" i="13" l="1"/>
  <c r="G242" i="17"/>
  <c r="G22" i="17" s="1"/>
  <c r="AN243" i="17"/>
  <c r="AM243" i="17" s="1"/>
  <c r="AL243" i="17" s="1"/>
  <c r="C243" i="17" s="1"/>
  <c r="D243" i="17" s="1"/>
  <c r="F243" i="17" s="1"/>
  <c r="E243" i="17" s="1"/>
  <c r="AP245" i="17"/>
  <c r="E60" i="6"/>
  <c r="B60" i="6"/>
  <c r="A61" i="6"/>
  <c r="F158" i="15"/>
  <c r="W294" i="13"/>
  <c r="X293" i="13"/>
  <c r="Y293" i="13" s="1"/>
  <c r="Z293" i="13" s="1"/>
  <c r="AA293" i="13" s="1"/>
  <c r="B72" i="11"/>
  <c r="A73" i="11"/>
  <c r="AH76" i="11"/>
  <c r="AE77" i="11"/>
  <c r="AF77" i="11" s="1"/>
  <c r="AG77" i="11" s="1"/>
  <c r="AC77" i="11"/>
  <c r="AA79" i="11"/>
  <c r="AD78" i="11"/>
  <c r="W59" i="6"/>
  <c r="X58" i="6"/>
  <c r="AA57" i="3"/>
  <c r="AD56" i="3"/>
  <c r="AB56" i="3"/>
  <c r="V100" i="6"/>
  <c r="A61" i="3"/>
  <c r="B60" i="3"/>
  <c r="G243" i="17" l="1"/>
  <c r="AN244" i="17"/>
  <c r="AM244" i="17" s="1"/>
  <c r="AL244" i="17" s="1"/>
  <c r="C244" i="17" s="1"/>
  <c r="D244" i="17" s="1"/>
  <c r="F244" i="17" s="1"/>
  <c r="E244" i="17" s="1"/>
  <c r="AO245" i="17"/>
  <c r="E61" i="6"/>
  <c r="B61" i="6"/>
  <c r="A62" i="6"/>
  <c r="E158" i="15"/>
  <c r="BB159" i="15" s="1"/>
  <c r="AE25" i="11"/>
  <c r="AF24" i="11" s="1"/>
  <c r="F16" i="11" s="1"/>
  <c r="E23" i="11" s="1"/>
  <c r="W295" i="13"/>
  <c r="X294" i="13"/>
  <c r="Y294" i="13" s="1"/>
  <c r="Z294" i="13" s="1"/>
  <c r="AA294" i="13" s="1"/>
  <c r="B73" i="11"/>
  <c r="A74" i="11"/>
  <c r="AH77" i="11"/>
  <c r="AE26" i="11" s="1"/>
  <c r="AA80" i="11"/>
  <c r="AD79" i="11"/>
  <c r="W60" i="6"/>
  <c r="X59" i="6"/>
  <c r="AA58" i="3"/>
  <c r="AD57" i="3"/>
  <c r="AB57" i="3"/>
  <c r="V101" i="6"/>
  <c r="A62" i="3"/>
  <c r="B61" i="3"/>
  <c r="G244" i="17" l="1"/>
  <c r="AN245" i="17"/>
  <c r="AM245" i="17" s="1"/>
  <c r="AL245" i="17" s="1"/>
  <c r="C245" i="17" s="1"/>
  <c r="D245" i="17" s="1"/>
  <c r="F245" i="17" s="1"/>
  <c r="E245" i="17" s="1"/>
  <c r="E62" i="6"/>
  <c r="A63" i="6"/>
  <c r="B62" i="6"/>
  <c r="G158" i="15"/>
  <c r="AP161" i="15"/>
  <c r="AN159" i="15"/>
  <c r="AM159" i="15" s="1"/>
  <c r="AL159" i="15" s="1"/>
  <c r="C159" i="15" s="1"/>
  <c r="C24" i="11"/>
  <c r="D24" i="11" s="1"/>
  <c r="F24" i="11" s="1"/>
  <c r="AJ24" i="11" s="1"/>
  <c r="W296" i="13"/>
  <c r="X295" i="13"/>
  <c r="Y295" i="13" s="1"/>
  <c r="Z295" i="13" s="1"/>
  <c r="AA295" i="13" s="1"/>
  <c r="B74" i="11"/>
  <c r="A75" i="11"/>
  <c r="AA81" i="11"/>
  <c r="AD80" i="11"/>
  <c r="W61" i="6"/>
  <c r="X60" i="6"/>
  <c r="AA59" i="3"/>
  <c r="AD58" i="3"/>
  <c r="AB58" i="3"/>
  <c r="V102" i="6"/>
  <c r="A63" i="3"/>
  <c r="B62" i="3"/>
  <c r="AK24" i="11" l="1"/>
  <c r="G245" i="17"/>
  <c r="AO247" i="17"/>
  <c r="AQ251" i="17"/>
  <c r="AN246" i="17"/>
  <c r="AM246" i="17" s="1"/>
  <c r="AL246" i="17" s="1"/>
  <c r="C246" i="17" s="1"/>
  <c r="D246" i="17" s="1"/>
  <c r="F246" i="17" s="1"/>
  <c r="E246" i="17" s="1"/>
  <c r="AP248" i="17"/>
  <c r="E63" i="6"/>
  <c r="B63" i="6"/>
  <c r="A64" i="6"/>
  <c r="D159" i="15"/>
  <c r="X296" i="13"/>
  <c r="Y296" i="13" s="1"/>
  <c r="Z296" i="13" s="1"/>
  <c r="AA296" i="13" s="1"/>
  <c r="W297" i="13"/>
  <c r="A76" i="11"/>
  <c r="B75" i="11"/>
  <c r="E24" i="11"/>
  <c r="AA82" i="11"/>
  <c r="AD81" i="11"/>
  <c r="W62" i="6"/>
  <c r="X61" i="6"/>
  <c r="AA60" i="3"/>
  <c r="AD59" i="3"/>
  <c r="AB59" i="3"/>
  <c r="V103" i="6"/>
  <c r="A64" i="3"/>
  <c r="B63" i="3"/>
  <c r="C25" i="11" l="1"/>
  <c r="G246" i="17"/>
  <c r="AN247" i="17"/>
  <c r="AM247" i="17" s="1"/>
  <c r="AL247" i="17" s="1"/>
  <c r="C247" i="17" s="1"/>
  <c r="D247" i="17" s="1"/>
  <c r="F247" i="17" s="1"/>
  <c r="E247" i="17" s="1"/>
  <c r="E64" i="6"/>
  <c r="A65" i="6"/>
  <c r="B64" i="6"/>
  <c r="F159" i="15"/>
  <c r="W298" i="13"/>
  <c r="X297" i="13"/>
  <c r="Y297" i="13" s="1"/>
  <c r="Z297" i="13" s="1"/>
  <c r="AA297" i="13" s="1"/>
  <c r="A77" i="11"/>
  <c r="B76" i="11"/>
  <c r="AA83" i="11"/>
  <c r="AD82" i="11"/>
  <c r="W63" i="6"/>
  <c r="X62" i="6"/>
  <c r="AA61" i="3"/>
  <c r="AD60" i="3"/>
  <c r="AB60" i="3"/>
  <c r="V104" i="6"/>
  <c r="A65" i="3"/>
  <c r="B64" i="3"/>
  <c r="E149" i="13" l="1"/>
  <c r="A66" i="3"/>
  <c r="G247" i="17"/>
  <c r="AN248" i="17"/>
  <c r="AM248" i="17" s="1"/>
  <c r="AL248" i="17" s="1"/>
  <c r="C248" i="17" s="1"/>
  <c r="D248" i="17" s="1"/>
  <c r="F248" i="17" s="1"/>
  <c r="E248" i="17" s="1"/>
  <c r="AO249" i="17"/>
  <c r="E65" i="6"/>
  <c r="A66" i="6"/>
  <c r="B65" i="6"/>
  <c r="E159" i="15"/>
  <c r="BB160" i="15" s="1"/>
  <c r="X298" i="13"/>
  <c r="Y298" i="13" s="1"/>
  <c r="Z298" i="13" s="1"/>
  <c r="AA298" i="13" s="1"/>
  <c r="W299" i="13"/>
  <c r="B77" i="11"/>
  <c r="A78" i="11"/>
  <c r="D25" i="11"/>
  <c r="AK25" i="11" s="1"/>
  <c r="AA84" i="11"/>
  <c r="AD83" i="11"/>
  <c r="W64" i="6"/>
  <c r="X63" i="6"/>
  <c r="AA62" i="3"/>
  <c r="AD61" i="3"/>
  <c r="AB61" i="3"/>
  <c r="V105" i="6"/>
  <c r="B65" i="3"/>
  <c r="G149" i="13" l="1"/>
  <c r="E150" i="13"/>
  <c r="G150" i="13" s="1"/>
  <c r="F150" i="13" s="1"/>
  <c r="B66" i="3"/>
  <c r="A67" i="3"/>
  <c r="G248" i="17"/>
  <c r="AP251" i="17"/>
  <c r="AN249" i="17"/>
  <c r="AM249" i="17" s="1"/>
  <c r="AL249" i="17" s="1"/>
  <c r="C249" i="17" s="1"/>
  <c r="D249" i="17" s="1"/>
  <c r="F249" i="17" s="1"/>
  <c r="E249" i="17" s="1"/>
  <c r="E66" i="6"/>
  <c r="B66" i="6"/>
  <c r="A67" i="6"/>
  <c r="G159" i="15"/>
  <c r="AO161" i="15"/>
  <c r="AN160" i="15"/>
  <c r="AM160" i="15" s="1"/>
  <c r="AL160" i="15" s="1"/>
  <c r="C160" i="15" s="1"/>
  <c r="D160" i="15" s="1"/>
  <c r="F160" i="15" s="1"/>
  <c r="E160" i="15" s="1"/>
  <c r="BB161" i="15" s="1"/>
  <c r="W300" i="13"/>
  <c r="X299" i="13"/>
  <c r="Y299" i="13" s="1"/>
  <c r="Z299" i="13" s="1"/>
  <c r="AA299" i="13" s="1"/>
  <c r="B78" i="11"/>
  <c r="A79" i="11"/>
  <c r="F25" i="11"/>
  <c r="AJ25" i="11" s="1"/>
  <c r="AA85" i="11"/>
  <c r="AD84" i="11"/>
  <c r="W65" i="6"/>
  <c r="X64" i="6"/>
  <c r="AA63" i="3"/>
  <c r="AD62" i="3"/>
  <c r="AB62" i="3"/>
  <c r="V106" i="6"/>
  <c r="F149" i="13" l="1"/>
  <c r="E151" i="13"/>
  <c r="G151" i="13" s="1"/>
  <c r="F151" i="13" s="1"/>
  <c r="B67" i="3"/>
  <c r="A68" i="3"/>
  <c r="G249" i="17"/>
  <c r="AN250" i="17"/>
  <c r="AM250" i="17" s="1"/>
  <c r="AL250" i="17" s="1"/>
  <c r="C250" i="17" s="1"/>
  <c r="D250" i="17" s="1"/>
  <c r="F250" i="17" s="1"/>
  <c r="E250" i="17" s="1"/>
  <c r="AO251" i="17"/>
  <c r="E67" i="6"/>
  <c r="B67" i="6"/>
  <c r="A68" i="6"/>
  <c r="G160" i="15"/>
  <c r="AN161" i="15"/>
  <c r="AM161" i="15" s="1"/>
  <c r="AL161" i="15" s="1"/>
  <c r="C161" i="15" s="1"/>
  <c r="D161" i="15" s="1"/>
  <c r="F161" i="15" s="1"/>
  <c r="E161" i="15" s="1"/>
  <c r="BB162" i="15" s="1"/>
  <c r="W301" i="13"/>
  <c r="X300" i="13"/>
  <c r="Y300" i="13" s="1"/>
  <c r="Z300" i="13" s="1"/>
  <c r="AA300" i="13" s="1"/>
  <c r="A80" i="11"/>
  <c r="B79" i="11"/>
  <c r="E25" i="11"/>
  <c r="AA86" i="11"/>
  <c r="AD85" i="11"/>
  <c r="W66" i="6"/>
  <c r="X65" i="6"/>
  <c r="AA64" i="3"/>
  <c r="AD63" i="3"/>
  <c r="AB63" i="3"/>
  <c r="V107" i="6"/>
  <c r="C26" i="11" l="1"/>
  <c r="E152" i="13"/>
  <c r="G152" i="13" s="1"/>
  <c r="B68" i="3"/>
  <c r="A69" i="3"/>
  <c r="G250" i="17"/>
  <c r="AN251" i="17"/>
  <c r="AL251" i="17"/>
  <c r="C251" i="17" s="1"/>
  <c r="D251" i="17" s="1"/>
  <c r="F251" i="17" s="1"/>
  <c r="E251" i="17" s="1"/>
  <c r="E68" i="6"/>
  <c r="A69" i="6"/>
  <c r="B68" i="6"/>
  <c r="G161" i="15"/>
  <c r="AQ167" i="15"/>
  <c r="AO163" i="15"/>
  <c r="AP164" i="15"/>
  <c r="AN162" i="15"/>
  <c r="AM162" i="15" s="1"/>
  <c r="AL162" i="15" s="1"/>
  <c r="C162" i="15" s="1"/>
  <c r="D162" i="15" s="1"/>
  <c r="F162" i="15" s="1"/>
  <c r="E162" i="15" s="1"/>
  <c r="BB163" i="15" s="1"/>
  <c r="W302" i="13"/>
  <c r="X301" i="13"/>
  <c r="Y301" i="13" s="1"/>
  <c r="Z301" i="13" s="1"/>
  <c r="AA301" i="13" s="1"/>
  <c r="A81" i="11"/>
  <c r="B80" i="11"/>
  <c r="AA87" i="11"/>
  <c r="AD86" i="11"/>
  <c r="W67" i="6"/>
  <c r="X66" i="6"/>
  <c r="AA65" i="3"/>
  <c r="AD64" i="3"/>
  <c r="AB64" i="3"/>
  <c r="V108" i="6"/>
  <c r="F152" i="13" l="1"/>
  <c r="E153" i="13"/>
  <c r="G153" i="13" s="1"/>
  <c r="F153" i="13" s="1"/>
  <c r="B69" i="3"/>
  <c r="A70" i="3"/>
  <c r="G251" i="17"/>
  <c r="AN252" i="17"/>
  <c r="AM252" i="17" s="1"/>
  <c r="AL252" i="17" s="1"/>
  <c r="C252" i="17" s="1"/>
  <c r="D252" i="17" s="1"/>
  <c r="F252" i="17" s="1"/>
  <c r="E252" i="17" s="1"/>
  <c r="AP254" i="17"/>
  <c r="AO253" i="17"/>
  <c r="AR263" i="17"/>
  <c r="AM263" i="17" s="1"/>
  <c r="AQ257" i="17"/>
  <c r="E69" i="6"/>
  <c r="A70" i="6"/>
  <c r="B69" i="6"/>
  <c r="G162" i="15"/>
  <c r="AN163" i="15"/>
  <c r="AM163" i="15" s="1"/>
  <c r="AL163" i="15" s="1"/>
  <c r="C163" i="15" s="1"/>
  <c r="D163" i="15" s="1"/>
  <c r="F163" i="15" s="1"/>
  <c r="E163" i="15" s="1"/>
  <c r="BB164" i="15" s="1"/>
  <c r="W303" i="13"/>
  <c r="X302" i="13"/>
  <c r="Y302" i="13" s="1"/>
  <c r="Z302" i="13" s="1"/>
  <c r="AA302" i="13" s="1"/>
  <c r="A82" i="11"/>
  <c r="B81" i="11"/>
  <c r="D26" i="11"/>
  <c r="AK26" i="11" s="1"/>
  <c r="AA88" i="11"/>
  <c r="AD87" i="11"/>
  <c r="W68" i="6"/>
  <c r="X67" i="6"/>
  <c r="AA66" i="3"/>
  <c r="AD65" i="3"/>
  <c r="AB65" i="3"/>
  <c r="V109" i="6"/>
  <c r="E154" i="13" l="1"/>
  <c r="G154" i="13" s="1"/>
  <c r="A71" i="3"/>
  <c r="B70" i="3"/>
  <c r="G252" i="17"/>
  <c r="AN253" i="17"/>
  <c r="AM253" i="17" s="1"/>
  <c r="AL253" i="17" s="1"/>
  <c r="C253" i="17" s="1"/>
  <c r="D253" i="17" s="1"/>
  <c r="F253" i="17" s="1"/>
  <c r="E253" i="17" s="1"/>
  <c r="E70" i="6"/>
  <c r="B70" i="6"/>
  <c r="A71" i="6"/>
  <c r="G163" i="15"/>
  <c r="AN164" i="15"/>
  <c r="AM164" i="15" s="1"/>
  <c r="AL164" i="15" s="1"/>
  <c r="C164" i="15" s="1"/>
  <c r="D164" i="15" s="1"/>
  <c r="F164" i="15" s="1"/>
  <c r="E164" i="15" s="1"/>
  <c r="BB165" i="15" s="1"/>
  <c r="AO165" i="15"/>
  <c r="W304" i="13"/>
  <c r="X303" i="13"/>
  <c r="Y303" i="13" s="1"/>
  <c r="Z303" i="13" s="1"/>
  <c r="AA303" i="13" s="1"/>
  <c r="A83" i="11"/>
  <c r="B82" i="11"/>
  <c r="F26" i="11"/>
  <c r="AJ26" i="11" s="1"/>
  <c r="AA89" i="11"/>
  <c r="AD88" i="11"/>
  <c r="W69" i="6"/>
  <c r="X68" i="6"/>
  <c r="AA67" i="3"/>
  <c r="AD66" i="3"/>
  <c r="AB66" i="3"/>
  <c r="V110" i="6"/>
  <c r="F154" i="13" l="1"/>
  <c r="E155" i="13"/>
  <c r="G155" i="13" s="1"/>
  <c r="F155" i="13" s="1"/>
  <c r="B71" i="3"/>
  <c r="A72" i="3"/>
  <c r="G253" i="17"/>
  <c r="AN254" i="17"/>
  <c r="AM254" i="17" s="1"/>
  <c r="AL254" i="17" s="1"/>
  <c r="C254" i="17" s="1"/>
  <c r="D254" i="17" s="1"/>
  <c r="F254" i="17" s="1"/>
  <c r="E254" i="17" s="1"/>
  <c r="AO255" i="17"/>
  <c r="E71" i="6"/>
  <c r="B71" i="6"/>
  <c r="A72" i="6"/>
  <c r="G164" i="15"/>
  <c r="AP167" i="15"/>
  <c r="AN165" i="15"/>
  <c r="AM165" i="15" s="1"/>
  <c r="AL165" i="15" s="1"/>
  <c r="C165" i="15" s="1"/>
  <c r="D165" i="15" s="1"/>
  <c r="F165" i="15" s="1"/>
  <c r="E165" i="15" s="1"/>
  <c r="BB166" i="15" s="1"/>
  <c r="X304" i="13"/>
  <c r="Y304" i="13" s="1"/>
  <c r="Z304" i="13" s="1"/>
  <c r="AA304" i="13" s="1"/>
  <c r="W305" i="13"/>
  <c r="B83" i="11"/>
  <c r="A84" i="11"/>
  <c r="E26" i="11"/>
  <c r="AA90" i="11"/>
  <c r="AD89" i="11"/>
  <c r="W70" i="6"/>
  <c r="X69" i="6"/>
  <c r="AA68" i="3"/>
  <c r="AD67" i="3"/>
  <c r="AB67" i="3"/>
  <c r="V111" i="6"/>
  <c r="C27" i="11" l="1"/>
  <c r="E156" i="13"/>
  <c r="G156" i="13" s="1"/>
  <c r="F156" i="13" s="1"/>
  <c r="A73" i="3"/>
  <c r="B72" i="3"/>
  <c r="AJ72" i="3"/>
  <c r="G254" i="17"/>
  <c r="AN255" i="17"/>
  <c r="AM255" i="17" s="1"/>
  <c r="AL255" i="17" s="1"/>
  <c r="C255" i="17" s="1"/>
  <c r="D255" i="17" s="1"/>
  <c r="F255" i="17" s="1"/>
  <c r="E255" i="17" s="1"/>
  <c r="AP257" i="17"/>
  <c r="E72" i="6"/>
  <c r="A73" i="6"/>
  <c r="B72" i="6"/>
  <c r="G165" i="15"/>
  <c r="AN166" i="15"/>
  <c r="AM166" i="15" s="1"/>
  <c r="AL166" i="15" s="1"/>
  <c r="C166" i="15" s="1"/>
  <c r="AO167" i="15"/>
  <c r="W306" i="13"/>
  <c r="X305" i="13"/>
  <c r="Y305" i="13" s="1"/>
  <c r="Z305" i="13" s="1"/>
  <c r="AA305" i="13" s="1"/>
  <c r="B84" i="11"/>
  <c r="A85" i="11"/>
  <c r="AA91" i="11"/>
  <c r="AD90" i="11"/>
  <c r="W71" i="6"/>
  <c r="X70" i="6"/>
  <c r="AA69" i="3"/>
  <c r="AD68" i="3"/>
  <c r="AB68" i="3"/>
  <c r="V112" i="6"/>
  <c r="E157" i="13" l="1"/>
  <c r="G157" i="13" s="1"/>
  <c r="F157" i="13" s="1"/>
  <c r="B73" i="3"/>
  <c r="C73" i="3" s="1"/>
  <c r="D73" i="3" s="1"/>
  <c r="AK73" i="3" s="1"/>
  <c r="AJ73" i="3"/>
  <c r="A74" i="3"/>
  <c r="G255" i="17"/>
  <c r="AO257" i="17"/>
  <c r="AN256" i="17"/>
  <c r="AM256" i="17" s="1"/>
  <c r="AL256" i="17" s="1"/>
  <c r="C256" i="17" s="1"/>
  <c r="D256" i="17" s="1"/>
  <c r="F256" i="17" s="1"/>
  <c r="E256" i="17" s="1"/>
  <c r="E73" i="6"/>
  <c r="B73" i="6"/>
  <c r="A74" i="6"/>
  <c r="D166" i="15"/>
  <c r="C84" i="11"/>
  <c r="D84" i="11" s="1"/>
  <c r="F84" i="11" s="1"/>
  <c r="E84" i="11" s="1"/>
  <c r="X306" i="13"/>
  <c r="Y306" i="13" s="1"/>
  <c r="Z306" i="13" s="1"/>
  <c r="AA306" i="13" s="1"/>
  <c r="W307" i="13"/>
  <c r="B85" i="11"/>
  <c r="A86" i="11"/>
  <c r="B86" i="11" s="1"/>
  <c r="D27" i="11"/>
  <c r="AK27" i="11" s="1"/>
  <c r="AA92" i="11"/>
  <c r="AD91" i="11"/>
  <c r="W72" i="6"/>
  <c r="X71" i="6"/>
  <c r="AA70" i="3"/>
  <c r="AD69" i="3"/>
  <c r="AB69" i="3"/>
  <c r="V113" i="6"/>
  <c r="E158" i="13" l="1"/>
  <c r="G158" i="13" s="1"/>
  <c r="F158" i="13" s="1"/>
  <c r="A75" i="3"/>
  <c r="B74" i="3"/>
  <c r="C74" i="3" s="1"/>
  <c r="D74" i="3" s="1"/>
  <c r="AK74" i="3" s="1"/>
  <c r="AJ74" i="3"/>
  <c r="G256" i="17"/>
  <c r="AN257" i="17"/>
  <c r="AM257" i="17" s="1"/>
  <c r="AL257" i="17" s="1"/>
  <c r="C257" i="17" s="1"/>
  <c r="D257" i="17" s="1"/>
  <c r="F257" i="17" s="1"/>
  <c r="E257" i="17" s="1"/>
  <c r="E74" i="6"/>
  <c r="A75" i="6"/>
  <c r="B74" i="6"/>
  <c r="F166" i="15"/>
  <c r="C86" i="11"/>
  <c r="D86" i="11" s="1"/>
  <c r="F86" i="11" s="1"/>
  <c r="C85" i="11"/>
  <c r="D85" i="11" s="1"/>
  <c r="F85" i="11" s="1"/>
  <c r="E85" i="11" s="1"/>
  <c r="W308" i="13"/>
  <c r="X307" i="13"/>
  <c r="Y307" i="13" s="1"/>
  <c r="Z307" i="13" s="1"/>
  <c r="AA307" i="13" s="1"/>
  <c r="F27" i="11"/>
  <c r="AJ27" i="11" s="1"/>
  <c r="AD92" i="11"/>
  <c r="AA93" i="11"/>
  <c r="X72" i="6"/>
  <c r="W73" i="6"/>
  <c r="AA71" i="3"/>
  <c r="AD70" i="3"/>
  <c r="AB70" i="3"/>
  <c r="V114" i="6"/>
  <c r="E159" i="13" l="1"/>
  <c r="G159" i="13" s="1"/>
  <c r="F159" i="13" s="1"/>
  <c r="A76" i="3"/>
  <c r="B75" i="3"/>
  <c r="C75" i="3" s="1"/>
  <c r="D75" i="3" s="1"/>
  <c r="AK75" i="3" s="1"/>
  <c r="AJ75" i="3"/>
  <c r="G257" i="17"/>
  <c r="AO259" i="17"/>
  <c r="AQ263" i="17"/>
  <c r="AP260" i="17"/>
  <c r="AN258" i="17"/>
  <c r="AM258" i="17" s="1"/>
  <c r="AL258" i="17" s="1"/>
  <c r="C258" i="17" s="1"/>
  <c r="D258" i="17" s="1"/>
  <c r="F258" i="17" s="1"/>
  <c r="E258" i="17" s="1"/>
  <c r="E75" i="6"/>
  <c r="A76" i="6"/>
  <c r="B75" i="6"/>
  <c r="E166" i="15"/>
  <c r="BB167" i="15" s="1"/>
  <c r="E86" i="11"/>
  <c r="W309" i="13"/>
  <c r="X308" i="13"/>
  <c r="Y308" i="13" s="1"/>
  <c r="Z308" i="13" s="1"/>
  <c r="AA308" i="13" s="1"/>
  <c r="E27" i="11"/>
  <c r="AA94" i="11"/>
  <c r="AD93" i="11"/>
  <c r="X73" i="6"/>
  <c r="W74" i="6"/>
  <c r="AA72" i="3"/>
  <c r="AD71" i="3"/>
  <c r="AB71" i="3"/>
  <c r="V115" i="6"/>
  <c r="C28" i="11" l="1"/>
  <c r="E160" i="13"/>
  <c r="G160" i="13" s="1"/>
  <c r="F160" i="13" s="1"/>
  <c r="A77" i="3"/>
  <c r="AJ76" i="3"/>
  <c r="B76" i="3"/>
  <c r="C76" i="3" s="1"/>
  <c r="D76" i="3" s="1"/>
  <c r="AK76" i="3" s="1"/>
  <c r="G258" i="17"/>
  <c r="AN259" i="17"/>
  <c r="AM259" i="17" s="1"/>
  <c r="AL259" i="17" s="1"/>
  <c r="C259" i="17" s="1"/>
  <c r="D259" i="17" s="1"/>
  <c r="F259" i="17" s="1"/>
  <c r="E259" i="17" s="1"/>
  <c r="E76" i="6"/>
  <c r="B76" i="6"/>
  <c r="A77" i="6"/>
  <c r="G166" i="15"/>
  <c r="AN167" i="15"/>
  <c r="AM167" i="15" s="1"/>
  <c r="AL167" i="15" s="1"/>
  <c r="C167" i="15" s="1"/>
  <c r="W310" i="13"/>
  <c r="X309" i="13"/>
  <c r="Y309" i="13" s="1"/>
  <c r="Z309" i="13" s="1"/>
  <c r="AA309" i="13" s="1"/>
  <c r="AA95" i="11"/>
  <c r="AD94" i="11"/>
  <c r="X74" i="6"/>
  <c r="W75" i="6"/>
  <c r="AA73" i="3"/>
  <c r="AD72" i="3"/>
  <c r="AB72" i="3"/>
  <c r="V116" i="6"/>
  <c r="E161" i="13" l="1"/>
  <c r="G161" i="13" s="1"/>
  <c r="F161" i="13" s="1"/>
  <c r="B77" i="3"/>
  <c r="C77" i="3" s="1"/>
  <c r="D77" i="3" s="1"/>
  <c r="AK77" i="3" s="1"/>
  <c r="AJ77" i="3"/>
  <c r="A78" i="3"/>
  <c r="G259" i="17"/>
  <c r="AN260" i="17"/>
  <c r="AM260" i="17" s="1"/>
  <c r="AL260" i="17" s="1"/>
  <c r="C260" i="17" s="1"/>
  <c r="D260" i="17" s="1"/>
  <c r="F260" i="17" s="1"/>
  <c r="E260" i="17" s="1"/>
  <c r="AO261" i="17"/>
  <c r="E77" i="6"/>
  <c r="B77" i="6"/>
  <c r="A78" i="6"/>
  <c r="D167" i="15"/>
  <c r="W311" i="13"/>
  <c r="X310" i="13"/>
  <c r="Y310" i="13" s="1"/>
  <c r="Z310" i="13" s="1"/>
  <c r="AA310" i="13" s="1"/>
  <c r="D28" i="11"/>
  <c r="AK28" i="11" s="1"/>
  <c r="AA96" i="11"/>
  <c r="AD95" i="11"/>
  <c r="X75" i="6"/>
  <c r="W76" i="6"/>
  <c r="AA74" i="3"/>
  <c r="AD73" i="3"/>
  <c r="AB73" i="3"/>
  <c r="V117" i="6"/>
  <c r="E162" i="13" l="1"/>
  <c r="G162" i="13" s="1"/>
  <c r="F162" i="13" s="1"/>
  <c r="AJ78" i="3"/>
  <c r="A79" i="3"/>
  <c r="B78" i="3"/>
  <c r="C78" i="3" s="1"/>
  <c r="D78" i="3" s="1"/>
  <c r="AK78" i="3" s="1"/>
  <c r="G260" i="17"/>
  <c r="AP263" i="17"/>
  <c r="AN261" i="17"/>
  <c r="AM261" i="17" s="1"/>
  <c r="AL261" i="17" s="1"/>
  <c r="C261" i="17" s="1"/>
  <c r="D261" i="17" s="1"/>
  <c r="F261" i="17" s="1"/>
  <c r="E261" i="17" s="1"/>
  <c r="E78" i="6"/>
  <c r="A79" i="6"/>
  <c r="B78" i="6"/>
  <c r="F167" i="15"/>
  <c r="W312" i="13"/>
  <c r="X311" i="13"/>
  <c r="Y311" i="13" s="1"/>
  <c r="Z311" i="13" s="1"/>
  <c r="AA311" i="13" s="1"/>
  <c r="F28" i="11"/>
  <c r="AJ28" i="11" s="1"/>
  <c r="AA97" i="11"/>
  <c r="AD96" i="11"/>
  <c r="X76" i="6"/>
  <c r="W77" i="6"/>
  <c r="AA75" i="3"/>
  <c r="AD74" i="3"/>
  <c r="AB74" i="3"/>
  <c r="V118" i="6"/>
  <c r="E163" i="13" l="1"/>
  <c r="G163" i="13" s="1"/>
  <c r="F163" i="13" s="1"/>
  <c r="AJ79" i="3"/>
  <c r="A80" i="3"/>
  <c r="AK79" i="3"/>
  <c r="B79" i="3"/>
  <c r="C79" i="3" s="1"/>
  <c r="G261" i="17"/>
  <c r="AO263" i="17"/>
  <c r="AN262" i="17"/>
  <c r="AM262" i="17" s="1"/>
  <c r="AL262" i="17" s="1"/>
  <c r="C262" i="17" s="1"/>
  <c r="D262" i="17" s="1"/>
  <c r="F262" i="17" s="1"/>
  <c r="E262" i="17" s="1"/>
  <c r="E79" i="6"/>
  <c r="A80" i="6"/>
  <c r="B79" i="6"/>
  <c r="E167" i="15"/>
  <c r="BB168" i="15" s="1"/>
  <c r="X312" i="13"/>
  <c r="Y312" i="13" s="1"/>
  <c r="Z312" i="13" s="1"/>
  <c r="AA312" i="13" s="1"/>
  <c r="W313" i="13"/>
  <c r="E28" i="11"/>
  <c r="AA98" i="11"/>
  <c r="AD97" i="11"/>
  <c r="X77" i="6"/>
  <c r="W78" i="6"/>
  <c r="AA76" i="3"/>
  <c r="AD75" i="3"/>
  <c r="AB75" i="3"/>
  <c r="V119" i="6"/>
  <c r="C29" i="11" l="1"/>
  <c r="E164" i="13"/>
  <c r="G164" i="13" s="1"/>
  <c r="F164" i="13" s="1"/>
  <c r="AJ80" i="3"/>
  <c r="AK80" i="3"/>
  <c r="B80" i="3"/>
  <c r="C80" i="3" s="1"/>
  <c r="G262" i="17"/>
  <c r="AN263" i="17"/>
  <c r="AL263" i="17"/>
  <c r="C263" i="17" s="1"/>
  <c r="D263" i="17" s="1"/>
  <c r="F263" i="17" s="1"/>
  <c r="E263" i="17" s="1"/>
  <c r="E80" i="6"/>
  <c r="B80" i="6"/>
  <c r="A81" i="6"/>
  <c r="G167" i="15"/>
  <c r="AO169" i="15"/>
  <c r="AN168" i="15"/>
  <c r="AM168" i="15" s="1"/>
  <c r="AL168" i="15" s="1"/>
  <c r="C168" i="15" s="1"/>
  <c r="AR179" i="15"/>
  <c r="AQ173" i="15"/>
  <c r="AP170" i="15"/>
  <c r="W314" i="13"/>
  <c r="X313" i="13"/>
  <c r="Y313" i="13" s="1"/>
  <c r="Z313" i="13" s="1"/>
  <c r="AA313" i="13" s="1"/>
  <c r="AA99" i="11"/>
  <c r="AD98" i="11"/>
  <c r="X78" i="6"/>
  <c r="W79" i="6"/>
  <c r="AA77" i="3"/>
  <c r="AD76" i="3"/>
  <c r="AB76" i="3"/>
  <c r="V120" i="6"/>
  <c r="E165" i="13" l="1"/>
  <c r="G165" i="13" s="1"/>
  <c r="F165" i="13" s="1"/>
  <c r="D168" i="15"/>
  <c r="G263" i="17"/>
  <c r="AO265" i="17"/>
  <c r="AR275" i="17"/>
  <c r="AM275" i="17" s="1"/>
  <c r="AL275" i="17" s="1"/>
  <c r="AP266" i="17"/>
  <c r="AN264" i="17"/>
  <c r="AM264" i="17" s="1"/>
  <c r="AL264" i="17" s="1"/>
  <c r="AQ269" i="17"/>
  <c r="E81" i="6"/>
  <c r="B81" i="6"/>
  <c r="A82" i="6"/>
  <c r="X314" i="13"/>
  <c r="Y314" i="13" s="1"/>
  <c r="Z314" i="13" s="1"/>
  <c r="AA314" i="13" s="1"/>
  <c r="W315" i="13"/>
  <c r="D29" i="11"/>
  <c r="AK29" i="11" s="1"/>
  <c r="AA100" i="11"/>
  <c r="AD99" i="11"/>
  <c r="X79" i="6"/>
  <c r="Y79" i="6" s="1"/>
  <c r="Z79" i="6" s="1"/>
  <c r="W80" i="6"/>
  <c r="AA78" i="3"/>
  <c r="AD77" i="3"/>
  <c r="AB77" i="3"/>
  <c r="V121" i="6"/>
  <c r="E166" i="13" l="1"/>
  <c r="G166" i="13" s="1"/>
  <c r="F166" i="13" s="1"/>
  <c r="F168" i="15"/>
  <c r="E82" i="6"/>
  <c r="B82" i="6"/>
  <c r="A83" i="6"/>
  <c r="W316" i="13"/>
  <c r="X315" i="13"/>
  <c r="Y315" i="13" s="1"/>
  <c r="Z315" i="13" s="1"/>
  <c r="AA315" i="13" s="1"/>
  <c r="F29" i="11"/>
  <c r="AJ29" i="11" s="1"/>
  <c r="AA101" i="11"/>
  <c r="AD100" i="11"/>
  <c r="W81" i="6"/>
  <c r="X80" i="6"/>
  <c r="Y80" i="6" s="1"/>
  <c r="Z80" i="6" s="1"/>
  <c r="AA79" i="3"/>
  <c r="AD78" i="3"/>
  <c r="V122" i="6"/>
  <c r="E167" i="13" l="1"/>
  <c r="G167" i="13" s="1"/>
  <c r="F167" i="13" s="1"/>
  <c r="E168" i="15"/>
  <c r="BB169" i="15" s="1"/>
  <c r="E83" i="6"/>
  <c r="A84" i="6"/>
  <c r="B83" i="6"/>
  <c r="W317" i="13"/>
  <c r="X316" i="13"/>
  <c r="Y316" i="13" s="1"/>
  <c r="Z316" i="13" s="1"/>
  <c r="AA316" i="13" s="1"/>
  <c r="E29" i="11"/>
  <c r="AA102" i="11"/>
  <c r="AD101" i="11"/>
  <c r="X81" i="6"/>
  <c r="Y81" i="6" s="1"/>
  <c r="Z81" i="6" s="1"/>
  <c r="W82" i="6"/>
  <c r="AA80" i="3"/>
  <c r="AD79" i="3"/>
  <c r="V123" i="6"/>
  <c r="C30" i="11" l="1"/>
  <c r="E168" i="13"/>
  <c r="G168" i="13" s="1"/>
  <c r="F168" i="13" s="1"/>
  <c r="AN169" i="15"/>
  <c r="AM169" i="15" s="1"/>
  <c r="AL169" i="15" s="1"/>
  <c r="C169" i="15" s="1"/>
  <c r="G168" i="15"/>
  <c r="B84" i="6"/>
  <c r="E84" i="6"/>
  <c r="A85" i="6"/>
  <c r="W318" i="13"/>
  <c r="X317" i="13"/>
  <c r="Y317" i="13" s="1"/>
  <c r="Z317" i="13" s="1"/>
  <c r="AA317" i="13" s="1"/>
  <c r="AA103" i="11"/>
  <c r="AD102" i="11"/>
  <c r="X82" i="6"/>
  <c r="Y82" i="6" s="1"/>
  <c r="Z82" i="6" s="1"/>
  <c r="W83" i="6"/>
  <c r="AA81" i="3"/>
  <c r="AD80" i="3"/>
  <c r="V124" i="6"/>
  <c r="E169" i="13" l="1"/>
  <c r="G169" i="13" s="1"/>
  <c r="F169" i="13" s="1"/>
  <c r="D169" i="15"/>
  <c r="A86" i="6"/>
  <c r="E85" i="6"/>
  <c r="B85" i="6"/>
  <c r="X318" i="13"/>
  <c r="Y318" i="13" s="1"/>
  <c r="Z318" i="13" s="1"/>
  <c r="AA318" i="13" s="1"/>
  <c r="W319" i="13"/>
  <c r="D30" i="11"/>
  <c r="AK30" i="11" s="1"/>
  <c r="AA104" i="11"/>
  <c r="AD103" i="11"/>
  <c r="X83" i="6"/>
  <c r="Y83" i="6" s="1"/>
  <c r="Z83" i="6" s="1"/>
  <c r="W84" i="6"/>
  <c r="AA82" i="3"/>
  <c r="AD81" i="3"/>
  <c r="V125" i="6"/>
  <c r="E170" i="13" l="1"/>
  <c r="G170" i="13" s="1"/>
  <c r="F170" i="13" s="1"/>
  <c r="F169" i="15"/>
  <c r="E86" i="6"/>
  <c r="A87" i="6"/>
  <c r="B86" i="6"/>
  <c r="W320" i="13"/>
  <c r="X319" i="13"/>
  <c r="Y319" i="13" s="1"/>
  <c r="Z319" i="13" s="1"/>
  <c r="AA319" i="13" s="1"/>
  <c r="F30" i="11"/>
  <c r="AJ30" i="11" s="1"/>
  <c r="AA105" i="11"/>
  <c r="AD104" i="11"/>
  <c r="X84" i="6"/>
  <c r="Y84" i="6" s="1"/>
  <c r="Z84" i="6" s="1"/>
  <c r="W85" i="6"/>
  <c r="AA83" i="3"/>
  <c r="AD82" i="3"/>
  <c r="V126" i="6"/>
  <c r="E171" i="13" l="1"/>
  <c r="G171" i="13" s="1"/>
  <c r="F171" i="13" s="1"/>
  <c r="E169" i="15"/>
  <c r="BB170" i="15" s="1"/>
  <c r="E87" i="6"/>
  <c r="A88" i="6"/>
  <c r="B87" i="6"/>
  <c r="W321" i="13"/>
  <c r="X320" i="13"/>
  <c r="Y320" i="13" s="1"/>
  <c r="Z320" i="13" s="1"/>
  <c r="AA320" i="13" s="1"/>
  <c r="E30" i="11"/>
  <c r="AA106" i="11"/>
  <c r="AD105" i="11"/>
  <c r="X85" i="6"/>
  <c r="Y85" i="6" s="1"/>
  <c r="Z85" i="6" s="1"/>
  <c r="W86" i="6"/>
  <c r="AA84" i="3"/>
  <c r="AD83" i="3"/>
  <c r="V127" i="6"/>
  <c r="C31" i="11" l="1"/>
  <c r="E172" i="13"/>
  <c r="G172" i="13" s="1"/>
  <c r="F172" i="13" s="1"/>
  <c r="AO171" i="15"/>
  <c r="G169" i="15"/>
  <c r="AN170" i="15"/>
  <c r="AM170" i="15" s="1"/>
  <c r="AL170" i="15" s="1"/>
  <c r="C170" i="15" s="1"/>
  <c r="E88" i="6"/>
  <c r="B88" i="6"/>
  <c r="A89" i="6"/>
  <c r="W322" i="13"/>
  <c r="X321" i="13"/>
  <c r="Y321" i="13" s="1"/>
  <c r="Z321" i="13" s="1"/>
  <c r="AA321" i="13" s="1"/>
  <c r="AA107" i="11"/>
  <c r="AD106" i="11"/>
  <c r="W87" i="6"/>
  <c r="X86" i="6"/>
  <c r="Y86" i="6" s="1"/>
  <c r="Z86" i="6" s="1"/>
  <c r="AA85" i="3"/>
  <c r="AD84" i="3"/>
  <c r="V128" i="6"/>
  <c r="E173" i="13" l="1"/>
  <c r="G173" i="13" s="1"/>
  <c r="F173" i="13" s="1"/>
  <c r="D170" i="15"/>
  <c r="E89" i="6"/>
  <c r="B89" i="6"/>
  <c r="A90" i="6"/>
  <c r="W323" i="13"/>
  <c r="X322" i="13"/>
  <c r="Y322" i="13" s="1"/>
  <c r="Z322" i="13" s="1"/>
  <c r="AA322" i="13" s="1"/>
  <c r="D31" i="11"/>
  <c r="AK31" i="11" s="1"/>
  <c r="AA108" i="11"/>
  <c r="AD107" i="11"/>
  <c r="X87" i="6"/>
  <c r="Y87" i="6" s="1"/>
  <c r="Z87" i="6" s="1"/>
  <c r="W88" i="6"/>
  <c r="AA86" i="3"/>
  <c r="AD85" i="3"/>
  <c r="V129" i="6"/>
  <c r="E174" i="13" l="1"/>
  <c r="G174" i="13" s="1"/>
  <c r="F174" i="13" s="1"/>
  <c r="F170" i="15"/>
  <c r="E90" i="6"/>
  <c r="A91" i="6"/>
  <c r="B90" i="6"/>
  <c r="W324" i="13"/>
  <c r="X323" i="13"/>
  <c r="Y323" i="13" s="1"/>
  <c r="Z323" i="13" s="1"/>
  <c r="AA323" i="13" s="1"/>
  <c r="F31" i="11"/>
  <c r="AJ31" i="11" s="1"/>
  <c r="AA109" i="11"/>
  <c r="AD108" i="11"/>
  <c r="W89" i="6"/>
  <c r="X88" i="6"/>
  <c r="Y88" i="6" s="1"/>
  <c r="Z88" i="6" s="1"/>
  <c r="AA87" i="3"/>
  <c r="AD86" i="3"/>
  <c r="V130" i="6"/>
  <c r="E175" i="13" l="1"/>
  <c r="G175" i="13" s="1"/>
  <c r="F175" i="13" s="1"/>
  <c r="E170" i="15"/>
  <c r="BB171" i="15" s="1"/>
  <c r="E91" i="6"/>
  <c r="A92" i="6"/>
  <c r="B91" i="6"/>
  <c r="W325" i="13"/>
  <c r="X324" i="13"/>
  <c r="Y324" i="13" s="1"/>
  <c r="Z324" i="13" s="1"/>
  <c r="AA324" i="13" s="1"/>
  <c r="E31" i="11"/>
  <c r="AA110" i="11"/>
  <c r="AD109" i="11"/>
  <c r="X89" i="6"/>
  <c r="Y89" i="6" s="1"/>
  <c r="Z89" i="6" s="1"/>
  <c r="W90" i="6"/>
  <c r="AA88" i="3"/>
  <c r="AD87" i="3"/>
  <c r="V131" i="6"/>
  <c r="C32" i="11" l="1"/>
  <c r="E176" i="13"/>
  <c r="G176" i="13" s="1"/>
  <c r="F176" i="13" s="1"/>
  <c r="AP173" i="15"/>
  <c r="AN171" i="15"/>
  <c r="AM171" i="15" s="1"/>
  <c r="AL171" i="15" s="1"/>
  <c r="C171" i="15" s="1"/>
  <c r="G170" i="15"/>
  <c r="E92" i="6"/>
  <c r="B92" i="6"/>
  <c r="A93" i="6"/>
  <c r="W326" i="13"/>
  <c r="X325" i="13"/>
  <c r="Y325" i="13" s="1"/>
  <c r="Z325" i="13" s="1"/>
  <c r="AA325" i="13" s="1"/>
  <c r="AA111" i="11"/>
  <c r="AD110" i="11"/>
  <c r="X90" i="6"/>
  <c r="Y90" i="6" s="1"/>
  <c r="Z90" i="6" s="1"/>
  <c r="W91" i="6"/>
  <c r="AA89" i="3"/>
  <c r="AD88" i="3"/>
  <c r="V132" i="6"/>
  <c r="E177" i="13" l="1"/>
  <c r="G177" i="13" s="1"/>
  <c r="F177" i="13" s="1"/>
  <c r="D171" i="15"/>
  <c r="E93" i="6"/>
  <c r="B93" i="6"/>
  <c r="A94" i="6"/>
  <c r="W327" i="13"/>
  <c r="X326" i="13"/>
  <c r="Y326" i="13" s="1"/>
  <c r="Z326" i="13" s="1"/>
  <c r="AA326" i="13" s="1"/>
  <c r="D32" i="11"/>
  <c r="AK32" i="11" s="1"/>
  <c r="AA112" i="11"/>
  <c r="AD111" i="11"/>
  <c r="X91" i="6"/>
  <c r="Y91" i="6" s="1"/>
  <c r="Z91" i="6" s="1"/>
  <c r="W92" i="6"/>
  <c r="AA90" i="3"/>
  <c r="AD89" i="3"/>
  <c r="V133" i="6"/>
  <c r="E178" i="13" l="1"/>
  <c r="G178" i="13" s="1"/>
  <c r="F178" i="13" s="1"/>
  <c r="F171" i="15"/>
  <c r="E94" i="6"/>
  <c r="A95" i="6"/>
  <c r="B94" i="6"/>
  <c r="W328" i="13"/>
  <c r="X327" i="13"/>
  <c r="Y327" i="13" s="1"/>
  <c r="Z327" i="13" s="1"/>
  <c r="AA327" i="13" s="1"/>
  <c r="F32" i="11"/>
  <c r="AJ32" i="11" s="1"/>
  <c r="AA113" i="11"/>
  <c r="AD112" i="11"/>
  <c r="W93" i="6"/>
  <c r="X92" i="6"/>
  <c r="Y92" i="6" s="1"/>
  <c r="Z92" i="6" s="1"/>
  <c r="AA91" i="3"/>
  <c r="AD90" i="3"/>
  <c r="V134" i="6"/>
  <c r="E179" i="13" l="1"/>
  <c r="G179" i="13" s="1"/>
  <c r="F179" i="13" s="1"/>
  <c r="E171" i="15"/>
  <c r="BB172" i="15" s="1"/>
  <c r="E95" i="6"/>
  <c r="A96" i="6"/>
  <c r="B95" i="6"/>
  <c r="W329" i="13"/>
  <c r="X328" i="13"/>
  <c r="Y328" i="13" s="1"/>
  <c r="Z328" i="13" s="1"/>
  <c r="AA328" i="13" s="1"/>
  <c r="E32" i="11"/>
  <c r="AA114" i="11"/>
  <c r="AD113" i="11"/>
  <c r="W94" i="6"/>
  <c r="X93" i="6"/>
  <c r="Y93" i="6" s="1"/>
  <c r="Z93" i="6" s="1"/>
  <c r="AA92" i="3"/>
  <c r="AD91" i="3"/>
  <c r="V135" i="6"/>
  <c r="C33" i="11" l="1"/>
  <c r="E180" i="13"/>
  <c r="G180" i="13" s="1"/>
  <c r="F180" i="13" s="1"/>
  <c r="AN172" i="15"/>
  <c r="AM172" i="15" s="1"/>
  <c r="AL172" i="15" s="1"/>
  <c r="C172" i="15" s="1"/>
  <c r="G171" i="15"/>
  <c r="AO173" i="15"/>
  <c r="E96" i="6"/>
  <c r="B96" i="6"/>
  <c r="A97" i="6"/>
  <c r="W330" i="13"/>
  <c r="X329" i="13"/>
  <c r="Y329" i="13" s="1"/>
  <c r="Z329" i="13" s="1"/>
  <c r="AA329" i="13" s="1"/>
  <c r="AA115" i="11"/>
  <c r="AD114" i="11"/>
  <c r="W95" i="6"/>
  <c r="X94" i="6"/>
  <c r="Y94" i="6" s="1"/>
  <c r="Z94" i="6" s="1"/>
  <c r="AA93" i="3"/>
  <c r="AD92" i="3"/>
  <c r="V136" i="6"/>
  <c r="E181" i="13" l="1"/>
  <c r="G181" i="13" s="1"/>
  <c r="F181" i="13" s="1"/>
  <c r="D172" i="15"/>
  <c r="E97" i="6"/>
  <c r="B97" i="6"/>
  <c r="A98" i="6"/>
  <c r="W331" i="13"/>
  <c r="X330" i="13"/>
  <c r="Y330" i="13" s="1"/>
  <c r="Z330" i="13" s="1"/>
  <c r="AA330" i="13" s="1"/>
  <c r="D33" i="11"/>
  <c r="AK33" i="11" s="1"/>
  <c r="AA116" i="11"/>
  <c r="AD115" i="11"/>
  <c r="X95" i="6"/>
  <c r="Y95" i="6" s="1"/>
  <c r="Z95" i="6" s="1"/>
  <c r="W96" i="6"/>
  <c r="AA94" i="3"/>
  <c r="AD93" i="3"/>
  <c r="V137" i="6"/>
  <c r="E182" i="13" l="1"/>
  <c r="G182" i="13" s="1"/>
  <c r="F182" i="13" s="1"/>
  <c r="F172" i="15"/>
  <c r="E98" i="6"/>
  <c r="A99" i="6"/>
  <c r="B98" i="6"/>
  <c r="W332" i="13"/>
  <c r="X331" i="13"/>
  <c r="Y331" i="13" s="1"/>
  <c r="Z331" i="13" s="1"/>
  <c r="AA331" i="13" s="1"/>
  <c r="F33" i="11"/>
  <c r="AJ33" i="11" s="1"/>
  <c r="AA117" i="11"/>
  <c r="AD116" i="11"/>
  <c r="X96" i="6"/>
  <c r="Y96" i="6" s="1"/>
  <c r="Z96" i="6" s="1"/>
  <c r="W97" i="6"/>
  <c r="AA95" i="3"/>
  <c r="AD94" i="3"/>
  <c r="V138" i="6"/>
  <c r="E183" i="13" l="1"/>
  <c r="G183" i="13" s="1"/>
  <c r="F183" i="13" s="1"/>
  <c r="E172" i="15"/>
  <c r="BB173" i="15" s="1"/>
  <c r="E99" i="6"/>
  <c r="A100" i="6"/>
  <c r="B99" i="6"/>
  <c r="W333" i="13"/>
  <c r="X332" i="13"/>
  <c r="Y332" i="13" s="1"/>
  <c r="Z332" i="13" s="1"/>
  <c r="AA332" i="13" s="1"/>
  <c r="E33" i="11"/>
  <c r="AD117" i="11"/>
  <c r="AA118" i="11"/>
  <c r="X97" i="6"/>
  <c r="Y97" i="6" s="1"/>
  <c r="Z97" i="6" s="1"/>
  <c r="W98" i="6"/>
  <c r="AA96" i="3"/>
  <c r="AD95" i="3"/>
  <c r="V139" i="6"/>
  <c r="C34" i="11" l="1"/>
  <c r="E184" i="13"/>
  <c r="G184" i="13" s="1"/>
  <c r="F184" i="13" s="1"/>
  <c r="AN173" i="15"/>
  <c r="AM173" i="15" s="1"/>
  <c r="AL173" i="15" s="1"/>
  <c r="C173" i="15" s="1"/>
  <c r="D173" i="15" s="1"/>
  <c r="F173" i="15" s="1"/>
  <c r="E173" i="15" s="1"/>
  <c r="BB174" i="15" s="1"/>
  <c r="G172" i="15"/>
  <c r="E100" i="6"/>
  <c r="B100" i="6"/>
  <c r="A101" i="6"/>
  <c r="W334" i="13"/>
  <c r="X333" i="13"/>
  <c r="Y333" i="13" s="1"/>
  <c r="Z333" i="13" s="1"/>
  <c r="AA333" i="13" s="1"/>
  <c r="AA119" i="11"/>
  <c r="AD118" i="11"/>
  <c r="X98" i="6"/>
  <c r="Y98" i="6" s="1"/>
  <c r="Z98" i="6" s="1"/>
  <c r="W99" i="6"/>
  <c r="AA97" i="3"/>
  <c r="AD96" i="3"/>
  <c r="V140" i="6"/>
  <c r="E185" i="13" l="1"/>
  <c r="G185" i="13" s="1"/>
  <c r="F185" i="13" s="1"/>
  <c r="G173" i="15"/>
  <c r="AN174" i="15"/>
  <c r="AM174" i="15" s="1"/>
  <c r="AL174" i="15" s="1"/>
  <c r="C174" i="15" s="1"/>
  <c r="D174" i="15" s="1"/>
  <c r="F174" i="15" s="1"/>
  <c r="E174" i="15" s="1"/>
  <c r="BB175" i="15" s="1"/>
  <c r="AO175" i="15"/>
  <c r="AQ179" i="15"/>
  <c r="AP176" i="15"/>
  <c r="E101" i="6"/>
  <c r="B101" i="6"/>
  <c r="A102" i="6"/>
  <c r="X334" i="13"/>
  <c r="Y334" i="13" s="1"/>
  <c r="Z334" i="13" s="1"/>
  <c r="AA334" i="13" s="1"/>
  <c r="W335" i="13"/>
  <c r="D34" i="11"/>
  <c r="AK34" i="11" s="1"/>
  <c r="AD119" i="11"/>
  <c r="AA120" i="11"/>
  <c r="W100" i="6"/>
  <c r="X99" i="6"/>
  <c r="Y99" i="6" s="1"/>
  <c r="Z99" i="6" s="1"/>
  <c r="AA98" i="3"/>
  <c r="AD97" i="3"/>
  <c r="V141" i="6"/>
  <c r="E186" i="13" l="1"/>
  <c r="G186" i="13" s="1"/>
  <c r="F186" i="13" s="1"/>
  <c r="G174" i="15"/>
  <c r="AN175" i="15"/>
  <c r="AM175" i="15" s="1"/>
  <c r="AL175" i="15" s="1"/>
  <c r="C175" i="15" s="1"/>
  <c r="D175" i="15" s="1"/>
  <c r="F175" i="15" s="1"/>
  <c r="E175" i="15" s="1"/>
  <c r="BB176" i="15" s="1"/>
  <c r="E102" i="6"/>
  <c r="A103" i="6"/>
  <c r="B102" i="6"/>
  <c r="W336" i="13"/>
  <c r="X335" i="13"/>
  <c r="Y335" i="13" s="1"/>
  <c r="Z335" i="13" s="1"/>
  <c r="AA335" i="13" s="1"/>
  <c r="F34" i="11"/>
  <c r="AJ34" i="11" s="1"/>
  <c r="AA121" i="11"/>
  <c r="AD120" i="11"/>
  <c r="W101" i="6"/>
  <c r="X100" i="6"/>
  <c r="Y100" i="6" s="1"/>
  <c r="Z100" i="6" s="1"/>
  <c r="AA99" i="3"/>
  <c r="AD98" i="3"/>
  <c r="V142" i="6"/>
  <c r="E187" i="13" l="1"/>
  <c r="G187" i="13" s="1"/>
  <c r="F187" i="13" s="1"/>
  <c r="G175" i="15"/>
  <c r="AN176" i="15"/>
  <c r="AM176" i="15" s="1"/>
  <c r="AL176" i="15" s="1"/>
  <c r="C176" i="15" s="1"/>
  <c r="D176" i="15" s="1"/>
  <c r="F176" i="15" s="1"/>
  <c r="E176" i="15" s="1"/>
  <c r="BB177" i="15" s="1"/>
  <c r="AO177" i="15"/>
  <c r="E103" i="6"/>
  <c r="A104" i="6"/>
  <c r="B103" i="6"/>
  <c r="W337" i="13"/>
  <c r="X336" i="13"/>
  <c r="Y336" i="13" s="1"/>
  <c r="Z336" i="13" s="1"/>
  <c r="AA336" i="13" s="1"/>
  <c r="E34" i="11"/>
  <c r="AD121" i="11"/>
  <c r="AA122" i="11"/>
  <c r="X101" i="6"/>
  <c r="Y101" i="6" s="1"/>
  <c r="Z101" i="6" s="1"/>
  <c r="W102" i="6"/>
  <c r="AA100" i="3"/>
  <c r="AD99" i="3"/>
  <c r="V143" i="6"/>
  <c r="C35" i="11" l="1"/>
  <c r="D35" i="11" s="1"/>
  <c r="F35" i="11" s="1"/>
  <c r="E188" i="13"/>
  <c r="G188" i="13" s="1"/>
  <c r="F188" i="13" s="1"/>
  <c r="AN177" i="15"/>
  <c r="AM177" i="15" s="1"/>
  <c r="AL177" i="15" s="1"/>
  <c r="C177" i="15" s="1"/>
  <c r="D177" i="15" s="1"/>
  <c r="F177" i="15" s="1"/>
  <c r="E177" i="15" s="1"/>
  <c r="BB178" i="15" s="1"/>
  <c r="G176" i="15"/>
  <c r="AP179" i="15"/>
  <c r="E104" i="6"/>
  <c r="B104" i="6"/>
  <c r="A105" i="6"/>
  <c r="W338" i="13"/>
  <c r="X337" i="13"/>
  <c r="Y337" i="13" s="1"/>
  <c r="Z337" i="13" s="1"/>
  <c r="AA337" i="13" s="1"/>
  <c r="AA123" i="11"/>
  <c r="AD122" i="11"/>
  <c r="W103" i="6"/>
  <c r="X102" i="6"/>
  <c r="Y102" i="6" s="1"/>
  <c r="Z102" i="6" s="1"/>
  <c r="AA101" i="3"/>
  <c r="AD100" i="3"/>
  <c r="V144" i="6"/>
  <c r="E35" i="11" l="1"/>
  <c r="AJ35" i="11"/>
  <c r="AK35" i="11"/>
  <c r="E189" i="13"/>
  <c r="G189" i="13" s="1"/>
  <c r="F189" i="13" s="1"/>
  <c r="AO179" i="15"/>
  <c r="AN178" i="15"/>
  <c r="AM178" i="15" s="1"/>
  <c r="AL178" i="15" s="1"/>
  <c r="C178" i="15" s="1"/>
  <c r="G177" i="15"/>
  <c r="E105" i="6"/>
  <c r="B105" i="6"/>
  <c r="A106" i="6"/>
  <c r="W339" i="13"/>
  <c r="X338" i="13"/>
  <c r="Y338" i="13" s="1"/>
  <c r="Z338" i="13" s="1"/>
  <c r="AA338" i="13" s="1"/>
  <c r="AA124" i="11"/>
  <c r="AD123" i="11"/>
  <c r="X103" i="6"/>
  <c r="Y103" i="6" s="1"/>
  <c r="Z103" i="6" s="1"/>
  <c r="W104" i="6"/>
  <c r="AA102" i="3"/>
  <c r="AD101" i="3"/>
  <c r="V145" i="6"/>
  <c r="C36" i="11" l="1"/>
  <c r="D36" i="11" s="1"/>
  <c r="F36" i="11" s="1"/>
  <c r="E190" i="13"/>
  <c r="G190" i="13" s="1"/>
  <c r="F190" i="13" s="1"/>
  <c r="D178" i="15"/>
  <c r="E106" i="6"/>
  <c r="A107" i="6"/>
  <c r="B106" i="6"/>
  <c r="W340" i="13"/>
  <c r="X339" i="13"/>
  <c r="Y339" i="13" s="1"/>
  <c r="Z339" i="13" s="1"/>
  <c r="AA339" i="13" s="1"/>
  <c r="AA125" i="11"/>
  <c r="AD124" i="11"/>
  <c r="W105" i="6"/>
  <c r="X104" i="6"/>
  <c r="Y104" i="6" s="1"/>
  <c r="Z104" i="6" s="1"/>
  <c r="AA103" i="3"/>
  <c r="AD102" i="3"/>
  <c r="V146" i="6"/>
  <c r="AK36" i="11" l="1"/>
  <c r="E36" i="11"/>
  <c r="AJ36" i="11"/>
  <c r="E191" i="13"/>
  <c r="G191" i="13" s="1"/>
  <c r="F191" i="13" s="1"/>
  <c r="F178" i="15"/>
  <c r="E107" i="6"/>
  <c r="A108" i="6"/>
  <c r="B107" i="6"/>
  <c r="W341" i="13"/>
  <c r="X340" i="13"/>
  <c r="Y340" i="13" s="1"/>
  <c r="Z340" i="13" s="1"/>
  <c r="AA340" i="13" s="1"/>
  <c r="AD125" i="11"/>
  <c r="AA126" i="11"/>
  <c r="X105" i="6"/>
  <c r="Y105" i="6" s="1"/>
  <c r="Z105" i="6" s="1"/>
  <c r="W106" i="6"/>
  <c r="AA104" i="3"/>
  <c r="AD103" i="3"/>
  <c r="V147" i="6"/>
  <c r="C37" i="11" l="1"/>
  <c r="D37" i="11" s="1"/>
  <c r="F37" i="11" s="1"/>
  <c r="E192" i="13"/>
  <c r="G192" i="13" s="1"/>
  <c r="F192" i="13" s="1"/>
  <c r="E178" i="15"/>
  <c r="BB179" i="15" s="1"/>
  <c r="E108" i="6"/>
  <c r="B108" i="6"/>
  <c r="A109" i="6"/>
  <c r="W342" i="13"/>
  <c r="X341" i="13"/>
  <c r="Y341" i="13" s="1"/>
  <c r="Z341" i="13" s="1"/>
  <c r="AA341" i="13" s="1"/>
  <c r="AA127" i="11"/>
  <c r="AD126" i="11"/>
  <c r="X106" i="6"/>
  <c r="Y106" i="6" s="1"/>
  <c r="Z106" i="6" s="1"/>
  <c r="W107" i="6"/>
  <c r="AA105" i="3"/>
  <c r="AD104" i="3"/>
  <c r="V148" i="6"/>
  <c r="AK37" i="11" l="1"/>
  <c r="E37" i="11"/>
  <c r="AJ37" i="11"/>
  <c r="E193" i="13"/>
  <c r="G193" i="13" s="1"/>
  <c r="F193" i="13" s="1"/>
  <c r="G178" i="15"/>
  <c r="AN179" i="15"/>
  <c r="AM179" i="15" s="1"/>
  <c r="AL179" i="15" s="1"/>
  <c r="C179" i="15" s="1"/>
  <c r="E109" i="6"/>
  <c r="B109" i="6"/>
  <c r="A110" i="6"/>
  <c r="W343" i="13"/>
  <c r="X342" i="13"/>
  <c r="Y342" i="13" s="1"/>
  <c r="Z342" i="13" s="1"/>
  <c r="AA342" i="13" s="1"/>
  <c r="AD127" i="11"/>
  <c r="AA128" i="11"/>
  <c r="X107" i="6"/>
  <c r="Y107" i="6" s="1"/>
  <c r="Z107" i="6" s="1"/>
  <c r="W108" i="6"/>
  <c r="AA106" i="3"/>
  <c r="AD105" i="3"/>
  <c r="V149" i="6"/>
  <c r="C38" i="11" l="1"/>
  <c r="D38" i="11" s="1"/>
  <c r="F38" i="11" s="1"/>
  <c r="E194" i="13"/>
  <c r="G194" i="13" s="1"/>
  <c r="F194" i="13" s="1"/>
  <c r="D179" i="15"/>
  <c r="E110" i="6"/>
  <c r="A111" i="6"/>
  <c r="B110" i="6"/>
  <c r="W344" i="13"/>
  <c r="X343" i="13"/>
  <c r="Y343" i="13" s="1"/>
  <c r="Z343" i="13" s="1"/>
  <c r="AA343" i="13" s="1"/>
  <c r="AA129" i="11"/>
  <c r="AD128" i="11"/>
  <c r="X108" i="6"/>
  <c r="Y108" i="6" s="1"/>
  <c r="Z108" i="6" s="1"/>
  <c r="W109" i="6"/>
  <c r="AA107" i="3"/>
  <c r="AD106" i="3"/>
  <c r="V150" i="6"/>
  <c r="AK38" i="11" l="1"/>
  <c r="E38" i="11"/>
  <c r="AJ38" i="11"/>
  <c r="E195" i="13"/>
  <c r="G195" i="13" s="1"/>
  <c r="F195" i="13" s="1"/>
  <c r="F179" i="15"/>
  <c r="E111" i="6"/>
  <c r="A112" i="6"/>
  <c r="B111" i="6"/>
  <c r="W345" i="13"/>
  <c r="X344" i="13"/>
  <c r="Y344" i="13" s="1"/>
  <c r="Z344" i="13" s="1"/>
  <c r="AA344" i="13" s="1"/>
  <c r="AD129" i="11"/>
  <c r="AA130" i="11"/>
  <c r="X109" i="6"/>
  <c r="Y109" i="6" s="1"/>
  <c r="Z109" i="6" s="1"/>
  <c r="W110" i="6"/>
  <c r="AA108" i="3"/>
  <c r="AD107" i="3"/>
  <c r="V151" i="6"/>
  <c r="C39" i="11" l="1"/>
  <c r="D39" i="11" s="1"/>
  <c r="F39" i="11" s="1"/>
  <c r="E196" i="13"/>
  <c r="G196" i="13" s="1"/>
  <c r="F196" i="13" s="1"/>
  <c r="E179" i="15"/>
  <c r="BB180" i="15" s="1"/>
  <c r="E112" i="6"/>
  <c r="B112" i="6"/>
  <c r="A113" i="6"/>
  <c r="W346" i="13"/>
  <c r="X345" i="13"/>
  <c r="Y345" i="13" s="1"/>
  <c r="Z345" i="13" s="1"/>
  <c r="AA345" i="13" s="1"/>
  <c r="AA131" i="11"/>
  <c r="AD130" i="11"/>
  <c r="X110" i="6"/>
  <c r="Y110" i="6" s="1"/>
  <c r="Z110" i="6" s="1"/>
  <c r="W111" i="6"/>
  <c r="AA109" i="3"/>
  <c r="AD108" i="3"/>
  <c r="V152" i="6"/>
  <c r="AK39" i="11" l="1"/>
  <c r="E39" i="11"/>
  <c r="AJ39" i="11"/>
  <c r="E197" i="13"/>
  <c r="G197" i="13" s="1"/>
  <c r="F197" i="13" s="1"/>
  <c r="G179" i="15"/>
  <c r="AO181" i="15"/>
  <c r="AR191" i="15"/>
  <c r="AQ185" i="15"/>
  <c r="AN180" i="15"/>
  <c r="AM180" i="15" s="1"/>
  <c r="AL180" i="15" s="1"/>
  <c r="C180" i="15" s="1"/>
  <c r="AP182" i="15"/>
  <c r="E113" i="6"/>
  <c r="B113" i="6"/>
  <c r="A114" i="6"/>
  <c r="W347" i="13"/>
  <c r="X346" i="13"/>
  <c r="Y346" i="13" s="1"/>
  <c r="Z346" i="13" s="1"/>
  <c r="AA346" i="13" s="1"/>
  <c r="AA132" i="11"/>
  <c r="AD131" i="11"/>
  <c r="X111" i="6"/>
  <c r="Y111" i="6" s="1"/>
  <c r="Z111" i="6" s="1"/>
  <c r="W112" i="6"/>
  <c r="AA110" i="3"/>
  <c r="AD109" i="3"/>
  <c r="V153" i="6"/>
  <c r="C40" i="11" l="1"/>
  <c r="D40" i="11" s="1"/>
  <c r="F40" i="11" s="1"/>
  <c r="E198" i="13"/>
  <c r="G198" i="13" s="1"/>
  <c r="F198" i="13" s="1"/>
  <c r="D180" i="15"/>
  <c r="E114" i="6"/>
  <c r="B114" i="6"/>
  <c r="A115" i="6"/>
  <c r="X347" i="13"/>
  <c r="Y347" i="13" s="1"/>
  <c r="Z347" i="13" s="1"/>
  <c r="AA347" i="13" s="1"/>
  <c r="W348" i="13"/>
  <c r="AA133" i="11"/>
  <c r="AD132" i="11"/>
  <c r="X112" i="6"/>
  <c r="Y112" i="6" s="1"/>
  <c r="Z112" i="6" s="1"/>
  <c r="W113" i="6"/>
  <c r="AA111" i="3"/>
  <c r="AD110" i="3"/>
  <c r="V154" i="6"/>
  <c r="AK40" i="11" l="1"/>
  <c r="E40" i="11"/>
  <c r="AJ40" i="11"/>
  <c r="E199" i="13"/>
  <c r="G199" i="13" s="1"/>
  <c r="F199" i="13" s="1"/>
  <c r="F180" i="15"/>
  <c r="E115" i="6"/>
  <c r="A116" i="6"/>
  <c r="B115" i="6"/>
  <c r="X348" i="13"/>
  <c r="Y348" i="13" s="1"/>
  <c r="Z348" i="13" s="1"/>
  <c r="AA348" i="13" s="1"/>
  <c r="W349" i="13"/>
  <c r="AD133" i="11"/>
  <c r="AA134" i="11"/>
  <c r="X113" i="6"/>
  <c r="Y113" i="6" s="1"/>
  <c r="Z113" i="6" s="1"/>
  <c r="W114" i="6"/>
  <c r="AA112" i="3"/>
  <c r="AD111" i="3"/>
  <c r="V155" i="6"/>
  <c r="C41" i="11" l="1"/>
  <c r="D41" i="11" s="1"/>
  <c r="F41" i="11" s="1"/>
  <c r="E200" i="13"/>
  <c r="G200" i="13" s="1"/>
  <c r="F200" i="13" s="1"/>
  <c r="E180" i="15"/>
  <c r="BB181" i="15" s="1"/>
  <c r="E116" i="6"/>
  <c r="A117" i="6"/>
  <c r="B116" i="6"/>
  <c r="W350" i="13"/>
  <c r="X349" i="13"/>
  <c r="Y349" i="13" s="1"/>
  <c r="Z349" i="13" s="1"/>
  <c r="AA349" i="13" s="1"/>
  <c r="AA135" i="11"/>
  <c r="AD134" i="11"/>
  <c r="X114" i="6"/>
  <c r="Y114" i="6" s="1"/>
  <c r="Z114" i="6" s="1"/>
  <c r="W115" i="6"/>
  <c r="AA113" i="3"/>
  <c r="AD112" i="3"/>
  <c r="V156" i="6"/>
  <c r="AK41" i="11" l="1"/>
  <c r="E41" i="11"/>
  <c r="AJ41" i="11"/>
  <c r="E201" i="13"/>
  <c r="G201" i="13" s="1"/>
  <c r="F201" i="13" s="1"/>
  <c r="G180" i="15"/>
  <c r="AN181" i="15"/>
  <c r="AM181" i="15" s="1"/>
  <c r="AL181" i="15" s="1"/>
  <c r="C181" i="15" s="1"/>
  <c r="E117" i="6"/>
  <c r="B117" i="6"/>
  <c r="A118" i="6"/>
  <c r="W351" i="13"/>
  <c r="X350" i="13"/>
  <c r="Y350" i="13" s="1"/>
  <c r="Z350" i="13" s="1"/>
  <c r="AA350" i="13" s="1"/>
  <c r="AD135" i="11"/>
  <c r="AA136" i="11"/>
  <c r="W116" i="6"/>
  <c r="X115" i="6"/>
  <c r="Y115" i="6" s="1"/>
  <c r="Z115" i="6" s="1"/>
  <c r="AA114" i="3"/>
  <c r="AD113" i="3"/>
  <c r="V157" i="6"/>
  <c r="C42" i="11" l="1"/>
  <c r="D42" i="11" s="1"/>
  <c r="F42" i="11" s="1"/>
  <c r="E202" i="13"/>
  <c r="G202" i="13" s="1"/>
  <c r="F202" i="13" s="1"/>
  <c r="D181" i="15"/>
  <c r="E118" i="6"/>
  <c r="A119" i="6"/>
  <c r="B118" i="6"/>
  <c r="W352" i="13"/>
  <c r="X351" i="13"/>
  <c r="Y351" i="13" s="1"/>
  <c r="Z351" i="13" s="1"/>
  <c r="AA351" i="13" s="1"/>
  <c r="AA137" i="11"/>
  <c r="AD136" i="11"/>
  <c r="W117" i="6"/>
  <c r="X116" i="6"/>
  <c r="Y116" i="6" s="1"/>
  <c r="Z116" i="6" s="1"/>
  <c r="AA115" i="3"/>
  <c r="AD114" i="3"/>
  <c r="V158" i="6"/>
  <c r="AK42" i="11" l="1"/>
  <c r="E42" i="11"/>
  <c r="AJ42" i="11"/>
  <c r="E203" i="13"/>
  <c r="G203" i="13" s="1"/>
  <c r="F203" i="13" s="1"/>
  <c r="F181" i="15"/>
  <c r="E119" i="6"/>
  <c r="A120" i="6"/>
  <c r="B119" i="6"/>
  <c r="W353" i="13"/>
  <c r="X352" i="13"/>
  <c r="Y352" i="13" s="1"/>
  <c r="Z352" i="13" s="1"/>
  <c r="AA352" i="13" s="1"/>
  <c r="AD137" i="11"/>
  <c r="AA138" i="11"/>
  <c r="W118" i="6"/>
  <c r="X117" i="6"/>
  <c r="Y117" i="6" s="1"/>
  <c r="Z117" i="6" s="1"/>
  <c r="AA116" i="3"/>
  <c r="AD115" i="3"/>
  <c r="V159" i="6"/>
  <c r="C43" i="11" l="1"/>
  <c r="D43" i="11" s="1"/>
  <c r="F43" i="11" s="1"/>
  <c r="E204" i="13"/>
  <c r="G204" i="13" s="1"/>
  <c r="F204" i="13" s="1"/>
  <c r="E181" i="15"/>
  <c r="BB182" i="15" s="1"/>
  <c r="E120" i="6"/>
  <c r="B120" i="6"/>
  <c r="A121" i="6"/>
  <c r="W354" i="13"/>
  <c r="X353" i="13"/>
  <c r="Y353" i="13" s="1"/>
  <c r="Z353" i="13" s="1"/>
  <c r="AA353" i="13" s="1"/>
  <c r="AA139" i="11"/>
  <c r="AD138" i="11"/>
  <c r="X118" i="6"/>
  <c r="Y118" i="6" s="1"/>
  <c r="Z118" i="6" s="1"/>
  <c r="W119" i="6"/>
  <c r="AA117" i="3"/>
  <c r="AD116" i="3"/>
  <c r="V160" i="6"/>
  <c r="AK43" i="11" l="1"/>
  <c r="E43" i="11"/>
  <c r="AJ43" i="11"/>
  <c r="E205" i="13"/>
  <c r="G205" i="13" s="1"/>
  <c r="F205" i="13" s="1"/>
  <c r="G181" i="15"/>
  <c r="AO183" i="15"/>
  <c r="AN182" i="15"/>
  <c r="AM182" i="15" s="1"/>
  <c r="AL182" i="15" s="1"/>
  <c r="C182" i="15" s="1"/>
  <c r="E121" i="6"/>
  <c r="B121" i="6"/>
  <c r="A122" i="6"/>
  <c r="W355" i="13"/>
  <c r="X354" i="13"/>
  <c r="Y354" i="13" s="1"/>
  <c r="Z354" i="13" s="1"/>
  <c r="AA354" i="13" s="1"/>
  <c r="AA140" i="11"/>
  <c r="AD139" i="11"/>
  <c r="X119" i="6"/>
  <c r="Y119" i="6" s="1"/>
  <c r="Z119" i="6" s="1"/>
  <c r="W120" i="6"/>
  <c r="AA118" i="3"/>
  <c r="AD117" i="3"/>
  <c r="V161" i="6"/>
  <c r="C44" i="11" l="1"/>
  <c r="D44" i="11" s="1"/>
  <c r="F44" i="11" s="1"/>
  <c r="E206" i="13"/>
  <c r="G206" i="13" s="1"/>
  <c r="F206" i="13" s="1"/>
  <c r="D182" i="15"/>
  <c r="E122" i="6"/>
  <c r="A123" i="6"/>
  <c r="B122" i="6"/>
  <c r="X355" i="13"/>
  <c r="Y355" i="13" s="1"/>
  <c r="Z355" i="13" s="1"/>
  <c r="AA355" i="13" s="1"/>
  <c r="W356" i="13"/>
  <c r="AA141" i="11"/>
  <c r="AD140" i="11"/>
  <c r="X120" i="6"/>
  <c r="Y120" i="6" s="1"/>
  <c r="Z120" i="6" s="1"/>
  <c r="W121" i="6"/>
  <c r="AA119" i="3"/>
  <c r="AD118" i="3"/>
  <c r="V162" i="6"/>
  <c r="AK44" i="11" l="1"/>
  <c r="E44" i="11"/>
  <c r="AJ44" i="11"/>
  <c r="E207" i="13"/>
  <c r="G207" i="13" s="1"/>
  <c r="F207" i="13" s="1"/>
  <c r="F182" i="15"/>
  <c r="E123" i="6"/>
  <c r="B123" i="6"/>
  <c r="A124" i="6"/>
  <c r="X356" i="13"/>
  <c r="Y356" i="13" s="1"/>
  <c r="Z356" i="13" s="1"/>
  <c r="AA356" i="13" s="1"/>
  <c r="W357" i="13"/>
  <c r="AD141" i="11"/>
  <c r="AA142" i="11"/>
  <c r="W122" i="6"/>
  <c r="X121" i="6"/>
  <c r="Y121" i="6" s="1"/>
  <c r="Z121" i="6" s="1"/>
  <c r="AA120" i="3"/>
  <c r="AD119" i="3"/>
  <c r="V163" i="6"/>
  <c r="C45" i="11" l="1"/>
  <c r="D45" i="11" s="1"/>
  <c r="F45" i="11" s="1"/>
  <c r="E208" i="13"/>
  <c r="G208" i="13" s="1"/>
  <c r="F208" i="13" s="1"/>
  <c r="E182" i="15"/>
  <c r="BB183" i="15" s="1"/>
  <c r="E124" i="6"/>
  <c r="B124" i="6"/>
  <c r="A125" i="6"/>
  <c r="W358" i="13"/>
  <c r="X357" i="13"/>
  <c r="Y357" i="13" s="1"/>
  <c r="Z357" i="13" s="1"/>
  <c r="AA357" i="13" s="1"/>
  <c r="AA143" i="11"/>
  <c r="AD142" i="11"/>
  <c r="W123" i="6"/>
  <c r="X122" i="6"/>
  <c r="Y122" i="6" s="1"/>
  <c r="Z122" i="6" s="1"/>
  <c r="AA121" i="3"/>
  <c r="AD120" i="3"/>
  <c r="V164" i="6"/>
  <c r="AK45" i="11" l="1"/>
  <c r="E45" i="11"/>
  <c r="AJ45" i="11"/>
  <c r="E209" i="13"/>
  <c r="G209" i="13" s="1"/>
  <c r="F209" i="13" s="1"/>
  <c r="G182" i="15"/>
  <c r="AN183" i="15"/>
  <c r="AM183" i="15" s="1"/>
  <c r="AL183" i="15" s="1"/>
  <c r="C183" i="15" s="1"/>
  <c r="AP185" i="15"/>
  <c r="E125" i="6"/>
  <c r="B125" i="6"/>
  <c r="A126" i="6"/>
  <c r="W359" i="13"/>
  <c r="X358" i="13"/>
  <c r="Y358" i="13" s="1"/>
  <c r="Z358" i="13" s="1"/>
  <c r="AA358" i="13" s="1"/>
  <c r="AD143" i="11"/>
  <c r="AA144" i="11"/>
  <c r="W124" i="6"/>
  <c r="X123" i="6"/>
  <c r="Y123" i="6" s="1"/>
  <c r="Z123" i="6" s="1"/>
  <c r="AA122" i="3"/>
  <c r="AD121" i="3"/>
  <c r="V165" i="6"/>
  <c r="C46" i="11" l="1"/>
  <c r="D46" i="11" s="1"/>
  <c r="F46" i="11" s="1"/>
  <c r="E210" i="13"/>
  <c r="G210" i="13" s="1"/>
  <c r="F210" i="13" s="1"/>
  <c r="D183" i="15"/>
  <c r="E126" i="6"/>
  <c r="A127" i="6"/>
  <c r="B126" i="6"/>
  <c r="W360" i="13"/>
  <c r="X359" i="13"/>
  <c r="Y359" i="13" s="1"/>
  <c r="Z359" i="13" s="1"/>
  <c r="AA359" i="13" s="1"/>
  <c r="AA145" i="11"/>
  <c r="AD144" i="11"/>
  <c r="X124" i="6"/>
  <c r="Y124" i="6" s="1"/>
  <c r="Z124" i="6" s="1"/>
  <c r="W125" i="6"/>
  <c r="AA123" i="3"/>
  <c r="AD122" i="3"/>
  <c r="V166" i="6"/>
  <c r="AK46" i="11" l="1"/>
  <c r="E46" i="11"/>
  <c r="AJ46" i="11"/>
  <c r="E211" i="13"/>
  <c r="G211" i="13" s="1"/>
  <c r="F211" i="13" s="1"/>
  <c r="F183" i="15"/>
  <c r="E127" i="6"/>
  <c r="A128" i="6"/>
  <c r="B127" i="6"/>
  <c r="W361" i="13"/>
  <c r="X360" i="13"/>
  <c r="Y360" i="13" s="1"/>
  <c r="Z360" i="13" s="1"/>
  <c r="AA360" i="13" s="1"/>
  <c r="AD145" i="11"/>
  <c r="AA146" i="11"/>
  <c r="X125" i="6"/>
  <c r="Y125" i="6" s="1"/>
  <c r="Z125" i="6" s="1"/>
  <c r="W126" i="6"/>
  <c r="AA124" i="3"/>
  <c r="AD123" i="3"/>
  <c r="V167" i="6"/>
  <c r="C47" i="11" l="1"/>
  <c r="D47" i="11" s="1"/>
  <c r="F47" i="11" s="1"/>
  <c r="E212" i="13"/>
  <c r="G212" i="13" s="1"/>
  <c r="F212" i="13" s="1"/>
  <c r="E183" i="15"/>
  <c r="BB184" i="15" s="1"/>
  <c r="E128" i="6"/>
  <c r="B128" i="6"/>
  <c r="A129" i="6"/>
  <c r="W362" i="13"/>
  <c r="X361" i="13"/>
  <c r="Y361" i="13" s="1"/>
  <c r="Z361" i="13" s="1"/>
  <c r="AA361" i="13" s="1"/>
  <c r="AA147" i="11"/>
  <c r="AD146" i="11"/>
  <c r="X126" i="6"/>
  <c r="Y126" i="6" s="1"/>
  <c r="Z126" i="6" s="1"/>
  <c r="W127" i="6"/>
  <c r="AA125" i="3"/>
  <c r="AD124" i="3"/>
  <c r="V168" i="6"/>
  <c r="AK47" i="11" l="1"/>
  <c r="E47" i="11"/>
  <c r="AJ47" i="11"/>
  <c r="E213" i="13"/>
  <c r="G213" i="13" s="1"/>
  <c r="F213" i="13" s="1"/>
  <c r="G183" i="15"/>
  <c r="AO185" i="15"/>
  <c r="AN184" i="15"/>
  <c r="AM184" i="15" s="1"/>
  <c r="AL184" i="15" s="1"/>
  <c r="C184" i="15" s="1"/>
  <c r="D184" i="15" s="1"/>
  <c r="F184" i="15" s="1"/>
  <c r="E184" i="15" s="1"/>
  <c r="BB185" i="15" s="1"/>
  <c r="E129" i="6"/>
  <c r="B129" i="6"/>
  <c r="A130" i="6"/>
  <c r="W363" i="13"/>
  <c r="X362" i="13"/>
  <c r="Y362" i="13" s="1"/>
  <c r="Z362" i="13" s="1"/>
  <c r="AA362" i="13" s="1"/>
  <c r="AD147" i="11"/>
  <c r="AA148" i="11"/>
  <c r="X127" i="6"/>
  <c r="Y127" i="6" s="1"/>
  <c r="Z127" i="6" s="1"/>
  <c r="W128" i="6"/>
  <c r="AA126" i="3"/>
  <c r="AD125" i="3"/>
  <c r="V169" i="6"/>
  <c r="C48" i="11" l="1"/>
  <c r="D48" i="11" s="1"/>
  <c r="F48" i="11" s="1"/>
  <c r="E214" i="13"/>
  <c r="G214" i="13" s="1"/>
  <c r="F214" i="13" s="1"/>
  <c r="G184" i="15"/>
  <c r="AN185" i="15"/>
  <c r="AM185" i="15" s="1"/>
  <c r="AL185" i="15" s="1"/>
  <c r="C185" i="15" s="1"/>
  <c r="D185" i="15" s="1"/>
  <c r="F185" i="15" s="1"/>
  <c r="E185" i="15" s="1"/>
  <c r="BB186" i="15" s="1"/>
  <c r="E130" i="6"/>
  <c r="A131" i="6"/>
  <c r="B130" i="6"/>
  <c r="X363" i="13"/>
  <c r="Y363" i="13" s="1"/>
  <c r="Z363" i="13" s="1"/>
  <c r="AA363" i="13" s="1"/>
  <c r="W364" i="13"/>
  <c r="AA149" i="11"/>
  <c r="AD148" i="11"/>
  <c r="W129" i="6"/>
  <c r="X128" i="6"/>
  <c r="Y128" i="6" s="1"/>
  <c r="Z128" i="6" s="1"/>
  <c r="AA127" i="3"/>
  <c r="AD126" i="3"/>
  <c r="V170" i="6"/>
  <c r="AK48" i="11" l="1"/>
  <c r="E48" i="11"/>
  <c r="AJ48" i="11"/>
  <c r="E215" i="13"/>
  <c r="G215" i="13" s="1"/>
  <c r="F215" i="13" s="1"/>
  <c r="G185" i="15"/>
  <c r="AO187" i="15"/>
  <c r="AN186" i="15"/>
  <c r="AM186" i="15" s="1"/>
  <c r="AL186" i="15" s="1"/>
  <c r="C186" i="15" s="1"/>
  <c r="D186" i="15" s="1"/>
  <c r="F186" i="15" s="1"/>
  <c r="E186" i="15" s="1"/>
  <c r="BB187" i="15" s="1"/>
  <c r="AQ191" i="15"/>
  <c r="AP188" i="15"/>
  <c r="E131" i="6"/>
  <c r="B131" i="6"/>
  <c r="A132" i="6"/>
  <c r="X364" i="13"/>
  <c r="Y364" i="13" s="1"/>
  <c r="Z364" i="13" s="1"/>
  <c r="AA364" i="13" s="1"/>
  <c r="W365" i="13"/>
  <c r="AD149" i="11"/>
  <c r="AA150" i="11"/>
  <c r="W130" i="6"/>
  <c r="X129" i="6"/>
  <c r="Y129" i="6" s="1"/>
  <c r="Z129" i="6" s="1"/>
  <c r="AA128" i="3"/>
  <c r="AD127" i="3"/>
  <c r="V171" i="6"/>
  <c r="C49" i="11" l="1"/>
  <c r="D49" i="11" s="1"/>
  <c r="F49" i="11" s="1"/>
  <c r="E216" i="13"/>
  <c r="G216" i="13" s="1"/>
  <c r="F216" i="13" s="1"/>
  <c r="G186" i="15"/>
  <c r="AN187" i="15"/>
  <c r="AM187" i="15" s="1"/>
  <c r="AL187" i="15" s="1"/>
  <c r="C187" i="15" s="1"/>
  <c r="D187" i="15" s="1"/>
  <c r="F187" i="15" s="1"/>
  <c r="E187" i="15" s="1"/>
  <c r="BB188" i="15" s="1"/>
  <c r="E132" i="6"/>
  <c r="B132" i="6"/>
  <c r="A133" i="6"/>
  <c r="W366" i="13"/>
  <c r="X365" i="13"/>
  <c r="Y365" i="13" s="1"/>
  <c r="Z365" i="13" s="1"/>
  <c r="AA365" i="13" s="1"/>
  <c r="AA151" i="11"/>
  <c r="AD150" i="11"/>
  <c r="X130" i="6"/>
  <c r="Y130" i="6" s="1"/>
  <c r="Z130" i="6" s="1"/>
  <c r="W131" i="6"/>
  <c r="AA129" i="3"/>
  <c r="AD128" i="3"/>
  <c r="V172" i="6"/>
  <c r="AK49" i="11" l="1"/>
  <c r="E49" i="11"/>
  <c r="AJ49" i="11"/>
  <c r="E217" i="13"/>
  <c r="G217" i="13" s="1"/>
  <c r="F217" i="13" s="1"/>
  <c r="G187" i="15"/>
  <c r="AO189" i="15"/>
  <c r="AN188" i="15"/>
  <c r="AM188" i="15" s="1"/>
  <c r="AL188" i="15" s="1"/>
  <c r="C188" i="15" s="1"/>
  <c r="D188" i="15" s="1"/>
  <c r="F188" i="15" s="1"/>
  <c r="E188" i="15" s="1"/>
  <c r="BB189" i="15" s="1"/>
  <c r="E133" i="6"/>
  <c r="B133" i="6"/>
  <c r="A134" i="6"/>
  <c r="W367" i="13"/>
  <c r="X366" i="13"/>
  <c r="Y366" i="13" s="1"/>
  <c r="Z366" i="13" s="1"/>
  <c r="AA366" i="13" s="1"/>
  <c r="AD151" i="11"/>
  <c r="AA152" i="11"/>
  <c r="X131" i="6"/>
  <c r="Y131" i="6" s="1"/>
  <c r="Z131" i="6" s="1"/>
  <c r="W132" i="6"/>
  <c r="AA130" i="3"/>
  <c r="AD129" i="3"/>
  <c r="V173" i="6"/>
  <c r="C50" i="11" l="1"/>
  <c r="D50" i="11" s="1"/>
  <c r="F50" i="11" s="1"/>
  <c r="E218" i="13"/>
  <c r="G218" i="13" s="1"/>
  <c r="F218" i="13" s="1"/>
  <c r="G188" i="15"/>
  <c r="AN189" i="15"/>
  <c r="AM189" i="15" s="1"/>
  <c r="AL189" i="15" s="1"/>
  <c r="C189" i="15" s="1"/>
  <c r="D189" i="15" s="1"/>
  <c r="F189" i="15" s="1"/>
  <c r="E189" i="15" s="1"/>
  <c r="BB190" i="15" s="1"/>
  <c r="AP191" i="15"/>
  <c r="E134" i="6"/>
  <c r="A135" i="6"/>
  <c r="B134" i="6"/>
  <c r="W368" i="13"/>
  <c r="X367" i="13"/>
  <c r="Y367" i="13" s="1"/>
  <c r="Z367" i="13" s="1"/>
  <c r="AA367" i="13" s="1"/>
  <c r="AA153" i="11"/>
  <c r="AD152" i="11"/>
  <c r="W133" i="6"/>
  <c r="X132" i="6"/>
  <c r="Y132" i="6" s="1"/>
  <c r="Z132" i="6" s="1"/>
  <c r="AA131" i="3"/>
  <c r="AD130" i="3"/>
  <c r="V174" i="6"/>
  <c r="AK50" i="11" l="1"/>
  <c r="E50" i="11"/>
  <c r="AJ50" i="11"/>
  <c r="E219" i="13"/>
  <c r="G219" i="13" s="1"/>
  <c r="F219" i="13" s="1"/>
  <c r="G189" i="15"/>
  <c r="AO191" i="15"/>
  <c r="AN190" i="15"/>
  <c r="AM190" i="15" s="1"/>
  <c r="AL190" i="15" s="1"/>
  <c r="C190" i="15" s="1"/>
  <c r="D190" i="15" s="1"/>
  <c r="F190" i="15" s="1"/>
  <c r="E190" i="15" s="1"/>
  <c r="BB191" i="15" s="1"/>
  <c r="E135" i="6"/>
  <c r="A136" i="6"/>
  <c r="B135" i="6"/>
  <c r="W369" i="13"/>
  <c r="X368" i="13"/>
  <c r="Y368" i="13" s="1"/>
  <c r="Z368" i="13" s="1"/>
  <c r="AA368" i="13" s="1"/>
  <c r="AD153" i="11"/>
  <c r="AA154" i="11"/>
  <c r="X133" i="6"/>
  <c r="Y133" i="6" s="1"/>
  <c r="Z133" i="6" s="1"/>
  <c r="W134" i="6"/>
  <c r="AA132" i="3"/>
  <c r="AD131" i="3"/>
  <c r="V175" i="6"/>
  <c r="C51" i="11" l="1"/>
  <c r="D51" i="11" s="1"/>
  <c r="F51" i="11" s="1"/>
  <c r="E220" i="13"/>
  <c r="G220" i="13" s="1"/>
  <c r="F220" i="13" s="1"/>
  <c r="G190" i="15"/>
  <c r="AN191" i="15"/>
  <c r="AM191" i="15" s="1"/>
  <c r="AL191" i="15" s="1"/>
  <c r="C191" i="15" s="1"/>
  <c r="D191" i="15" s="1"/>
  <c r="F191" i="15" s="1"/>
  <c r="E191" i="15" s="1"/>
  <c r="BB192" i="15" s="1"/>
  <c r="E136" i="6"/>
  <c r="B136" i="6"/>
  <c r="A137" i="6"/>
  <c r="W370" i="13"/>
  <c r="X369" i="13"/>
  <c r="Y369" i="13" s="1"/>
  <c r="Z369" i="13" s="1"/>
  <c r="AA369" i="13" s="1"/>
  <c r="AA155" i="11"/>
  <c r="AD154" i="11"/>
  <c r="X134" i="6"/>
  <c r="Y134" i="6" s="1"/>
  <c r="Z134" i="6" s="1"/>
  <c r="W135" i="6"/>
  <c r="AA133" i="3"/>
  <c r="AD132" i="3"/>
  <c r="V176" i="6"/>
  <c r="AK51" i="11" l="1"/>
  <c r="E51" i="11"/>
  <c r="AJ51" i="11"/>
  <c r="E221" i="13"/>
  <c r="G221" i="13" s="1"/>
  <c r="F221" i="13" s="1"/>
  <c r="G191" i="15"/>
  <c r="AQ197" i="15"/>
  <c r="AN192" i="15"/>
  <c r="AM192" i="15" s="1"/>
  <c r="AL192" i="15" s="1"/>
  <c r="C192" i="15" s="1"/>
  <c r="D192" i="15" s="1"/>
  <c r="F192" i="15" s="1"/>
  <c r="E192" i="15" s="1"/>
  <c r="BB193" i="15" s="1"/>
  <c r="AP194" i="15"/>
  <c r="AR203" i="15"/>
  <c r="AO193" i="15"/>
  <c r="E137" i="6"/>
  <c r="B137" i="6"/>
  <c r="A138" i="6"/>
  <c r="W371" i="13"/>
  <c r="X370" i="13"/>
  <c r="Y370" i="13" s="1"/>
  <c r="Z370" i="13" s="1"/>
  <c r="AA370" i="13" s="1"/>
  <c r="AD155" i="11"/>
  <c r="AA156" i="11"/>
  <c r="W136" i="6"/>
  <c r="X135" i="6"/>
  <c r="Y135" i="6" s="1"/>
  <c r="Z135" i="6" s="1"/>
  <c r="AA134" i="3"/>
  <c r="AD133" i="3"/>
  <c r="V177" i="6"/>
  <c r="C52" i="11" l="1"/>
  <c r="D52" i="11" s="1"/>
  <c r="F52" i="11" s="1"/>
  <c r="E222" i="13"/>
  <c r="G222" i="13" s="1"/>
  <c r="F222" i="13" s="1"/>
  <c r="G192" i="15"/>
  <c r="AN193" i="15"/>
  <c r="AM193" i="15" s="1"/>
  <c r="AL193" i="15" s="1"/>
  <c r="C193" i="15" s="1"/>
  <c r="D193" i="15" s="1"/>
  <c r="F193" i="15" s="1"/>
  <c r="E193" i="15" s="1"/>
  <c r="BB194" i="15" s="1"/>
  <c r="E138" i="6"/>
  <c r="A139" i="6"/>
  <c r="B138" i="6"/>
  <c r="X371" i="13"/>
  <c r="Y371" i="13" s="1"/>
  <c r="Z371" i="13" s="1"/>
  <c r="AA371" i="13" s="1"/>
  <c r="W372" i="13"/>
  <c r="AA157" i="11"/>
  <c r="AD156" i="11"/>
  <c r="W137" i="6"/>
  <c r="X136" i="6"/>
  <c r="Y136" i="6" s="1"/>
  <c r="Z136" i="6" s="1"/>
  <c r="AA135" i="3"/>
  <c r="AD134" i="3"/>
  <c r="V178" i="6"/>
  <c r="AK52" i="11" l="1"/>
  <c r="E52" i="11"/>
  <c r="AJ52" i="11"/>
  <c r="E223" i="13"/>
  <c r="G223" i="13" s="1"/>
  <c r="F223" i="13" s="1"/>
  <c r="G193" i="15"/>
  <c r="AN194" i="15"/>
  <c r="AM194" i="15" s="1"/>
  <c r="AL194" i="15" s="1"/>
  <c r="C194" i="15" s="1"/>
  <c r="D194" i="15" s="1"/>
  <c r="F194" i="15" s="1"/>
  <c r="E194" i="15" s="1"/>
  <c r="BB195" i="15" s="1"/>
  <c r="AO195" i="15"/>
  <c r="E139" i="6"/>
  <c r="B139" i="6"/>
  <c r="A140" i="6"/>
  <c r="X372" i="13"/>
  <c r="Y372" i="13" s="1"/>
  <c r="Z372" i="13" s="1"/>
  <c r="AA372" i="13" s="1"/>
  <c r="W373" i="13"/>
  <c r="AD157" i="11"/>
  <c r="AA158" i="11"/>
  <c r="X137" i="6"/>
  <c r="Y137" i="6" s="1"/>
  <c r="Z137" i="6" s="1"/>
  <c r="W138" i="6"/>
  <c r="AA136" i="3"/>
  <c r="AD135" i="3"/>
  <c r="V179" i="6"/>
  <c r="C53" i="11" l="1"/>
  <c r="D53" i="11" s="1"/>
  <c r="F53" i="11" s="1"/>
  <c r="E224" i="13"/>
  <c r="G224" i="13" s="1"/>
  <c r="F224" i="13" s="1"/>
  <c r="G194" i="15"/>
  <c r="AP197" i="15"/>
  <c r="AN195" i="15"/>
  <c r="AM195" i="15" s="1"/>
  <c r="AL195" i="15" s="1"/>
  <c r="C195" i="15" s="1"/>
  <c r="D195" i="15" s="1"/>
  <c r="F195" i="15" s="1"/>
  <c r="E195" i="15" s="1"/>
  <c r="BB196" i="15" s="1"/>
  <c r="E140" i="6"/>
  <c r="B140" i="6"/>
  <c r="A141" i="6"/>
  <c r="W374" i="13"/>
  <c r="X373" i="13"/>
  <c r="Y373" i="13" s="1"/>
  <c r="Z373" i="13" s="1"/>
  <c r="AA373" i="13" s="1"/>
  <c r="AA159" i="11"/>
  <c r="AD158" i="11"/>
  <c r="X138" i="6"/>
  <c r="Y138" i="6" s="1"/>
  <c r="Z138" i="6" s="1"/>
  <c r="W139" i="6"/>
  <c r="AA137" i="3"/>
  <c r="AD136" i="3"/>
  <c r="V180" i="6"/>
  <c r="AK53" i="11" l="1"/>
  <c r="E53" i="11"/>
  <c r="AJ53" i="11"/>
  <c r="E225" i="13"/>
  <c r="G225" i="13" s="1"/>
  <c r="F225" i="13" s="1"/>
  <c r="G195" i="15"/>
  <c r="AN196" i="15"/>
  <c r="AM196" i="15" s="1"/>
  <c r="AL196" i="15" s="1"/>
  <c r="C196" i="15" s="1"/>
  <c r="D196" i="15" s="1"/>
  <c r="F196" i="15" s="1"/>
  <c r="E196" i="15" s="1"/>
  <c r="BB197" i="15" s="1"/>
  <c r="AO197" i="15"/>
  <c r="E141" i="6"/>
  <c r="A142" i="6"/>
  <c r="B141" i="6"/>
  <c r="W375" i="13"/>
  <c r="X374" i="13"/>
  <c r="Y374" i="13" s="1"/>
  <c r="Z374" i="13" s="1"/>
  <c r="AA374" i="13" s="1"/>
  <c r="AD159" i="11"/>
  <c r="AA160" i="11"/>
  <c r="W140" i="6"/>
  <c r="X139" i="6"/>
  <c r="Y139" i="6" s="1"/>
  <c r="Z139" i="6" s="1"/>
  <c r="AA138" i="3"/>
  <c r="AD137" i="3"/>
  <c r="V181" i="6"/>
  <c r="C54" i="11" l="1"/>
  <c r="D54" i="11" s="1"/>
  <c r="F54" i="11" s="1"/>
  <c r="E226" i="13"/>
  <c r="G226" i="13" s="1"/>
  <c r="F226" i="13" s="1"/>
  <c r="G196" i="15"/>
  <c r="AN197" i="15"/>
  <c r="AM197" i="15" s="1"/>
  <c r="AL197" i="15" s="1"/>
  <c r="C197" i="15" s="1"/>
  <c r="D197" i="15" s="1"/>
  <c r="F197" i="15" s="1"/>
  <c r="E197" i="15" s="1"/>
  <c r="BB198" i="15" s="1"/>
  <c r="E142" i="6"/>
  <c r="A143" i="6"/>
  <c r="B142" i="6"/>
  <c r="W376" i="13"/>
  <c r="X375" i="13"/>
  <c r="Y375" i="13" s="1"/>
  <c r="Z375" i="13" s="1"/>
  <c r="AA375" i="13" s="1"/>
  <c r="AA161" i="11"/>
  <c r="AD160" i="11"/>
  <c r="W141" i="6"/>
  <c r="X140" i="6"/>
  <c r="Y140" i="6" s="1"/>
  <c r="Z140" i="6" s="1"/>
  <c r="AA139" i="3"/>
  <c r="AD138" i="3"/>
  <c r="V182" i="6"/>
  <c r="AK54" i="11" l="1"/>
  <c r="E54" i="11"/>
  <c r="AJ54" i="11"/>
  <c r="E227" i="13"/>
  <c r="G227" i="13" s="1"/>
  <c r="F227" i="13" s="1"/>
  <c r="G197" i="15"/>
  <c r="AQ203" i="15"/>
  <c r="AO199" i="15"/>
  <c r="AP200" i="15"/>
  <c r="AN198" i="15"/>
  <c r="AM198" i="15" s="1"/>
  <c r="AL198" i="15" s="1"/>
  <c r="C198" i="15" s="1"/>
  <c r="D198" i="15" s="1"/>
  <c r="F198" i="15" s="1"/>
  <c r="E198" i="15" s="1"/>
  <c r="BB199" i="15" s="1"/>
  <c r="E143" i="6"/>
  <c r="B143" i="6"/>
  <c r="A144" i="6"/>
  <c r="W377" i="13"/>
  <c r="X376" i="13"/>
  <c r="Y376" i="13" s="1"/>
  <c r="Z376" i="13" s="1"/>
  <c r="AA376" i="13" s="1"/>
  <c r="AD161" i="11"/>
  <c r="AA162" i="11"/>
  <c r="X141" i="6"/>
  <c r="Y141" i="6" s="1"/>
  <c r="Z141" i="6" s="1"/>
  <c r="W142" i="6"/>
  <c r="AA140" i="3"/>
  <c r="AD139" i="3"/>
  <c r="V183" i="6"/>
  <c r="C55" i="11" l="1"/>
  <c r="D55" i="11" s="1"/>
  <c r="F55" i="11" s="1"/>
  <c r="E228" i="13"/>
  <c r="G228" i="13" s="1"/>
  <c r="F228" i="13" s="1"/>
  <c r="G198" i="15"/>
  <c r="AN199" i="15"/>
  <c r="AM199" i="15" s="1"/>
  <c r="AL199" i="15" s="1"/>
  <c r="C199" i="15" s="1"/>
  <c r="D199" i="15" s="1"/>
  <c r="F199" i="15" s="1"/>
  <c r="E199" i="15" s="1"/>
  <c r="BB200" i="15" s="1"/>
  <c r="E144" i="6"/>
  <c r="B144" i="6"/>
  <c r="A145" i="6"/>
  <c r="W378" i="13"/>
  <c r="X377" i="13"/>
  <c r="Y377" i="13" s="1"/>
  <c r="Z377" i="13" s="1"/>
  <c r="AA377" i="13" s="1"/>
  <c r="AA163" i="11"/>
  <c r="AD162" i="11"/>
  <c r="W143" i="6"/>
  <c r="X142" i="6"/>
  <c r="Y142" i="6" s="1"/>
  <c r="Z142" i="6" s="1"/>
  <c r="AA141" i="3"/>
  <c r="AD140" i="3"/>
  <c r="V184" i="6"/>
  <c r="AK55" i="11" l="1"/>
  <c r="E55" i="11"/>
  <c r="AJ55" i="11"/>
  <c r="E229" i="13"/>
  <c r="G229" i="13" s="1"/>
  <c r="F229" i="13" s="1"/>
  <c r="G199" i="15"/>
  <c r="AO201" i="15"/>
  <c r="AN200" i="15"/>
  <c r="AM200" i="15" s="1"/>
  <c r="AL200" i="15" s="1"/>
  <c r="C200" i="15" s="1"/>
  <c r="E145" i="6"/>
  <c r="A146" i="6"/>
  <c r="B145" i="6"/>
  <c r="W379" i="13"/>
  <c r="X378" i="13"/>
  <c r="Y378" i="13" s="1"/>
  <c r="Z378" i="13" s="1"/>
  <c r="AA378" i="13" s="1"/>
  <c r="AD163" i="11"/>
  <c r="AA164" i="11"/>
  <c r="X143" i="6"/>
  <c r="Y143" i="6" s="1"/>
  <c r="Z143" i="6" s="1"/>
  <c r="W144" i="6"/>
  <c r="AA142" i="3"/>
  <c r="AD141" i="3"/>
  <c r="V185" i="6"/>
  <c r="C56" i="11" l="1"/>
  <c r="D56" i="11" s="1"/>
  <c r="F56" i="11" s="1"/>
  <c r="E230" i="13"/>
  <c r="G230" i="13" s="1"/>
  <c r="F230" i="13" s="1"/>
  <c r="D200" i="15"/>
  <c r="E146" i="6"/>
  <c r="B146" i="6"/>
  <c r="A147" i="6"/>
  <c r="X379" i="13"/>
  <c r="Y379" i="13" s="1"/>
  <c r="Z379" i="13" s="1"/>
  <c r="AA379" i="13" s="1"/>
  <c r="W380" i="13"/>
  <c r="AA165" i="11"/>
  <c r="AD164" i="11"/>
  <c r="W145" i="6"/>
  <c r="X144" i="6"/>
  <c r="Y144" i="6" s="1"/>
  <c r="Z144" i="6" s="1"/>
  <c r="AA143" i="3"/>
  <c r="AD142" i="3"/>
  <c r="V186" i="6"/>
  <c r="AK56" i="11" l="1"/>
  <c r="E56" i="11"/>
  <c r="AJ56" i="11"/>
  <c r="E231" i="13"/>
  <c r="G231" i="13" s="1"/>
  <c r="F231" i="13" s="1"/>
  <c r="F200" i="15"/>
  <c r="E147" i="6"/>
  <c r="B147" i="6"/>
  <c r="A148" i="6"/>
  <c r="X380" i="13"/>
  <c r="Y380" i="13" s="1"/>
  <c r="Z380" i="13" s="1"/>
  <c r="AA380" i="13" s="1"/>
  <c r="W381" i="13"/>
  <c r="AD165" i="11"/>
  <c r="AA166" i="11"/>
  <c r="W146" i="6"/>
  <c r="X145" i="6"/>
  <c r="Y145" i="6" s="1"/>
  <c r="Z145" i="6" s="1"/>
  <c r="AA144" i="3"/>
  <c r="AD143" i="3"/>
  <c r="V187" i="6"/>
  <c r="C57" i="11" l="1"/>
  <c r="D57" i="11" s="1"/>
  <c r="F57" i="11" s="1"/>
  <c r="E232" i="13"/>
  <c r="G232" i="13" s="1"/>
  <c r="F232" i="13" s="1"/>
  <c r="E200" i="15"/>
  <c r="BB201" i="15" s="1"/>
  <c r="E148" i="6"/>
  <c r="A149" i="6"/>
  <c r="B148" i="6"/>
  <c r="W382" i="13"/>
  <c r="X381" i="13"/>
  <c r="Y381" i="13" s="1"/>
  <c r="Z381" i="13" s="1"/>
  <c r="AA381" i="13" s="1"/>
  <c r="AA167" i="11"/>
  <c r="AD166" i="11"/>
  <c r="W147" i="6"/>
  <c r="X146" i="6"/>
  <c r="Y146" i="6" s="1"/>
  <c r="Z146" i="6" s="1"/>
  <c r="AA145" i="3"/>
  <c r="AD144" i="3"/>
  <c r="V188" i="6"/>
  <c r="AK57" i="11" l="1"/>
  <c r="E57" i="11"/>
  <c r="AJ57" i="11"/>
  <c r="E233" i="13"/>
  <c r="G233" i="13" s="1"/>
  <c r="F233" i="13" s="1"/>
  <c r="G200" i="15"/>
  <c r="AP203" i="15"/>
  <c r="AN201" i="15"/>
  <c r="AM201" i="15" s="1"/>
  <c r="AL201" i="15" s="1"/>
  <c r="C201" i="15" s="1"/>
  <c r="E149" i="6"/>
  <c r="A150" i="6"/>
  <c r="B149" i="6"/>
  <c r="W383" i="13"/>
  <c r="X382" i="13"/>
  <c r="Y382" i="13" s="1"/>
  <c r="Z382" i="13" s="1"/>
  <c r="AA382" i="13" s="1"/>
  <c r="AD167" i="11"/>
  <c r="AA168" i="11"/>
  <c r="W148" i="6"/>
  <c r="X147" i="6"/>
  <c r="Y147" i="6" s="1"/>
  <c r="Z147" i="6" s="1"/>
  <c r="AA146" i="3"/>
  <c r="AD145" i="3"/>
  <c r="V189" i="6"/>
  <c r="C58" i="11" l="1"/>
  <c r="D58" i="11" s="1"/>
  <c r="F58" i="11" s="1"/>
  <c r="E234" i="13"/>
  <c r="G234" i="13" s="1"/>
  <c r="F234" i="13" s="1"/>
  <c r="D201" i="15"/>
  <c r="E150" i="6"/>
  <c r="B150" i="6"/>
  <c r="A151" i="6"/>
  <c r="W384" i="13"/>
  <c r="X383" i="13"/>
  <c r="Y383" i="13" s="1"/>
  <c r="Z383" i="13" s="1"/>
  <c r="AA383" i="13" s="1"/>
  <c r="AA169" i="11"/>
  <c r="AD168" i="11"/>
  <c r="W149" i="6"/>
  <c r="X148" i="6"/>
  <c r="Y148" i="6" s="1"/>
  <c r="Z148" i="6" s="1"/>
  <c r="AA147" i="3"/>
  <c r="AD146" i="3"/>
  <c r="V190" i="6"/>
  <c r="AK58" i="11" l="1"/>
  <c r="E58" i="11"/>
  <c r="AJ58" i="11"/>
  <c r="E235" i="13"/>
  <c r="G235" i="13" s="1"/>
  <c r="F235" i="13" s="1"/>
  <c r="F201" i="15"/>
  <c r="E151" i="6"/>
  <c r="B151" i="6"/>
  <c r="A152" i="6"/>
  <c r="W385" i="13"/>
  <c r="X384" i="13"/>
  <c r="Y384" i="13" s="1"/>
  <c r="Z384" i="13" s="1"/>
  <c r="AA384" i="13" s="1"/>
  <c r="AD169" i="11"/>
  <c r="AA170" i="11"/>
  <c r="W150" i="6"/>
  <c r="X149" i="6"/>
  <c r="Y149" i="6" s="1"/>
  <c r="Z149" i="6" s="1"/>
  <c r="AA148" i="3"/>
  <c r="AD147" i="3"/>
  <c r="V191" i="6"/>
  <c r="C59" i="11" l="1"/>
  <c r="D59" i="11" s="1"/>
  <c r="F59" i="11" s="1"/>
  <c r="E236" i="13"/>
  <c r="G236" i="13" s="1"/>
  <c r="F236" i="13" s="1"/>
  <c r="E201" i="15"/>
  <c r="BB202" i="15" s="1"/>
  <c r="E152" i="6"/>
  <c r="B152" i="6"/>
  <c r="A153" i="6"/>
  <c r="W386" i="13"/>
  <c r="X385" i="13"/>
  <c r="Y385" i="13" s="1"/>
  <c r="Z385" i="13" s="1"/>
  <c r="AA385" i="13" s="1"/>
  <c r="AA171" i="11"/>
  <c r="AD170" i="11"/>
  <c r="W151" i="6"/>
  <c r="X150" i="6"/>
  <c r="Y150" i="6" s="1"/>
  <c r="Z150" i="6" s="1"/>
  <c r="AA149" i="3"/>
  <c r="AD148" i="3"/>
  <c r="V192" i="6"/>
  <c r="AK59" i="11" l="1"/>
  <c r="E59" i="11"/>
  <c r="AJ59" i="11"/>
  <c r="E237" i="13"/>
  <c r="G237" i="13" s="1"/>
  <c r="F237" i="13" s="1"/>
  <c r="G201" i="15"/>
  <c r="AN202" i="15"/>
  <c r="AM202" i="15" s="1"/>
  <c r="AL202" i="15" s="1"/>
  <c r="C202" i="15" s="1"/>
  <c r="AO203" i="15"/>
  <c r="E153" i="6"/>
  <c r="A154" i="6"/>
  <c r="B153" i="6"/>
  <c r="W387" i="13"/>
  <c r="X386" i="13"/>
  <c r="Y386" i="13" s="1"/>
  <c r="Z386" i="13" s="1"/>
  <c r="AA386" i="13" s="1"/>
  <c r="AD171" i="11"/>
  <c r="AA172" i="11"/>
  <c r="W152" i="6"/>
  <c r="X151" i="6"/>
  <c r="Y151" i="6" s="1"/>
  <c r="Z151" i="6" s="1"/>
  <c r="AA150" i="3"/>
  <c r="AD149" i="3"/>
  <c r="V193" i="6"/>
  <c r="C60" i="11" l="1"/>
  <c r="D60" i="11" s="1"/>
  <c r="F60" i="11" s="1"/>
  <c r="E238" i="13"/>
  <c r="G238" i="13" s="1"/>
  <c r="F238" i="13" s="1"/>
  <c r="D202" i="15"/>
  <c r="E154" i="6"/>
  <c r="A155" i="6"/>
  <c r="B154" i="6"/>
  <c r="X387" i="13"/>
  <c r="Y387" i="13" s="1"/>
  <c r="Z387" i="13" s="1"/>
  <c r="AA387" i="13" s="1"/>
  <c r="W388" i="13"/>
  <c r="AA173" i="11"/>
  <c r="AD172" i="11"/>
  <c r="W153" i="6"/>
  <c r="X152" i="6"/>
  <c r="Y152" i="6" s="1"/>
  <c r="Z152" i="6" s="1"/>
  <c r="AA151" i="3"/>
  <c r="AD150" i="3"/>
  <c r="V194" i="6"/>
  <c r="AK60" i="11" l="1"/>
  <c r="E60" i="11"/>
  <c r="AJ60" i="11"/>
  <c r="E239" i="13"/>
  <c r="G239" i="13" s="1"/>
  <c r="F239" i="13" s="1"/>
  <c r="F202" i="15"/>
  <c r="E155" i="6"/>
  <c r="B155" i="6"/>
  <c r="A156" i="6"/>
  <c r="X388" i="13"/>
  <c r="Y388" i="13" s="1"/>
  <c r="Z388" i="13" s="1"/>
  <c r="AA388" i="13" s="1"/>
  <c r="W389" i="13"/>
  <c r="AD173" i="11"/>
  <c r="AA174" i="11"/>
  <c r="W154" i="6"/>
  <c r="X153" i="6"/>
  <c r="Y153" i="6" s="1"/>
  <c r="Z153" i="6" s="1"/>
  <c r="AA152" i="3"/>
  <c r="AD151" i="3"/>
  <c r="V195" i="6"/>
  <c r="C61" i="11" l="1"/>
  <c r="D61" i="11" s="1"/>
  <c r="F61" i="11" s="1"/>
  <c r="E240" i="13"/>
  <c r="G240" i="13" s="1"/>
  <c r="F240" i="13" s="1"/>
  <c r="E202" i="15"/>
  <c r="BB203" i="15" s="1"/>
  <c r="BB23" i="15" s="1"/>
  <c r="BC17" i="15" s="1"/>
  <c r="E156" i="6"/>
  <c r="B156" i="6"/>
  <c r="A157" i="6"/>
  <c r="W390" i="13"/>
  <c r="X389" i="13"/>
  <c r="Y389" i="13" s="1"/>
  <c r="Z389" i="13" s="1"/>
  <c r="AA389" i="13" s="1"/>
  <c r="AA175" i="11"/>
  <c r="AD174" i="11"/>
  <c r="X154" i="6"/>
  <c r="Y154" i="6" s="1"/>
  <c r="Z154" i="6" s="1"/>
  <c r="W155" i="6"/>
  <c r="AA153" i="3"/>
  <c r="AD152" i="3"/>
  <c r="V196" i="6"/>
  <c r="BC18" i="15" l="1"/>
  <c r="BD16" i="15" s="1"/>
  <c r="AK61" i="11"/>
  <c r="E61" i="11"/>
  <c r="AJ61" i="11"/>
  <c r="E241" i="13"/>
  <c r="G241" i="13" s="1"/>
  <c r="G202" i="15"/>
  <c r="AN203" i="15"/>
  <c r="AM203" i="15" s="1"/>
  <c r="AL203" i="15" s="1"/>
  <c r="C203" i="15" s="1"/>
  <c r="E157" i="6"/>
  <c r="A158" i="6"/>
  <c r="B157" i="6"/>
  <c r="W391" i="13"/>
  <c r="X390" i="13"/>
  <c r="Y390" i="13" s="1"/>
  <c r="Z390" i="13" s="1"/>
  <c r="AA390" i="13" s="1"/>
  <c r="AD175" i="11"/>
  <c r="AA176" i="11"/>
  <c r="W156" i="6"/>
  <c r="X155" i="6"/>
  <c r="Y155" i="6" s="1"/>
  <c r="Z155" i="6" s="1"/>
  <c r="AA154" i="3"/>
  <c r="AD153" i="3"/>
  <c r="V197" i="6"/>
  <c r="BD17" i="15" l="1"/>
  <c r="C62" i="11"/>
  <c r="D62" i="11" s="1"/>
  <c r="F62" i="11" s="1"/>
  <c r="F241" i="13"/>
  <c r="I20" i="13"/>
  <c r="B19" i="13"/>
  <c r="E242" i="13"/>
  <c r="D203" i="15"/>
  <c r="C22" i="15"/>
  <c r="E158" i="6"/>
  <c r="A159" i="6"/>
  <c r="B158" i="6"/>
  <c r="W392" i="13"/>
  <c r="X391" i="13"/>
  <c r="Y391" i="13" s="1"/>
  <c r="Z391" i="13" s="1"/>
  <c r="AA391" i="13" s="1"/>
  <c r="AA177" i="11"/>
  <c r="AD176" i="11"/>
  <c r="W157" i="6"/>
  <c r="X156" i="6"/>
  <c r="Y156" i="6" s="1"/>
  <c r="Z156" i="6" s="1"/>
  <c r="AA155" i="3"/>
  <c r="AD154" i="3"/>
  <c r="V198" i="6"/>
  <c r="AK62" i="11" l="1"/>
  <c r="E62" i="11"/>
  <c r="AJ62" i="11"/>
  <c r="G242" i="13"/>
  <c r="E22" i="13"/>
  <c r="E243" i="13"/>
  <c r="G243" i="13" s="1"/>
  <c r="F243" i="13" s="1"/>
  <c r="F203" i="15"/>
  <c r="D22" i="15"/>
  <c r="E159" i="6"/>
  <c r="B159" i="6"/>
  <c r="A160" i="6"/>
  <c r="W393" i="13"/>
  <c r="X392" i="13"/>
  <c r="Y392" i="13" s="1"/>
  <c r="Z392" i="13" s="1"/>
  <c r="AA392" i="13" s="1"/>
  <c r="AD177" i="11"/>
  <c r="AA178" i="11"/>
  <c r="X157" i="6"/>
  <c r="Y157" i="6" s="1"/>
  <c r="Z157" i="6" s="1"/>
  <c r="W158" i="6"/>
  <c r="AA156" i="3"/>
  <c r="AD155" i="3"/>
  <c r="V199" i="6"/>
  <c r="C63" i="11" l="1"/>
  <c r="D63" i="11" s="1"/>
  <c r="F63" i="11" s="1"/>
  <c r="F242" i="13"/>
  <c r="G22" i="13"/>
  <c r="E244" i="13"/>
  <c r="G244" i="13" s="1"/>
  <c r="F244" i="13" s="1"/>
  <c r="E203" i="15"/>
  <c r="F22" i="15"/>
  <c r="E160" i="6"/>
  <c r="B160" i="6"/>
  <c r="A161" i="6"/>
  <c r="W394" i="13"/>
  <c r="X393" i="13"/>
  <c r="Y393" i="13" s="1"/>
  <c r="Z393" i="13" s="1"/>
  <c r="AA393" i="13" s="1"/>
  <c r="AA179" i="11"/>
  <c r="AD178" i="11"/>
  <c r="X158" i="6"/>
  <c r="Y158" i="6" s="1"/>
  <c r="Z158" i="6" s="1"/>
  <c r="W159" i="6"/>
  <c r="AA157" i="3"/>
  <c r="AD156" i="3"/>
  <c r="V200" i="6"/>
  <c r="AK63" i="11" l="1"/>
  <c r="E63" i="11"/>
  <c r="AJ63" i="11"/>
  <c r="E245" i="13"/>
  <c r="G245" i="13" s="1"/>
  <c r="F245" i="13" s="1"/>
  <c r="G203" i="15"/>
  <c r="AR215" i="15"/>
  <c r="AO205" i="15"/>
  <c r="AM205" i="15" s="1"/>
  <c r="AL205" i="15" s="1"/>
  <c r="AP206" i="15"/>
  <c r="AM206" i="15" s="1"/>
  <c r="AL206" i="15" s="1"/>
  <c r="AN204" i="15"/>
  <c r="AM204" i="15" s="1"/>
  <c r="AL204" i="15" s="1"/>
  <c r="AQ209" i="15"/>
  <c r="E161" i="6"/>
  <c r="A162" i="6"/>
  <c r="B161" i="6"/>
  <c r="W395" i="13"/>
  <c r="X394" i="13"/>
  <c r="Y394" i="13" s="1"/>
  <c r="Z394" i="13" s="1"/>
  <c r="AA394" i="13" s="1"/>
  <c r="AA180" i="11"/>
  <c r="AD179" i="11"/>
  <c r="W160" i="6"/>
  <c r="X159" i="6"/>
  <c r="Y159" i="6" s="1"/>
  <c r="Z159" i="6" s="1"/>
  <c r="AA158" i="3"/>
  <c r="AD157" i="3"/>
  <c r="V201" i="6"/>
  <c r="C64" i="11" l="1"/>
  <c r="D64" i="11" s="1"/>
  <c r="F64" i="11" s="1"/>
  <c r="E246" i="13"/>
  <c r="G246" i="13" s="1"/>
  <c r="F246" i="13" s="1"/>
  <c r="G22" i="15"/>
  <c r="B19" i="15"/>
  <c r="E162" i="6"/>
  <c r="A163" i="6"/>
  <c r="B162" i="6"/>
  <c r="X395" i="13"/>
  <c r="Y395" i="13" s="1"/>
  <c r="Z395" i="13" s="1"/>
  <c r="AA395" i="13" s="1"/>
  <c r="W396" i="13"/>
  <c r="AA181" i="11"/>
  <c r="AD180" i="11"/>
  <c r="W161" i="6"/>
  <c r="X160" i="6"/>
  <c r="Y160" i="6" s="1"/>
  <c r="Z160" i="6" s="1"/>
  <c r="AA159" i="3"/>
  <c r="AD158" i="3"/>
  <c r="V202" i="6"/>
  <c r="AK64" i="11" l="1"/>
  <c r="E64" i="11"/>
  <c r="AJ64" i="11"/>
  <c r="E247" i="13"/>
  <c r="G247" i="13" s="1"/>
  <c r="F247" i="13" s="1"/>
  <c r="E163" i="6"/>
  <c r="B163" i="6"/>
  <c r="A164" i="6"/>
  <c r="W397" i="13"/>
  <c r="X396" i="13"/>
  <c r="Y396" i="13" s="1"/>
  <c r="Z396" i="13" s="1"/>
  <c r="AA396" i="13" s="1"/>
  <c r="AA182" i="11"/>
  <c r="AD181" i="11"/>
  <c r="W162" i="6"/>
  <c r="X161" i="6"/>
  <c r="Y161" i="6" s="1"/>
  <c r="Z161" i="6" s="1"/>
  <c r="AA160" i="3"/>
  <c r="AD159" i="3"/>
  <c r="V203" i="6"/>
  <c r="C65" i="11" l="1"/>
  <c r="D65" i="11" s="1"/>
  <c r="F65" i="11" s="1"/>
  <c r="E248" i="13"/>
  <c r="G248" i="13" s="1"/>
  <c r="F248" i="13" s="1"/>
  <c r="E164" i="6"/>
  <c r="B164" i="6"/>
  <c r="A165" i="6"/>
  <c r="W398" i="13"/>
  <c r="X397" i="13"/>
  <c r="Y397" i="13" s="1"/>
  <c r="Z397" i="13" s="1"/>
  <c r="AA397" i="13" s="1"/>
  <c r="AD182" i="11"/>
  <c r="AA183" i="11"/>
  <c r="W163" i="6"/>
  <c r="X162" i="6"/>
  <c r="Y162" i="6" s="1"/>
  <c r="Z162" i="6" s="1"/>
  <c r="AA161" i="3"/>
  <c r="AD160" i="3"/>
  <c r="V204" i="6"/>
  <c r="AK65" i="11" l="1"/>
  <c r="E65" i="11"/>
  <c r="AJ65" i="11"/>
  <c r="E249" i="13"/>
  <c r="G249" i="13" s="1"/>
  <c r="F249" i="13" s="1"/>
  <c r="E165" i="6"/>
  <c r="A166" i="6"/>
  <c r="B165" i="6"/>
  <c r="W399" i="13"/>
  <c r="X398" i="13"/>
  <c r="Y398" i="13" s="1"/>
  <c r="Z398" i="13" s="1"/>
  <c r="AA398" i="13" s="1"/>
  <c r="AA184" i="11"/>
  <c r="AD183" i="11"/>
  <c r="W164" i="6"/>
  <c r="X163" i="6"/>
  <c r="Y163" i="6" s="1"/>
  <c r="Z163" i="6" s="1"/>
  <c r="AA162" i="3"/>
  <c r="AD161" i="3"/>
  <c r="V205" i="6"/>
  <c r="C66" i="11" l="1"/>
  <c r="D66" i="11" s="1"/>
  <c r="F66" i="11" s="1"/>
  <c r="E250" i="13"/>
  <c r="G250" i="13" s="1"/>
  <c r="F250" i="13" s="1"/>
  <c r="E166" i="6"/>
  <c r="A167" i="6"/>
  <c r="B166" i="6"/>
  <c r="W400" i="13"/>
  <c r="X399" i="13"/>
  <c r="Y399" i="13" s="1"/>
  <c r="Z399" i="13" s="1"/>
  <c r="AA399" i="13" s="1"/>
  <c r="AD184" i="11"/>
  <c r="AA185" i="11"/>
  <c r="W165" i="6"/>
  <c r="X164" i="6"/>
  <c r="Y164" i="6" s="1"/>
  <c r="Z164" i="6" s="1"/>
  <c r="AA163" i="3"/>
  <c r="AD162" i="3"/>
  <c r="V206" i="6"/>
  <c r="AK66" i="11" l="1"/>
  <c r="E66" i="11"/>
  <c r="AJ66" i="11"/>
  <c r="E251" i="13"/>
  <c r="G251" i="13" s="1"/>
  <c r="F251" i="13" s="1"/>
  <c r="E167" i="6"/>
  <c r="B167" i="6"/>
  <c r="A168" i="6"/>
  <c r="X400" i="13"/>
  <c r="Y400" i="13" s="1"/>
  <c r="Z400" i="13" s="1"/>
  <c r="AA400" i="13" s="1"/>
  <c r="W401" i="13"/>
  <c r="AA186" i="11"/>
  <c r="AD185" i="11"/>
  <c r="W166" i="6"/>
  <c r="X165" i="6"/>
  <c r="Y165" i="6" s="1"/>
  <c r="Z165" i="6" s="1"/>
  <c r="AA164" i="3"/>
  <c r="AD163" i="3"/>
  <c r="V207" i="6"/>
  <c r="C67" i="11" l="1"/>
  <c r="D67" i="11" s="1"/>
  <c r="F67" i="11" s="1"/>
  <c r="E252" i="13"/>
  <c r="G252" i="13" s="1"/>
  <c r="F252" i="13" s="1"/>
  <c r="E168" i="6"/>
  <c r="B168" i="6"/>
  <c r="A169" i="6"/>
  <c r="W402" i="13"/>
  <c r="X401" i="13"/>
  <c r="Y401" i="13" s="1"/>
  <c r="Z401" i="13" s="1"/>
  <c r="AA401" i="13" s="1"/>
  <c r="AD186" i="11"/>
  <c r="AA187" i="11"/>
  <c r="W167" i="6"/>
  <c r="X166" i="6"/>
  <c r="Y166" i="6" s="1"/>
  <c r="Z166" i="6" s="1"/>
  <c r="AA165" i="3"/>
  <c r="AD164" i="3"/>
  <c r="V208" i="6"/>
  <c r="AK67" i="11" l="1"/>
  <c r="E67" i="11"/>
  <c r="AJ67" i="11"/>
  <c r="E253" i="13"/>
  <c r="G253" i="13" s="1"/>
  <c r="F253" i="13" s="1"/>
  <c r="E169" i="6"/>
  <c r="A170" i="6"/>
  <c r="B169" i="6"/>
  <c r="W403" i="13"/>
  <c r="X402" i="13"/>
  <c r="Y402" i="13" s="1"/>
  <c r="Z402" i="13" s="1"/>
  <c r="AA402" i="13" s="1"/>
  <c r="AA188" i="11"/>
  <c r="AD187" i="11"/>
  <c r="W168" i="6"/>
  <c r="X167" i="6"/>
  <c r="Y167" i="6" s="1"/>
  <c r="Z167" i="6" s="1"/>
  <c r="AA166" i="3"/>
  <c r="AD165" i="3"/>
  <c r="V209" i="6"/>
  <c r="C68" i="11" l="1"/>
  <c r="D68" i="11" s="1"/>
  <c r="F68" i="11" s="1"/>
  <c r="E254" i="13"/>
  <c r="G254" i="13" s="1"/>
  <c r="F254" i="13" s="1"/>
  <c r="E170" i="6"/>
  <c r="A171" i="6"/>
  <c r="B170" i="6"/>
  <c r="W404" i="13"/>
  <c r="X403" i="13"/>
  <c r="Y403" i="13" s="1"/>
  <c r="Z403" i="13" s="1"/>
  <c r="AA403" i="13" s="1"/>
  <c r="AA189" i="11"/>
  <c r="AD188" i="11"/>
  <c r="W169" i="6"/>
  <c r="X168" i="6"/>
  <c r="Y168" i="6" s="1"/>
  <c r="Z168" i="6" s="1"/>
  <c r="AA167" i="3"/>
  <c r="AD166" i="3"/>
  <c r="V210" i="6"/>
  <c r="AK68" i="11" l="1"/>
  <c r="E68" i="11"/>
  <c r="AJ68" i="11"/>
  <c r="E255" i="13"/>
  <c r="G255" i="13" s="1"/>
  <c r="F255" i="13" s="1"/>
  <c r="E171" i="6"/>
  <c r="B171" i="6"/>
  <c r="A172" i="6"/>
  <c r="W405" i="13"/>
  <c r="X404" i="13"/>
  <c r="Y404" i="13" s="1"/>
  <c r="Z404" i="13" s="1"/>
  <c r="AA404" i="13" s="1"/>
  <c r="AA190" i="11"/>
  <c r="AD189" i="11"/>
  <c r="W170" i="6"/>
  <c r="X169" i="6"/>
  <c r="Y169" i="6" s="1"/>
  <c r="Z169" i="6" s="1"/>
  <c r="AA168" i="3"/>
  <c r="AD167" i="3"/>
  <c r="V211" i="6"/>
  <c r="C69" i="11" l="1"/>
  <c r="E256" i="13"/>
  <c r="G256" i="13" s="1"/>
  <c r="F256" i="13" s="1"/>
  <c r="E172" i="6"/>
  <c r="B172" i="6"/>
  <c r="A173" i="6"/>
  <c r="W406" i="13"/>
  <c r="X405" i="13"/>
  <c r="Y405" i="13" s="1"/>
  <c r="Z405" i="13" s="1"/>
  <c r="AA405" i="13" s="1"/>
  <c r="AA191" i="11"/>
  <c r="AD190" i="11"/>
  <c r="W171" i="6"/>
  <c r="X170" i="6"/>
  <c r="Y170" i="6" s="1"/>
  <c r="Z170" i="6" s="1"/>
  <c r="AA169" i="3"/>
  <c r="AD168" i="3"/>
  <c r="V212" i="6"/>
  <c r="D69" i="11" l="1"/>
  <c r="E257" i="13"/>
  <c r="G257" i="13" s="1"/>
  <c r="F257" i="13" s="1"/>
  <c r="E173" i="6"/>
  <c r="A174" i="6"/>
  <c r="B173" i="6"/>
  <c r="W407" i="13"/>
  <c r="X406" i="13"/>
  <c r="Y406" i="13" s="1"/>
  <c r="Z406" i="13" s="1"/>
  <c r="AA406" i="13" s="1"/>
  <c r="AA192" i="11"/>
  <c r="AD191" i="11"/>
  <c r="W172" i="6"/>
  <c r="X171" i="6"/>
  <c r="Y171" i="6" s="1"/>
  <c r="Z171" i="6" s="1"/>
  <c r="AA170" i="3"/>
  <c r="AD169" i="3"/>
  <c r="V213" i="6"/>
  <c r="F69" i="11" l="1"/>
  <c r="AK69" i="11"/>
  <c r="E258" i="13"/>
  <c r="G258" i="13" s="1"/>
  <c r="F258" i="13" s="1"/>
  <c r="E174" i="6"/>
  <c r="B174" i="6"/>
  <c r="A175" i="6"/>
  <c r="W408" i="13"/>
  <c r="X407" i="13"/>
  <c r="Y407" i="13" s="1"/>
  <c r="Z407" i="13" s="1"/>
  <c r="AA407" i="13" s="1"/>
  <c r="AD192" i="11"/>
  <c r="AA193" i="11"/>
  <c r="X172" i="6"/>
  <c r="Y172" i="6" s="1"/>
  <c r="Z172" i="6" s="1"/>
  <c r="W173" i="6"/>
  <c r="AA171" i="3"/>
  <c r="AD170" i="3"/>
  <c r="V214" i="6"/>
  <c r="E69" i="11" l="1"/>
  <c r="AJ69" i="11"/>
  <c r="E259" i="13"/>
  <c r="G259" i="13" s="1"/>
  <c r="F259" i="13" s="1"/>
  <c r="E175" i="6"/>
  <c r="B175" i="6"/>
  <c r="A176" i="6"/>
  <c r="W409" i="13"/>
  <c r="X408" i="13"/>
  <c r="Y408" i="13" s="1"/>
  <c r="Z408" i="13" s="1"/>
  <c r="AA408" i="13" s="1"/>
  <c r="AA194" i="11"/>
  <c r="AD193" i="11"/>
  <c r="X173" i="6"/>
  <c r="Y173" i="6" s="1"/>
  <c r="Z173" i="6" s="1"/>
  <c r="W174" i="6"/>
  <c r="AA172" i="3"/>
  <c r="AD171" i="3"/>
  <c r="V215" i="6"/>
  <c r="C70" i="11" l="1"/>
  <c r="E260" i="13"/>
  <c r="G260" i="13" s="1"/>
  <c r="F260" i="13" s="1"/>
  <c r="E176" i="6"/>
  <c r="A177" i="6"/>
  <c r="B176" i="6"/>
  <c r="W410" i="13"/>
  <c r="X409" i="13"/>
  <c r="Y409" i="13" s="1"/>
  <c r="Z409" i="13" s="1"/>
  <c r="AA409" i="13" s="1"/>
  <c r="AD194" i="11"/>
  <c r="AA195" i="11"/>
  <c r="X174" i="6"/>
  <c r="Y174" i="6" s="1"/>
  <c r="Z174" i="6" s="1"/>
  <c r="W175" i="6"/>
  <c r="AA173" i="3"/>
  <c r="AD172" i="3"/>
  <c r="V216" i="6"/>
  <c r="D70" i="11" l="1"/>
  <c r="E261" i="13"/>
  <c r="G261" i="13" s="1"/>
  <c r="F261" i="13" s="1"/>
  <c r="E177" i="6"/>
  <c r="A178" i="6"/>
  <c r="B177" i="6"/>
  <c r="W411" i="13"/>
  <c r="X410" i="13"/>
  <c r="Y410" i="13" s="1"/>
  <c r="Z410" i="13" s="1"/>
  <c r="AA410" i="13" s="1"/>
  <c r="AA196" i="11"/>
  <c r="AD195" i="11"/>
  <c r="X175" i="6"/>
  <c r="Y175" i="6" s="1"/>
  <c r="Z175" i="6" s="1"/>
  <c r="W176" i="6"/>
  <c r="AA174" i="3"/>
  <c r="AD173" i="3"/>
  <c r="V217" i="6"/>
  <c r="F70" i="11" l="1"/>
  <c r="AK70" i="11"/>
  <c r="E262" i="13"/>
  <c r="G262" i="13" s="1"/>
  <c r="F262" i="13" s="1"/>
  <c r="E178" i="6"/>
  <c r="B178" i="6"/>
  <c r="A179" i="6"/>
  <c r="W412" i="13"/>
  <c r="X411" i="13"/>
  <c r="Y411" i="13" s="1"/>
  <c r="Z411" i="13" s="1"/>
  <c r="AA411" i="13" s="1"/>
  <c r="AA197" i="11"/>
  <c r="AD196" i="11"/>
  <c r="W177" i="6"/>
  <c r="X176" i="6"/>
  <c r="Y176" i="6" s="1"/>
  <c r="Z176" i="6" s="1"/>
  <c r="AA175" i="3"/>
  <c r="AD174" i="3"/>
  <c r="V218" i="6"/>
  <c r="E70" i="11" l="1"/>
  <c r="AJ70" i="11"/>
  <c r="E263" i="13"/>
  <c r="G263" i="13" s="1"/>
  <c r="F263" i="13" s="1"/>
  <c r="E179" i="6"/>
  <c r="B179" i="6"/>
  <c r="A180" i="6"/>
  <c r="W413" i="13"/>
  <c r="X412" i="13"/>
  <c r="Y412" i="13" s="1"/>
  <c r="Z412" i="13" s="1"/>
  <c r="AA412" i="13" s="1"/>
  <c r="AA198" i="11"/>
  <c r="AD197" i="11"/>
  <c r="W178" i="6"/>
  <c r="X177" i="6"/>
  <c r="Y177" i="6" s="1"/>
  <c r="Z177" i="6" s="1"/>
  <c r="AA176" i="3"/>
  <c r="AD175" i="3"/>
  <c r="V219" i="6"/>
  <c r="C71" i="11" l="1"/>
  <c r="E180" i="6"/>
  <c r="A181" i="6"/>
  <c r="B180" i="6"/>
  <c r="W414" i="13"/>
  <c r="X413" i="13"/>
  <c r="Y413" i="13" s="1"/>
  <c r="Z413" i="13" s="1"/>
  <c r="AA413" i="13" s="1"/>
  <c r="AD198" i="11"/>
  <c r="AA199" i="11"/>
  <c r="W179" i="6"/>
  <c r="X178" i="6"/>
  <c r="Y178" i="6" s="1"/>
  <c r="Z178" i="6" s="1"/>
  <c r="AA177" i="3"/>
  <c r="AD176" i="3"/>
  <c r="V220" i="6"/>
  <c r="D71" i="11" l="1"/>
  <c r="E181" i="6"/>
  <c r="A182" i="6"/>
  <c r="B181" i="6"/>
  <c r="W415" i="13"/>
  <c r="X414" i="13"/>
  <c r="Y414" i="13" s="1"/>
  <c r="Z414" i="13" s="1"/>
  <c r="AA414" i="13" s="1"/>
  <c r="AA200" i="11"/>
  <c r="AD199" i="11"/>
  <c r="W180" i="6"/>
  <c r="X179" i="6"/>
  <c r="Y179" i="6" s="1"/>
  <c r="Z179" i="6" s="1"/>
  <c r="AA178" i="3"/>
  <c r="AD177" i="3"/>
  <c r="V221" i="6"/>
  <c r="F71" i="11" l="1"/>
  <c r="AK71" i="11"/>
  <c r="E182" i="6"/>
  <c r="B182" i="6"/>
  <c r="A183" i="6"/>
  <c r="W416" i="13"/>
  <c r="X415" i="13"/>
  <c r="Y415" i="13" s="1"/>
  <c r="Z415" i="13" s="1"/>
  <c r="AA415" i="13" s="1"/>
  <c r="AD200" i="11"/>
  <c r="AA201" i="11"/>
  <c r="X180" i="6"/>
  <c r="Y180" i="6" s="1"/>
  <c r="Z180" i="6" s="1"/>
  <c r="W181" i="6"/>
  <c r="AA179" i="3"/>
  <c r="AD178" i="3"/>
  <c r="V222" i="6"/>
  <c r="AJ71" i="11" l="1"/>
  <c r="E71" i="11"/>
  <c r="E183" i="6"/>
  <c r="B183" i="6"/>
  <c r="A184" i="6"/>
  <c r="X416" i="13"/>
  <c r="Y416" i="13" s="1"/>
  <c r="Z416" i="13" s="1"/>
  <c r="AA416" i="13" s="1"/>
  <c r="W417" i="13"/>
  <c r="AA202" i="11"/>
  <c r="AD201" i="11"/>
  <c r="X181" i="6"/>
  <c r="Y181" i="6" s="1"/>
  <c r="Z181" i="6" s="1"/>
  <c r="W182" i="6"/>
  <c r="AA180" i="3"/>
  <c r="AD179" i="3"/>
  <c r="V223" i="6"/>
  <c r="C72" i="11" l="1"/>
  <c r="E184" i="6"/>
  <c r="A185" i="6"/>
  <c r="B184" i="6"/>
  <c r="W418" i="13"/>
  <c r="X417" i="13"/>
  <c r="Y417" i="13" s="1"/>
  <c r="Z417" i="13" s="1"/>
  <c r="AA417" i="13" s="1"/>
  <c r="AD202" i="11"/>
  <c r="AA203" i="11"/>
  <c r="X182" i="6"/>
  <c r="Y182" i="6" s="1"/>
  <c r="Z182" i="6" s="1"/>
  <c r="W183" i="6"/>
  <c r="AA181" i="3"/>
  <c r="AD180" i="3"/>
  <c r="V224" i="6"/>
  <c r="D72" i="11" l="1"/>
  <c r="E185" i="6"/>
  <c r="B185" i="6"/>
  <c r="A186" i="6"/>
  <c r="W419" i="13"/>
  <c r="X418" i="13"/>
  <c r="Y418" i="13" s="1"/>
  <c r="Z418" i="13" s="1"/>
  <c r="AA418" i="13" s="1"/>
  <c r="AA204" i="11"/>
  <c r="AD203" i="11"/>
  <c r="W184" i="6"/>
  <c r="X183" i="6"/>
  <c r="Y183" i="6" s="1"/>
  <c r="Z183" i="6" s="1"/>
  <c r="AA182" i="3"/>
  <c r="AD181" i="3"/>
  <c r="V225" i="6"/>
  <c r="F72" i="11" l="1"/>
  <c r="AK72" i="11"/>
  <c r="E186" i="6"/>
  <c r="B186" i="6"/>
  <c r="A187" i="6"/>
  <c r="W420" i="13"/>
  <c r="X419" i="13"/>
  <c r="Y419" i="13" s="1"/>
  <c r="Z419" i="13" s="1"/>
  <c r="AA419" i="13" s="1"/>
  <c r="AA205" i="11"/>
  <c r="AD204" i="11"/>
  <c r="X184" i="6"/>
  <c r="Y184" i="6" s="1"/>
  <c r="Z184" i="6" s="1"/>
  <c r="W185" i="6"/>
  <c r="AA183" i="3"/>
  <c r="AD182" i="3"/>
  <c r="V226" i="6"/>
  <c r="AJ72" i="11" l="1"/>
  <c r="E72" i="11"/>
  <c r="E187" i="6"/>
  <c r="B187" i="6"/>
  <c r="A188" i="6"/>
  <c r="W421" i="13"/>
  <c r="X420" i="13"/>
  <c r="Y420" i="13" s="1"/>
  <c r="Z420" i="13" s="1"/>
  <c r="AA420" i="13" s="1"/>
  <c r="AA206" i="11"/>
  <c r="AD205" i="11"/>
  <c r="X185" i="6"/>
  <c r="Y185" i="6" s="1"/>
  <c r="Z185" i="6" s="1"/>
  <c r="W186" i="6"/>
  <c r="AA184" i="3"/>
  <c r="AD183" i="3"/>
  <c r="V227" i="6"/>
  <c r="C73" i="11" l="1"/>
  <c r="E188" i="6"/>
  <c r="A189" i="6"/>
  <c r="B188" i="6"/>
  <c r="W422" i="13"/>
  <c r="X421" i="13"/>
  <c r="Y421" i="13" s="1"/>
  <c r="Z421" i="13" s="1"/>
  <c r="AA421" i="13" s="1"/>
  <c r="AA207" i="11"/>
  <c r="AD206" i="11"/>
  <c r="X186" i="6"/>
  <c r="Y186" i="6" s="1"/>
  <c r="Z186" i="6" s="1"/>
  <c r="W187" i="6"/>
  <c r="AA185" i="3"/>
  <c r="AD184" i="3"/>
  <c r="V228" i="6"/>
  <c r="D73" i="11" l="1"/>
  <c r="E189" i="6"/>
  <c r="B189" i="6"/>
  <c r="A190" i="6"/>
  <c r="W423" i="13"/>
  <c r="X422" i="13"/>
  <c r="Y422" i="13" s="1"/>
  <c r="Z422" i="13" s="1"/>
  <c r="AA422" i="13" s="1"/>
  <c r="AA208" i="11"/>
  <c r="AD207" i="11"/>
  <c r="W188" i="6"/>
  <c r="X187" i="6"/>
  <c r="Y187" i="6" s="1"/>
  <c r="Z187" i="6" s="1"/>
  <c r="AA186" i="3"/>
  <c r="AD185" i="3"/>
  <c r="V229" i="6"/>
  <c r="F73" i="11" l="1"/>
  <c r="AK73" i="11"/>
  <c r="E190" i="6"/>
  <c r="B190" i="6"/>
  <c r="A191" i="6"/>
  <c r="W424" i="13"/>
  <c r="X423" i="13"/>
  <c r="Y423" i="13" s="1"/>
  <c r="Z423" i="13" s="1"/>
  <c r="AA423" i="13" s="1"/>
  <c r="AD208" i="11"/>
  <c r="AA209" i="11"/>
  <c r="W189" i="6"/>
  <c r="X188" i="6"/>
  <c r="Y188" i="6" s="1"/>
  <c r="Z188" i="6" s="1"/>
  <c r="AA187" i="3"/>
  <c r="AD186" i="3"/>
  <c r="V230" i="6"/>
  <c r="AJ73" i="11" l="1"/>
  <c r="E73" i="11"/>
  <c r="E191" i="6"/>
  <c r="B191" i="6"/>
  <c r="A192" i="6"/>
  <c r="W425" i="13"/>
  <c r="X424" i="13"/>
  <c r="Y424" i="13" s="1"/>
  <c r="Z424" i="13" s="1"/>
  <c r="AA424" i="13" s="1"/>
  <c r="AA210" i="11"/>
  <c r="AD209" i="11"/>
  <c r="X189" i="6"/>
  <c r="Y189" i="6" s="1"/>
  <c r="Z189" i="6" s="1"/>
  <c r="W190" i="6"/>
  <c r="AA188" i="3"/>
  <c r="AD187" i="3"/>
  <c r="V231" i="6"/>
  <c r="C74" i="11" l="1"/>
  <c r="D74" i="11" s="1"/>
  <c r="F74" i="11" s="1"/>
  <c r="E192" i="6"/>
  <c r="A193" i="6"/>
  <c r="B192" i="6"/>
  <c r="W426" i="13"/>
  <c r="X425" i="13"/>
  <c r="Y425" i="13" s="1"/>
  <c r="Z425" i="13" s="1"/>
  <c r="AA425" i="13" s="1"/>
  <c r="AD210" i="11"/>
  <c r="AA211" i="11"/>
  <c r="X190" i="6"/>
  <c r="Y190" i="6" s="1"/>
  <c r="Z190" i="6" s="1"/>
  <c r="W191" i="6"/>
  <c r="AA189" i="3"/>
  <c r="AD188" i="3"/>
  <c r="V232" i="6"/>
  <c r="AK74" i="11" l="1"/>
  <c r="AJ74" i="11"/>
  <c r="E74" i="11"/>
  <c r="E193" i="6"/>
  <c r="A194" i="6"/>
  <c r="B193" i="6"/>
  <c r="W427" i="13"/>
  <c r="X426" i="13"/>
  <c r="Y426" i="13" s="1"/>
  <c r="Z426" i="13" s="1"/>
  <c r="AA426" i="13" s="1"/>
  <c r="AA212" i="11"/>
  <c r="AD211" i="11"/>
  <c r="X191" i="6"/>
  <c r="Y191" i="6" s="1"/>
  <c r="Z191" i="6" s="1"/>
  <c r="W192" i="6"/>
  <c r="AA190" i="3"/>
  <c r="AD189" i="3"/>
  <c r="V233" i="6"/>
  <c r="C75" i="11" l="1"/>
  <c r="D75" i="11" s="1"/>
  <c r="F75" i="11" s="1"/>
  <c r="E194" i="6"/>
  <c r="B194" i="6"/>
  <c r="A195" i="6"/>
  <c r="W428" i="13"/>
  <c r="X427" i="13"/>
  <c r="Y427" i="13" s="1"/>
  <c r="Z427" i="13" s="1"/>
  <c r="AA427" i="13" s="1"/>
  <c r="AA213" i="11"/>
  <c r="AD212" i="11"/>
  <c r="X192" i="6"/>
  <c r="Y192" i="6" s="1"/>
  <c r="Z192" i="6" s="1"/>
  <c r="W193" i="6"/>
  <c r="AA191" i="3"/>
  <c r="AD190" i="3"/>
  <c r="V234" i="6"/>
  <c r="AK75" i="11" l="1"/>
  <c r="AJ75" i="11"/>
  <c r="E75" i="11"/>
  <c r="E195" i="6"/>
  <c r="B195" i="6"/>
  <c r="A196" i="6"/>
  <c r="W429" i="13"/>
  <c r="X428" i="13"/>
  <c r="Y428" i="13" s="1"/>
  <c r="Z428" i="13" s="1"/>
  <c r="AA428" i="13" s="1"/>
  <c r="AA214" i="11"/>
  <c r="AD213" i="11"/>
  <c r="X193" i="6"/>
  <c r="Y193" i="6" s="1"/>
  <c r="Z193" i="6" s="1"/>
  <c r="W194" i="6"/>
  <c r="AA192" i="3"/>
  <c r="AD191" i="3"/>
  <c r="V235" i="6"/>
  <c r="C76" i="11" l="1"/>
  <c r="D76" i="11" s="1"/>
  <c r="F76" i="11" s="1"/>
  <c r="E196" i="6"/>
  <c r="A197" i="6"/>
  <c r="B196" i="6"/>
  <c r="W430" i="13"/>
  <c r="X429" i="13"/>
  <c r="Y429" i="13" s="1"/>
  <c r="Z429" i="13" s="1"/>
  <c r="AA429" i="13" s="1"/>
  <c r="AD214" i="11"/>
  <c r="AA215" i="11"/>
  <c r="W195" i="6"/>
  <c r="X194" i="6"/>
  <c r="Y194" i="6" s="1"/>
  <c r="Z194" i="6" s="1"/>
  <c r="AA193" i="3"/>
  <c r="AD192" i="3"/>
  <c r="V236" i="6"/>
  <c r="AK76" i="11" l="1"/>
  <c r="AJ76" i="11"/>
  <c r="E76" i="11"/>
  <c r="E197" i="6"/>
  <c r="B197" i="6"/>
  <c r="A198" i="6"/>
  <c r="W431" i="13"/>
  <c r="X430" i="13"/>
  <c r="Y430" i="13" s="1"/>
  <c r="Z430" i="13" s="1"/>
  <c r="AA430" i="13" s="1"/>
  <c r="AA216" i="11"/>
  <c r="AD215" i="11"/>
  <c r="X195" i="6"/>
  <c r="Y195" i="6" s="1"/>
  <c r="Z195" i="6" s="1"/>
  <c r="W196" i="6"/>
  <c r="AA194" i="3"/>
  <c r="AD193" i="3"/>
  <c r="V237" i="6"/>
  <c r="C77" i="11" l="1"/>
  <c r="D77" i="11" s="1"/>
  <c r="F77" i="11" s="1"/>
  <c r="E198" i="6"/>
  <c r="B198" i="6"/>
  <c r="A199" i="6"/>
  <c r="W432" i="13"/>
  <c r="X431" i="13"/>
  <c r="Y431" i="13" s="1"/>
  <c r="Z431" i="13" s="1"/>
  <c r="AA431" i="13" s="1"/>
  <c r="AD216" i="11"/>
  <c r="AA217" i="11"/>
  <c r="W197" i="6"/>
  <c r="X196" i="6"/>
  <c r="Y196" i="6" s="1"/>
  <c r="Z196" i="6" s="1"/>
  <c r="AA195" i="3"/>
  <c r="AD194" i="3"/>
  <c r="V238" i="6"/>
  <c r="AK77" i="11" l="1"/>
  <c r="E77" i="11"/>
  <c r="AJ77" i="11"/>
  <c r="E199" i="6"/>
  <c r="A200" i="6"/>
  <c r="B199" i="6"/>
  <c r="X432" i="13"/>
  <c r="Y432" i="13" s="1"/>
  <c r="Z432" i="13" s="1"/>
  <c r="AA432" i="13" s="1"/>
  <c r="W433" i="13"/>
  <c r="AA218" i="11"/>
  <c r="AD217" i="11"/>
  <c r="X197" i="6"/>
  <c r="Y197" i="6" s="1"/>
  <c r="Z197" i="6" s="1"/>
  <c r="W198" i="6"/>
  <c r="AA196" i="3"/>
  <c r="AD195" i="3"/>
  <c r="V239" i="6"/>
  <c r="C78" i="11" l="1"/>
  <c r="D78" i="11" s="1"/>
  <c r="F78" i="11" s="1"/>
  <c r="E200" i="6"/>
  <c r="A201" i="6"/>
  <c r="B200" i="6"/>
  <c r="W434" i="13"/>
  <c r="X433" i="13"/>
  <c r="Y433" i="13" s="1"/>
  <c r="Z433" i="13" s="1"/>
  <c r="AA433" i="13" s="1"/>
  <c r="AD218" i="11"/>
  <c r="AA219" i="11"/>
  <c r="X198" i="6"/>
  <c r="Y198" i="6" s="1"/>
  <c r="Z198" i="6" s="1"/>
  <c r="W199" i="6"/>
  <c r="AA197" i="3"/>
  <c r="AD196" i="3"/>
  <c r="V240" i="6"/>
  <c r="AK78" i="11" l="1"/>
  <c r="E78" i="11"/>
  <c r="AJ78" i="11"/>
  <c r="E201" i="6"/>
  <c r="B201" i="6"/>
  <c r="A202" i="6"/>
  <c r="W435" i="13"/>
  <c r="X434" i="13"/>
  <c r="Y434" i="13" s="1"/>
  <c r="Z434" i="13" s="1"/>
  <c r="AA434" i="13" s="1"/>
  <c r="AA220" i="11"/>
  <c r="AD219" i="11"/>
  <c r="X199" i="6"/>
  <c r="Y199" i="6" s="1"/>
  <c r="Z199" i="6" s="1"/>
  <c r="W200" i="6"/>
  <c r="AA198" i="3"/>
  <c r="AD197" i="3"/>
  <c r="V241" i="6"/>
  <c r="C79" i="11" l="1"/>
  <c r="D79" i="11" s="1"/>
  <c r="F79" i="11" s="1"/>
  <c r="E202" i="6"/>
  <c r="B202" i="6"/>
  <c r="A203" i="6"/>
  <c r="W436" i="13"/>
  <c r="X435" i="13"/>
  <c r="Y435" i="13" s="1"/>
  <c r="Z435" i="13" s="1"/>
  <c r="AA435" i="13" s="1"/>
  <c r="AA221" i="11"/>
  <c r="AD220" i="11"/>
  <c r="X200" i="6"/>
  <c r="Y200" i="6" s="1"/>
  <c r="Z200" i="6" s="1"/>
  <c r="W201" i="6"/>
  <c r="AA199" i="3"/>
  <c r="AD198" i="3"/>
  <c r="V242" i="6"/>
  <c r="AK79" i="11" l="1"/>
  <c r="E79" i="11"/>
  <c r="AJ79" i="11"/>
  <c r="E203" i="6"/>
  <c r="B203" i="6"/>
  <c r="A204" i="6"/>
  <c r="W437" i="13"/>
  <c r="X436" i="13"/>
  <c r="Y436" i="13" s="1"/>
  <c r="Z436" i="13" s="1"/>
  <c r="AA436" i="13" s="1"/>
  <c r="AA222" i="11"/>
  <c r="AD221" i="11"/>
  <c r="X201" i="6"/>
  <c r="Y201" i="6" s="1"/>
  <c r="Z201" i="6" s="1"/>
  <c r="W202" i="6"/>
  <c r="AA200" i="3"/>
  <c r="AD199" i="3"/>
  <c r="V243" i="6"/>
  <c r="C80" i="11" l="1"/>
  <c r="D80" i="11" s="1"/>
  <c r="F80" i="11" s="1"/>
  <c r="E204" i="6"/>
  <c r="B204" i="6"/>
  <c r="A205" i="6"/>
  <c r="W438" i="13"/>
  <c r="X437" i="13"/>
  <c r="Y437" i="13" s="1"/>
  <c r="Z437" i="13" s="1"/>
  <c r="AA437" i="13" s="1"/>
  <c r="AD222" i="11"/>
  <c r="AA223" i="11"/>
  <c r="X202" i="6"/>
  <c r="Y202" i="6" s="1"/>
  <c r="Z202" i="6" s="1"/>
  <c r="W203" i="6"/>
  <c r="AA201" i="3"/>
  <c r="AD200" i="3"/>
  <c r="V244" i="6"/>
  <c r="E80" i="11" l="1"/>
  <c r="AJ80" i="11"/>
  <c r="AK80" i="11"/>
  <c r="E205" i="6"/>
  <c r="A206" i="6"/>
  <c r="B205" i="6"/>
  <c r="W439" i="13"/>
  <c r="X438" i="13"/>
  <c r="Y438" i="13" s="1"/>
  <c r="Z438" i="13" s="1"/>
  <c r="AA438" i="13" s="1"/>
  <c r="AA224" i="11"/>
  <c r="AD223" i="11"/>
  <c r="X203" i="6"/>
  <c r="Y203" i="6" s="1"/>
  <c r="Z203" i="6" s="1"/>
  <c r="W204" i="6"/>
  <c r="AA202" i="3"/>
  <c r="AD201" i="3"/>
  <c r="V245" i="6"/>
  <c r="C81" i="11" l="1"/>
  <c r="D81" i="11" s="1"/>
  <c r="F81" i="11" s="1"/>
  <c r="E206" i="6"/>
  <c r="A207" i="6"/>
  <c r="B206" i="6"/>
  <c r="W440" i="13"/>
  <c r="X439" i="13"/>
  <c r="Y439" i="13" s="1"/>
  <c r="Z439" i="13" s="1"/>
  <c r="AA439" i="13" s="1"/>
  <c r="AA225" i="11"/>
  <c r="AD224" i="11"/>
  <c r="X204" i="6"/>
  <c r="Y204" i="6" s="1"/>
  <c r="Z204" i="6" s="1"/>
  <c r="W205" i="6"/>
  <c r="AA203" i="3"/>
  <c r="AD202" i="3"/>
  <c r="V246" i="6"/>
  <c r="AK81" i="11" l="1"/>
  <c r="E81" i="11"/>
  <c r="AJ81" i="11"/>
  <c r="E207" i="6"/>
  <c r="B207" i="6"/>
  <c r="A208" i="6"/>
  <c r="W441" i="13"/>
  <c r="X440" i="13"/>
  <c r="Y440" i="13" s="1"/>
  <c r="Z440" i="13" s="1"/>
  <c r="AA440" i="13" s="1"/>
  <c r="AA226" i="11"/>
  <c r="AD225" i="11"/>
  <c r="X205" i="6"/>
  <c r="Y205" i="6" s="1"/>
  <c r="Z205" i="6" s="1"/>
  <c r="W206" i="6"/>
  <c r="AA204" i="3"/>
  <c r="AD203" i="3"/>
  <c r="V247" i="6"/>
  <c r="C82" i="11" l="1"/>
  <c r="D82" i="11" s="1"/>
  <c r="F82" i="11" s="1"/>
  <c r="E208" i="6"/>
  <c r="B208" i="6"/>
  <c r="A209" i="6"/>
  <c r="W442" i="13"/>
  <c r="X441" i="13"/>
  <c r="Y441" i="13" s="1"/>
  <c r="Z441" i="13" s="1"/>
  <c r="AA441" i="13" s="1"/>
  <c r="AD226" i="11"/>
  <c r="AA227" i="11"/>
  <c r="X206" i="6"/>
  <c r="Y206" i="6" s="1"/>
  <c r="Z206" i="6" s="1"/>
  <c r="W207" i="6"/>
  <c r="AA205" i="3"/>
  <c r="AD204" i="3"/>
  <c r="V248" i="6"/>
  <c r="AK82" i="11" l="1"/>
  <c r="E82" i="11"/>
  <c r="AJ82" i="11"/>
  <c r="E209" i="6"/>
  <c r="A210" i="6"/>
  <c r="B209" i="6"/>
  <c r="W443" i="13"/>
  <c r="X442" i="13"/>
  <c r="Y442" i="13" s="1"/>
  <c r="Z442" i="13" s="1"/>
  <c r="AA442" i="13" s="1"/>
  <c r="AA228" i="11"/>
  <c r="AD227" i="11"/>
  <c r="X207" i="6"/>
  <c r="Y207" i="6" s="1"/>
  <c r="Z207" i="6" s="1"/>
  <c r="W208" i="6"/>
  <c r="AA206" i="3"/>
  <c r="AD205" i="3"/>
  <c r="V249" i="6"/>
  <c r="C83" i="11" l="1"/>
  <c r="E210" i="6"/>
  <c r="A211" i="6"/>
  <c r="B210" i="6"/>
  <c r="W444" i="13"/>
  <c r="X443" i="13"/>
  <c r="Y443" i="13" s="1"/>
  <c r="Z443" i="13" s="1"/>
  <c r="AA443" i="13" s="1"/>
  <c r="AD228" i="11"/>
  <c r="AA229" i="11"/>
  <c r="X208" i="6"/>
  <c r="Y208" i="6" s="1"/>
  <c r="Z208" i="6" s="1"/>
  <c r="W209" i="6"/>
  <c r="AA207" i="3"/>
  <c r="AD206" i="3"/>
  <c r="V250" i="6"/>
  <c r="D83" i="11" l="1"/>
  <c r="C22" i="11"/>
  <c r="AL15" i="11" s="1"/>
  <c r="E211" i="6"/>
  <c r="B211" i="6"/>
  <c r="A212" i="6"/>
  <c r="X444" i="13"/>
  <c r="Y444" i="13" s="1"/>
  <c r="Z444" i="13" s="1"/>
  <c r="AA444" i="13" s="1"/>
  <c r="W445" i="13"/>
  <c r="AA230" i="11"/>
  <c r="AD229" i="11"/>
  <c r="X209" i="6"/>
  <c r="Y209" i="6" s="1"/>
  <c r="Z209" i="6" s="1"/>
  <c r="W210" i="6"/>
  <c r="AA208" i="3"/>
  <c r="AD207" i="3"/>
  <c r="V251" i="6"/>
  <c r="AL16" i="11" l="1"/>
  <c r="AM14" i="11" s="1"/>
  <c r="F83" i="11"/>
  <c r="D22" i="11"/>
  <c r="AK83" i="11"/>
  <c r="AK22" i="11" s="1"/>
  <c r="E212" i="6"/>
  <c r="B212" i="6"/>
  <c r="A213" i="6"/>
  <c r="X445" i="13"/>
  <c r="Y445" i="13" s="1"/>
  <c r="Z445" i="13" s="1"/>
  <c r="AA445" i="13" s="1"/>
  <c r="W446" i="13"/>
  <c r="AD230" i="11"/>
  <c r="AA231" i="11"/>
  <c r="X210" i="6"/>
  <c r="Y210" i="6" s="1"/>
  <c r="Z210" i="6" s="1"/>
  <c r="W211" i="6"/>
  <c r="AA209" i="3"/>
  <c r="AD208" i="3"/>
  <c r="V252" i="6"/>
  <c r="AM15" i="11" l="1"/>
  <c r="B19" i="11"/>
  <c r="AJ83" i="11"/>
  <c r="AJ22" i="11" s="1"/>
  <c r="E83" i="11"/>
  <c r="F22" i="11"/>
  <c r="E213" i="6"/>
  <c r="A214" i="6"/>
  <c r="B213" i="6"/>
  <c r="X446" i="13"/>
  <c r="Y446" i="13" s="1"/>
  <c r="Z446" i="13" s="1"/>
  <c r="AA446" i="13" s="1"/>
  <c r="W447" i="13"/>
  <c r="AD231" i="11"/>
  <c r="AA232" i="11"/>
  <c r="X211" i="6"/>
  <c r="Y211" i="6" s="1"/>
  <c r="Z211" i="6" s="1"/>
  <c r="W212" i="6"/>
  <c r="AA210" i="3"/>
  <c r="AD209" i="3"/>
  <c r="V253" i="6"/>
  <c r="E15" i="11" l="1"/>
  <c r="AJ18" i="11"/>
  <c r="AL18" i="11" s="1"/>
  <c r="E214" i="6"/>
  <c r="A215" i="6"/>
  <c r="B214" i="6"/>
  <c r="W448" i="13"/>
  <c r="X447" i="13"/>
  <c r="Y447" i="13" s="1"/>
  <c r="Z447" i="13" s="1"/>
  <c r="AA447" i="13" s="1"/>
  <c r="AD232" i="11"/>
  <c r="AA233" i="11"/>
  <c r="X212" i="6"/>
  <c r="Y212" i="6" s="1"/>
  <c r="Z212" i="6" s="1"/>
  <c r="W213" i="6"/>
  <c r="AA211" i="3"/>
  <c r="AD210" i="3"/>
  <c r="V254" i="6"/>
  <c r="E215" i="6" l="1"/>
  <c r="B215" i="6"/>
  <c r="A216" i="6"/>
  <c r="X448" i="13"/>
  <c r="Y448" i="13" s="1"/>
  <c r="Z448" i="13" s="1"/>
  <c r="AA448" i="13" s="1"/>
  <c r="W449" i="13"/>
  <c r="AA234" i="11"/>
  <c r="AD233" i="11"/>
  <c r="X213" i="6"/>
  <c r="Y213" i="6" s="1"/>
  <c r="Z213" i="6" s="1"/>
  <c r="W214" i="6"/>
  <c r="AA212" i="3"/>
  <c r="AD211" i="3"/>
  <c r="V255" i="6"/>
  <c r="E216" i="6" l="1"/>
  <c r="B216" i="6"/>
  <c r="A217" i="6"/>
  <c r="X449" i="13"/>
  <c r="Y449" i="13" s="1"/>
  <c r="Z449" i="13" s="1"/>
  <c r="AA449" i="13" s="1"/>
  <c r="W450" i="13"/>
  <c r="AD234" i="11"/>
  <c r="AA235" i="11"/>
  <c r="X214" i="6"/>
  <c r="Y214" i="6" s="1"/>
  <c r="Z214" i="6" s="1"/>
  <c r="W215" i="6"/>
  <c r="AA213" i="3"/>
  <c r="AD212" i="3"/>
  <c r="V256" i="6"/>
  <c r="E217" i="6" l="1"/>
  <c r="A218" i="6"/>
  <c r="B217" i="6"/>
  <c r="X450" i="13"/>
  <c r="Y450" i="13" s="1"/>
  <c r="Z450" i="13" s="1"/>
  <c r="AA450" i="13" s="1"/>
  <c r="W451" i="13"/>
  <c r="AD235" i="11"/>
  <c r="AA236" i="11"/>
  <c r="X215" i="6"/>
  <c r="Y215" i="6" s="1"/>
  <c r="Z215" i="6" s="1"/>
  <c r="W216" i="6"/>
  <c r="AA214" i="3"/>
  <c r="AD213" i="3"/>
  <c r="V257" i="6"/>
  <c r="E218" i="6" l="1"/>
  <c r="A219" i="6"/>
  <c r="B218" i="6"/>
  <c r="W452" i="13"/>
  <c r="X451" i="13"/>
  <c r="Y451" i="13" s="1"/>
  <c r="Z451" i="13" s="1"/>
  <c r="AA451" i="13" s="1"/>
  <c r="AD236" i="11"/>
  <c r="AA237" i="11"/>
  <c r="W217" i="6"/>
  <c r="X216" i="6"/>
  <c r="Y216" i="6" s="1"/>
  <c r="Z216" i="6" s="1"/>
  <c r="AA215" i="3"/>
  <c r="AD214" i="3"/>
  <c r="V258" i="6"/>
  <c r="E219" i="6" l="1"/>
  <c r="B219" i="6"/>
  <c r="A220" i="6"/>
  <c r="X452" i="13"/>
  <c r="Y452" i="13" s="1"/>
  <c r="Z452" i="13" s="1"/>
  <c r="AA452" i="13" s="1"/>
  <c r="W453" i="13"/>
  <c r="AA238" i="11"/>
  <c r="AD237" i="11"/>
  <c r="X217" i="6"/>
  <c r="Y217" i="6" s="1"/>
  <c r="Z217" i="6" s="1"/>
  <c r="W218" i="6"/>
  <c r="AA216" i="3"/>
  <c r="AD215" i="3"/>
  <c r="V259" i="6"/>
  <c r="E220" i="6" l="1"/>
  <c r="B220" i="6"/>
  <c r="A221" i="6"/>
  <c r="X453" i="13"/>
  <c r="Y453" i="13" s="1"/>
  <c r="Z453" i="13" s="1"/>
  <c r="AA453" i="13" s="1"/>
  <c r="W454" i="13"/>
  <c r="AD238" i="11"/>
  <c r="AA239" i="11"/>
  <c r="X218" i="6"/>
  <c r="Y218" i="6" s="1"/>
  <c r="Z218" i="6" s="1"/>
  <c r="W219" i="6"/>
  <c r="AA217" i="3"/>
  <c r="AD216" i="3"/>
  <c r="V260" i="6"/>
  <c r="E221" i="6" l="1"/>
  <c r="A222" i="6"/>
  <c r="B221" i="6"/>
  <c r="X454" i="13"/>
  <c r="Y454" i="13" s="1"/>
  <c r="Z454" i="13" s="1"/>
  <c r="AA454" i="13" s="1"/>
  <c r="W455" i="13"/>
  <c r="AD239" i="11"/>
  <c r="AA240" i="11"/>
  <c r="X219" i="6"/>
  <c r="Y219" i="6" s="1"/>
  <c r="Z219" i="6" s="1"/>
  <c r="W220" i="6"/>
  <c r="AA218" i="3"/>
  <c r="AD217" i="3"/>
  <c r="V261" i="6"/>
  <c r="E222" i="6" l="1"/>
  <c r="A223" i="6"/>
  <c r="B222" i="6"/>
  <c r="W456" i="13"/>
  <c r="X455" i="13"/>
  <c r="Y455" i="13" s="1"/>
  <c r="Z455" i="13" s="1"/>
  <c r="AA455" i="13" s="1"/>
  <c r="AD240" i="11"/>
  <c r="AA241" i="11"/>
  <c r="X220" i="6"/>
  <c r="Y220" i="6" s="1"/>
  <c r="Z220" i="6" s="1"/>
  <c r="W221" i="6"/>
  <c r="AA219" i="3"/>
  <c r="AD218" i="3"/>
  <c r="V262" i="6"/>
  <c r="E223" i="6" l="1"/>
  <c r="B223" i="6"/>
  <c r="A224" i="6"/>
  <c r="W457" i="13"/>
  <c r="X456" i="13"/>
  <c r="Y456" i="13" s="1"/>
  <c r="Z456" i="13" s="1"/>
  <c r="AA456" i="13" s="1"/>
  <c r="AA242" i="11"/>
  <c r="AD241" i="11"/>
  <c r="W222" i="6"/>
  <c r="X221" i="6"/>
  <c r="Y221" i="6" s="1"/>
  <c r="Z221" i="6" s="1"/>
  <c r="AA220" i="3"/>
  <c r="AD219" i="3"/>
  <c r="V263" i="6"/>
  <c r="E224" i="6" l="1"/>
  <c r="B224" i="6"/>
  <c r="A225" i="6"/>
  <c r="W458" i="13"/>
  <c r="X457" i="13"/>
  <c r="Y457" i="13" s="1"/>
  <c r="Z457" i="13" s="1"/>
  <c r="AA457" i="13" s="1"/>
  <c r="AD242" i="11"/>
  <c r="AA243" i="11"/>
  <c r="X222" i="6"/>
  <c r="Y222" i="6" s="1"/>
  <c r="Z222" i="6" s="1"/>
  <c r="W223" i="6"/>
  <c r="AA221" i="3"/>
  <c r="AD220" i="3"/>
  <c r="V264" i="6"/>
  <c r="E225" i="6" l="1"/>
  <c r="A226" i="6"/>
  <c r="B225" i="6"/>
  <c r="W459" i="13"/>
  <c r="X458" i="13"/>
  <c r="Y458" i="13" s="1"/>
  <c r="Z458" i="13" s="1"/>
  <c r="AA458" i="13" s="1"/>
  <c r="AD243" i="11"/>
  <c r="AA244" i="11"/>
  <c r="X223" i="6"/>
  <c r="Y223" i="6" s="1"/>
  <c r="Z223" i="6" s="1"/>
  <c r="W224" i="6"/>
  <c r="AA222" i="3"/>
  <c r="AD221" i="3"/>
  <c r="V265" i="6"/>
  <c r="E226" i="6" l="1"/>
  <c r="A227" i="6"/>
  <c r="B226" i="6"/>
  <c r="W460" i="13"/>
  <c r="X459" i="13"/>
  <c r="Y459" i="13" s="1"/>
  <c r="Z459" i="13" s="1"/>
  <c r="AA459" i="13" s="1"/>
  <c r="AD244" i="11"/>
  <c r="AA245" i="11"/>
  <c r="AD245" i="11" s="1"/>
  <c r="X224" i="6"/>
  <c r="Y224" i="6" s="1"/>
  <c r="Z224" i="6" s="1"/>
  <c r="W225" i="6"/>
  <c r="AA223" i="3"/>
  <c r="AD222" i="3"/>
  <c r="V266" i="6"/>
  <c r="E227" i="6" l="1"/>
  <c r="B227" i="6"/>
  <c r="A228" i="6"/>
  <c r="X460" i="13"/>
  <c r="Y460" i="13" s="1"/>
  <c r="Z460" i="13" s="1"/>
  <c r="AA460" i="13" s="1"/>
  <c r="W461" i="13"/>
  <c r="W226" i="6"/>
  <c r="X225" i="6"/>
  <c r="Y225" i="6" s="1"/>
  <c r="Z225" i="6" s="1"/>
  <c r="AA224" i="3"/>
  <c r="AD223" i="3"/>
  <c r="V267" i="6"/>
  <c r="E228" i="6" l="1"/>
  <c r="B228" i="6"/>
  <c r="A229" i="6"/>
  <c r="X461" i="13"/>
  <c r="Y461" i="13" s="1"/>
  <c r="Z461" i="13" s="1"/>
  <c r="AA461" i="13" s="1"/>
  <c r="W462" i="13"/>
  <c r="X226" i="6"/>
  <c r="Y226" i="6" s="1"/>
  <c r="Z226" i="6" s="1"/>
  <c r="W227" i="6"/>
  <c r="AA225" i="3"/>
  <c r="AD224" i="3"/>
  <c r="V268" i="6"/>
  <c r="E229" i="6" l="1"/>
  <c r="A230" i="6"/>
  <c r="B229" i="6"/>
  <c r="X462" i="13"/>
  <c r="Y462" i="13" s="1"/>
  <c r="Z462" i="13" s="1"/>
  <c r="AA462" i="13" s="1"/>
  <c r="W463" i="13"/>
  <c r="X227" i="6"/>
  <c r="Y227" i="6" s="1"/>
  <c r="Z227" i="6" s="1"/>
  <c r="W228" i="6"/>
  <c r="AA226" i="3"/>
  <c r="AD225" i="3"/>
  <c r="V269" i="6"/>
  <c r="E230" i="6" l="1"/>
  <c r="A231" i="6"/>
  <c r="B230" i="6"/>
  <c r="W464" i="13"/>
  <c r="X463" i="13"/>
  <c r="Y463" i="13" s="1"/>
  <c r="Z463" i="13" s="1"/>
  <c r="AA463" i="13" s="1"/>
  <c r="W229" i="6"/>
  <c r="X228" i="6"/>
  <c r="Y228" i="6" s="1"/>
  <c r="Z228" i="6" s="1"/>
  <c r="AA227" i="3"/>
  <c r="AD226" i="3"/>
  <c r="V270" i="6"/>
  <c r="E231" i="6" l="1"/>
  <c r="B231" i="6"/>
  <c r="A232" i="6"/>
  <c r="X464" i="13"/>
  <c r="Y464" i="13" s="1"/>
  <c r="Z464" i="13" s="1"/>
  <c r="AA464" i="13" s="1"/>
  <c r="W465" i="13"/>
  <c r="W230" i="6"/>
  <c r="AA228" i="3"/>
  <c r="AD227" i="3"/>
  <c r="V271" i="6"/>
  <c r="E232" i="6" l="1"/>
  <c r="B232" i="6"/>
  <c r="A233" i="6"/>
  <c r="X465" i="13"/>
  <c r="Y465" i="13" s="1"/>
  <c r="Z465" i="13" s="1"/>
  <c r="AA465" i="13" s="1"/>
  <c r="W466" i="13"/>
  <c r="W231" i="6"/>
  <c r="AA229" i="3"/>
  <c r="AD228" i="3"/>
  <c r="V272" i="6"/>
  <c r="E233" i="6" l="1"/>
  <c r="A234" i="6"/>
  <c r="B233" i="6"/>
  <c r="X466" i="13"/>
  <c r="Y466" i="13" s="1"/>
  <c r="Z466" i="13" s="1"/>
  <c r="AA466" i="13" s="1"/>
  <c r="W467" i="13"/>
  <c r="W232" i="6"/>
  <c r="AA230" i="3"/>
  <c r="AD229" i="3"/>
  <c r="V273" i="6"/>
  <c r="W272" i="6"/>
  <c r="X272" i="6" s="1"/>
  <c r="Y272" i="6" s="1"/>
  <c r="Z272" i="6" s="1"/>
  <c r="E234" i="6" l="1"/>
  <c r="A235" i="6"/>
  <c r="B234" i="6"/>
  <c r="W468" i="13"/>
  <c r="X467" i="13"/>
  <c r="Y467" i="13" s="1"/>
  <c r="Z467" i="13" s="1"/>
  <c r="AA467" i="13" s="1"/>
  <c r="W233" i="6"/>
  <c r="AA231" i="3"/>
  <c r="AD230" i="3"/>
  <c r="V274" i="6"/>
  <c r="W273" i="6"/>
  <c r="X273" i="6" s="1"/>
  <c r="Y273" i="6" s="1"/>
  <c r="Z273" i="6" s="1"/>
  <c r="E235" i="6" l="1"/>
  <c r="B235" i="6"/>
  <c r="A236" i="6"/>
  <c r="X468" i="13"/>
  <c r="Y468" i="13" s="1"/>
  <c r="Z468" i="13" s="1"/>
  <c r="AA468" i="13" s="1"/>
  <c r="W469" i="13"/>
  <c r="W234" i="6"/>
  <c r="AA232" i="3"/>
  <c r="AD231" i="3"/>
  <c r="V275" i="6"/>
  <c r="W274" i="6"/>
  <c r="X274" i="6" s="1"/>
  <c r="Y274" i="6" s="1"/>
  <c r="Z274" i="6" s="1"/>
  <c r="E236" i="6" l="1"/>
  <c r="B236" i="6"/>
  <c r="A237" i="6"/>
  <c r="W470" i="13"/>
  <c r="X469" i="13"/>
  <c r="Y469" i="13" s="1"/>
  <c r="Z469" i="13" s="1"/>
  <c r="AA469" i="13" s="1"/>
  <c r="W235" i="6"/>
  <c r="AA233" i="3"/>
  <c r="AD232" i="3"/>
  <c r="V276" i="6"/>
  <c r="W275" i="6"/>
  <c r="X275" i="6" s="1"/>
  <c r="Y275" i="6" s="1"/>
  <c r="Z275" i="6" s="1"/>
  <c r="E237" i="6" l="1"/>
  <c r="A238" i="6"/>
  <c r="B237" i="6"/>
  <c r="X470" i="13"/>
  <c r="Y470" i="13" s="1"/>
  <c r="Z470" i="13" s="1"/>
  <c r="AA470" i="13" s="1"/>
  <c r="W471" i="13"/>
  <c r="W236" i="6"/>
  <c r="AA234" i="3"/>
  <c r="AD233" i="3"/>
  <c r="V277" i="6"/>
  <c r="W276" i="6"/>
  <c r="X276" i="6" s="1"/>
  <c r="Y276" i="6" s="1"/>
  <c r="Z276" i="6" s="1"/>
  <c r="E238" i="6" l="1"/>
  <c r="A239" i="6"/>
  <c r="B238" i="6"/>
  <c r="W472" i="13"/>
  <c r="X471" i="13"/>
  <c r="Y471" i="13" s="1"/>
  <c r="Z471" i="13" s="1"/>
  <c r="AA471" i="13" s="1"/>
  <c r="W237" i="6"/>
  <c r="AA235" i="3"/>
  <c r="AD234" i="3"/>
  <c r="V278" i="6"/>
  <c r="W277" i="6"/>
  <c r="X277" i="6" s="1"/>
  <c r="Y277" i="6" s="1"/>
  <c r="Z277" i="6" s="1"/>
  <c r="E239" i="6" l="1"/>
  <c r="B239" i="6"/>
  <c r="A240" i="6"/>
  <c r="W473" i="13"/>
  <c r="X472" i="13"/>
  <c r="Y472" i="13" s="1"/>
  <c r="Z472" i="13" s="1"/>
  <c r="AA472" i="13" s="1"/>
  <c r="W238" i="6"/>
  <c r="AA236" i="3"/>
  <c r="AD235" i="3"/>
  <c r="V279" i="6"/>
  <c r="W278" i="6"/>
  <c r="X278" i="6" s="1"/>
  <c r="Y278" i="6" s="1"/>
  <c r="Z278" i="6" s="1"/>
  <c r="E240" i="6" l="1"/>
  <c r="B240" i="6"/>
  <c r="A241" i="6"/>
  <c r="W474" i="13"/>
  <c r="X473" i="13"/>
  <c r="Y473" i="13" s="1"/>
  <c r="Z473" i="13" s="1"/>
  <c r="AA473" i="13" s="1"/>
  <c r="W239" i="6"/>
  <c r="AA237" i="3"/>
  <c r="AD236" i="3"/>
  <c r="V280" i="6"/>
  <c r="W279" i="6"/>
  <c r="X279" i="6" s="1"/>
  <c r="Y279" i="6" s="1"/>
  <c r="Z279" i="6" s="1"/>
  <c r="E241" i="6" l="1"/>
  <c r="A242" i="6"/>
  <c r="B241" i="6"/>
  <c r="W475" i="13"/>
  <c r="X474" i="13"/>
  <c r="Y474" i="13" s="1"/>
  <c r="Z474" i="13" s="1"/>
  <c r="AA474" i="13" s="1"/>
  <c r="W240" i="6"/>
  <c r="AA238" i="3"/>
  <c r="AD237" i="3"/>
  <c r="V281" i="6"/>
  <c r="W280" i="6"/>
  <c r="X280" i="6" s="1"/>
  <c r="Y280" i="6" s="1"/>
  <c r="Z280" i="6" s="1"/>
  <c r="E242" i="6" l="1"/>
  <c r="A243" i="6"/>
  <c r="B242" i="6"/>
  <c r="W476" i="13"/>
  <c r="X475" i="13"/>
  <c r="Y475" i="13" s="1"/>
  <c r="Z475" i="13" s="1"/>
  <c r="AA475" i="13" s="1"/>
  <c r="W241" i="6"/>
  <c r="AA239" i="3"/>
  <c r="AD238" i="3"/>
  <c r="V282" i="6"/>
  <c r="W281" i="6"/>
  <c r="X281" i="6" s="1"/>
  <c r="Y281" i="6" s="1"/>
  <c r="Z281" i="6" s="1"/>
  <c r="E243" i="6" l="1"/>
  <c r="B243" i="6"/>
  <c r="A244" i="6"/>
  <c r="X476" i="13"/>
  <c r="Y476" i="13" s="1"/>
  <c r="Z476" i="13" s="1"/>
  <c r="AA476" i="13" s="1"/>
  <c r="W477" i="13"/>
  <c r="W242" i="6"/>
  <c r="AA240" i="3"/>
  <c r="AD239" i="3"/>
  <c r="V283" i="6"/>
  <c r="W282" i="6"/>
  <c r="X282" i="6" s="1"/>
  <c r="Y282" i="6" s="1"/>
  <c r="Z282" i="6" s="1"/>
  <c r="E244" i="6" l="1"/>
  <c r="B244" i="6"/>
  <c r="A245" i="6"/>
  <c r="X477" i="13"/>
  <c r="Y477" i="13" s="1"/>
  <c r="Z477" i="13" s="1"/>
  <c r="AA477" i="13" s="1"/>
  <c r="W478" i="13"/>
  <c r="W243" i="6"/>
  <c r="AA241" i="3"/>
  <c r="AD240" i="3"/>
  <c r="V284" i="6"/>
  <c r="W283" i="6"/>
  <c r="X283" i="6" s="1"/>
  <c r="Y283" i="6" s="1"/>
  <c r="Z283" i="6" s="1"/>
  <c r="E245" i="6" l="1"/>
  <c r="A246" i="6"/>
  <c r="B245" i="6"/>
  <c r="X478" i="13"/>
  <c r="Y478" i="13" s="1"/>
  <c r="Z478" i="13" s="1"/>
  <c r="AA478" i="13" s="1"/>
  <c r="W479" i="13"/>
  <c r="W244" i="6"/>
  <c r="AA242" i="3"/>
  <c r="AD241" i="3"/>
  <c r="V285" i="6"/>
  <c r="W284" i="6"/>
  <c r="X284" i="6" s="1"/>
  <c r="Y284" i="6" s="1"/>
  <c r="Z284" i="6" s="1"/>
  <c r="E246" i="6" l="1"/>
  <c r="A247" i="6"/>
  <c r="B246" i="6"/>
  <c r="W480" i="13"/>
  <c r="X479" i="13"/>
  <c r="Y479" i="13" s="1"/>
  <c r="Z479" i="13" s="1"/>
  <c r="AA479" i="13" s="1"/>
  <c r="W245" i="6"/>
  <c r="AA243" i="3"/>
  <c r="AD242" i="3"/>
  <c r="V286" i="6"/>
  <c r="W285" i="6"/>
  <c r="X285" i="6" s="1"/>
  <c r="Y285" i="6" s="1"/>
  <c r="Z285" i="6" s="1"/>
  <c r="E247" i="6" l="1"/>
  <c r="B247" i="6"/>
  <c r="A248" i="6"/>
  <c r="X480" i="13"/>
  <c r="Y480" i="13" s="1"/>
  <c r="Z480" i="13" s="1"/>
  <c r="AA480" i="13" s="1"/>
  <c r="W481" i="13"/>
  <c r="W246" i="6"/>
  <c r="AA244" i="3"/>
  <c r="AD243" i="3"/>
  <c r="V287" i="6"/>
  <c r="W286" i="6"/>
  <c r="X286" i="6" s="1"/>
  <c r="Y286" i="6" s="1"/>
  <c r="Z286" i="6" s="1"/>
  <c r="E248" i="6" l="1"/>
  <c r="B248" i="6"/>
  <c r="A249" i="6"/>
  <c r="X481" i="13"/>
  <c r="Y481" i="13" s="1"/>
  <c r="Z481" i="13" s="1"/>
  <c r="AA481" i="13" s="1"/>
  <c r="W482" i="13"/>
  <c r="W247" i="6"/>
  <c r="AA245" i="3"/>
  <c r="AD245" i="3" s="1"/>
  <c r="AD244" i="3"/>
  <c r="V288" i="6"/>
  <c r="W287" i="6"/>
  <c r="X287" i="6" s="1"/>
  <c r="Y287" i="6" s="1"/>
  <c r="Z287" i="6" s="1"/>
  <c r="E249" i="6" l="1"/>
  <c r="A250" i="6"/>
  <c r="B249" i="6"/>
  <c r="X482" i="13"/>
  <c r="Y482" i="13" s="1"/>
  <c r="Z482" i="13" s="1"/>
  <c r="AA482" i="13" s="1"/>
  <c r="W483" i="13"/>
  <c r="W248" i="6"/>
  <c r="V289" i="6"/>
  <c r="W288" i="6"/>
  <c r="X288" i="6" s="1"/>
  <c r="Y288" i="6" s="1"/>
  <c r="Z288" i="6" s="1"/>
  <c r="E250" i="6" l="1"/>
  <c r="A251" i="6"/>
  <c r="B250" i="6"/>
  <c r="W484" i="13"/>
  <c r="X483" i="13"/>
  <c r="Y483" i="13" s="1"/>
  <c r="Z483" i="13" s="1"/>
  <c r="AA483" i="13" s="1"/>
  <c r="W249" i="6"/>
  <c r="V290" i="6"/>
  <c r="W289" i="6"/>
  <c r="X289" i="6" s="1"/>
  <c r="Y289" i="6" s="1"/>
  <c r="Z289" i="6" s="1"/>
  <c r="E251" i="6" l="1"/>
  <c r="B251" i="6"/>
  <c r="A252" i="6"/>
  <c r="W485" i="13"/>
  <c r="X484" i="13"/>
  <c r="Y484" i="13" s="1"/>
  <c r="Z484" i="13" s="1"/>
  <c r="AA484" i="13" s="1"/>
  <c r="W250" i="6"/>
  <c r="V291" i="6"/>
  <c r="W290" i="6"/>
  <c r="X290" i="6" s="1"/>
  <c r="Y290" i="6" s="1"/>
  <c r="Z290" i="6" s="1"/>
  <c r="E252" i="6" l="1"/>
  <c r="B252" i="6"/>
  <c r="A253" i="6"/>
  <c r="X485" i="13"/>
  <c r="Y485" i="13" s="1"/>
  <c r="Z485" i="13" s="1"/>
  <c r="AA485" i="13" s="1"/>
  <c r="W486" i="13"/>
  <c r="W251" i="6"/>
  <c r="V292" i="6"/>
  <c r="W291" i="6"/>
  <c r="X291" i="6" s="1"/>
  <c r="Y291" i="6" s="1"/>
  <c r="Z291" i="6" s="1"/>
  <c r="E253" i="6" l="1"/>
  <c r="A254" i="6"/>
  <c r="B253" i="6"/>
  <c r="W487" i="13"/>
  <c r="X486" i="13"/>
  <c r="Y486" i="13" s="1"/>
  <c r="Z486" i="13" s="1"/>
  <c r="AA486" i="13" s="1"/>
  <c r="W252" i="6"/>
  <c r="V293" i="6"/>
  <c r="W292" i="6"/>
  <c r="X292" i="6" s="1"/>
  <c r="Y292" i="6" s="1"/>
  <c r="Z292" i="6" s="1"/>
  <c r="E254" i="6" l="1"/>
  <c r="A255" i="6"/>
  <c r="B254" i="6"/>
  <c r="W488" i="13"/>
  <c r="X487" i="13"/>
  <c r="Y487" i="13" s="1"/>
  <c r="Z487" i="13" s="1"/>
  <c r="AA487" i="13" s="1"/>
  <c r="W253" i="6"/>
  <c r="V294" i="6"/>
  <c r="W293" i="6"/>
  <c r="X293" i="6" s="1"/>
  <c r="Y293" i="6" s="1"/>
  <c r="Z293" i="6" s="1"/>
  <c r="E255" i="6" l="1"/>
  <c r="B255" i="6"/>
  <c r="A256" i="6"/>
  <c r="W489" i="13"/>
  <c r="X488" i="13"/>
  <c r="Y488" i="13" s="1"/>
  <c r="Z488" i="13" s="1"/>
  <c r="AA488" i="13" s="1"/>
  <c r="W254" i="6"/>
  <c r="V295" i="6"/>
  <c r="W294" i="6"/>
  <c r="X294" i="6" s="1"/>
  <c r="Y294" i="6" s="1"/>
  <c r="Z294" i="6" s="1"/>
  <c r="E256" i="6" l="1"/>
  <c r="B256" i="6"/>
  <c r="A257" i="6"/>
  <c r="W490" i="13"/>
  <c r="X489" i="13"/>
  <c r="Y489" i="13" s="1"/>
  <c r="Z489" i="13" s="1"/>
  <c r="AA489" i="13" s="1"/>
  <c r="W255" i="6"/>
  <c r="V296" i="6"/>
  <c r="W295" i="6"/>
  <c r="X295" i="6" s="1"/>
  <c r="Y295" i="6" s="1"/>
  <c r="Z295" i="6" s="1"/>
  <c r="E257" i="6" l="1"/>
  <c r="A258" i="6"/>
  <c r="B257" i="6"/>
  <c r="X490" i="13"/>
  <c r="Y490" i="13" s="1"/>
  <c r="Z490" i="13" s="1"/>
  <c r="AA490" i="13" s="1"/>
  <c r="W491" i="13"/>
  <c r="W256" i="6"/>
  <c r="V297" i="6"/>
  <c r="W296" i="6"/>
  <c r="X296" i="6" s="1"/>
  <c r="Y296" i="6" s="1"/>
  <c r="Z296" i="6" s="1"/>
  <c r="E258" i="6" l="1"/>
  <c r="A259" i="6"/>
  <c r="B258" i="6"/>
  <c r="W492" i="13"/>
  <c r="X491" i="13"/>
  <c r="Y491" i="13" s="1"/>
  <c r="Z491" i="13" s="1"/>
  <c r="AA491" i="13" s="1"/>
  <c r="W257" i="6"/>
  <c r="V298" i="6"/>
  <c r="W297" i="6"/>
  <c r="X297" i="6" s="1"/>
  <c r="Y297" i="6" s="1"/>
  <c r="Z297" i="6" s="1"/>
  <c r="E259" i="6" l="1"/>
  <c r="B259" i="6"/>
  <c r="A260" i="6"/>
  <c r="X492" i="13"/>
  <c r="Y492" i="13" s="1"/>
  <c r="Z492" i="13" s="1"/>
  <c r="AA492" i="13" s="1"/>
  <c r="W493" i="13"/>
  <c r="W258" i="6"/>
  <c r="V299" i="6"/>
  <c r="W298" i="6"/>
  <c r="X298" i="6" s="1"/>
  <c r="Y298" i="6" s="1"/>
  <c r="Z298" i="6" s="1"/>
  <c r="E260" i="6" l="1"/>
  <c r="B260" i="6"/>
  <c r="A261" i="6"/>
  <c r="W494" i="13"/>
  <c r="X493" i="13"/>
  <c r="Y493" i="13" s="1"/>
  <c r="Z493" i="13" s="1"/>
  <c r="AA493" i="13" s="1"/>
  <c r="W259" i="6"/>
  <c r="V300" i="6"/>
  <c r="W299" i="6"/>
  <c r="X299" i="6" s="1"/>
  <c r="Y299" i="6" s="1"/>
  <c r="Z299" i="6" s="1"/>
  <c r="E261" i="6" l="1"/>
  <c r="A262" i="6"/>
  <c r="B261" i="6"/>
  <c r="W495" i="13"/>
  <c r="X494" i="13"/>
  <c r="Y494" i="13" s="1"/>
  <c r="Z494" i="13" s="1"/>
  <c r="AA494" i="13" s="1"/>
  <c r="W260" i="6"/>
  <c r="V301" i="6"/>
  <c r="W300" i="6"/>
  <c r="X300" i="6" s="1"/>
  <c r="Y300" i="6" s="1"/>
  <c r="Z300" i="6" s="1"/>
  <c r="E262" i="6" l="1"/>
  <c r="A263" i="6"/>
  <c r="B262" i="6"/>
  <c r="W496" i="13"/>
  <c r="X495" i="13"/>
  <c r="Y495" i="13" s="1"/>
  <c r="Z495" i="13" s="1"/>
  <c r="AA495" i="13" s="1"/>
  <c r="W261" i="6"/>
  <c r="V302" i="6"/>
  <c r="W301" i="6"/>
  <c r="X301" i="6" s="1"/>
  <c r="Y301" i="6" s="1"/>
  <c r="Z301" i="6" s="1"/>
  <c r="E263" i="6" l="1"/>
  <c r="B263" i="6"/>
  <c r="W497" i="13"/>
  <c r="X496" i="13"/>
  <c r="Y496" i="13" s="1"/>
  <c r="Z496" i="13" s="1"/>
  <c r="AA496" i="13" s="1"/>
  <c r="W262" i="6"/>
  <c r="V303" i="6"/>
  <c r="W302" i="6"/>
  <c r="X302" i="6" s="1"/>
  <c r="Y302" i="6" s="1"/>
  <c r="Z302" i="6" s="1"/>
  <c r="W498" i="13" l="1"/>
  <c r="X497" i="13"/>
  <c r="Y497" i="13" s="1"/>
  <c r="Z497" i="13" s="1"/>
  <c r="AA497" i="13" s="1"/>
  <c r="W263" i="6"/>
  <c r="V304" i="6"/>
  <c r="W303" i="6"/>
  <c r="X303" i="6" s="1"/>
  <c r="Y303" i="6" s="1"/>
  <c r="Z303" i="6" s="1"/>
  <c r="X498" i="13" l="1"/>
  <c r="Y498" i="13" s="1"/>
  <c r="Z498" i="13" s="1"/>
  <c r="AA498" i="13" s="1"/>
  <c r="W499" i="13"/>
  <c r="W264" i="6"/>
  <c r="V305" i="6"/>
  <c r="W304" i="6"/>
  <c r="X304" i="6" s="1"/>
  <c r="Y304" i="6" s="1"/>
  <c r="Z304" i="6" s="1"/>
  <c r="W500" i="13" l="1"/>
  <c r="X499" i="13"/>
  <c r="Y499" i="13" s="1"/>
  <c r="Z499" i="13" s="1"/>
  <c r="AA499" i="13" s="1"/>
  <c r="W265" i="6"/>
  <c r="V306" i="6"/>
  <c r="W305" i="6"/>
  <c r="X305" i="6" s="1"/>
  <c r="Y305" i="6" s="1"/>
  <c r="Z305" i="6" s="1"/>
  <c r="X500" i="13" l="1"/>
  <c r="Y500" i="13" s="1"/>
  <c r="Z500" i="13" s="1"/>
  <c r="AA500" i="13" s="1"/>
  <c r="W501" i="13"/>
  <c r="W266" i="6"/>
  <c r="V307" i="6"/>
  <c r="W306" i="6"/>
  <c r="X306" i="6" s="1"/>
  <c r="Y306" i="6" s="1"/>
  <c r="Z306" i="6" s="1"/>
  <c r="W502" i="13" l="1"/>
  <c r="X501" i="13"/>
  <c r="Y501" i="13" s="1"/>
  <c r="Z501" i="13" s="1"/>
  <c r="AA501" i="13" s="1"/>
  <c r="W267" i="6"/>
  <c r="V308" i="6"/>
  <c r="W307" i="6"/>
  <c r="X307" i="6" s="1"/>
  <c r="Y307" i="6" s="1"/>
  <c r="Z307" i="6" s="1"/>
  <c r="W503" i="13" l="1"/>
  <c r="X502" i="13"/>
  <c r="Y502" i="13" s="1"/>
  <c r="Z502" i="13" s="1"/>
  <c r="AA502" i="13" s="1"/>
  <c r="W268" i="6"/>
  <c r="V309" i="6"/>
  <c r="W308" i="6"/>
  <c r="X308" i="6" s="1"/>
  <c r="Y308" i="6" s="1"/>
  <c r="Z308" i="6" s="1"/>
  <c r="W504" i="13" l="1"/>
  <c r="X503" i="13"/>
  <c r="Y503" i="13" s="1"/>
  <c r="Z503" i="13" s="1"/>
  <c r="AA503" i="13" s="1"/>
  <c r="W269" i="6"/>
  <c r="V310" i="6"/>
  <c r="W309" i="6"/>
  <c r="X309" i="6" s="1"/>
  <c r="Y309" i="6" s="1"/>
  <c r="Z309" i="6" s="1"/>
  <c r="W505" i="13" l="1"/>
  <c r="X504" i="13"/>
  <c r="Y504" i="13" s="1"/>
  <c r="Z504" i="13" s="1"/>
  <c r="AA504" i="13" s="1"/>
  <c r="W270" i="6"/>
  <c r="V311" i="6"/>
  <c r="W310" i="6"/>
  <c r="X310" i="6" s="1"/>
  <c r="Y310" i="6" s="1"/>
  <c r="Z310" i="6" s="1"/>
  <c r="W506" i="13" l="1"/>
  <c r="X505" i="13"/>
  <c r="Y505" i="13" s="1"/>
  <c r="Z505" i="13" s="1"/>
  <c r="AA505" i="13" s="1"/>
  <c r="W271" i="6"/>
  <c r="X271" i="6" s="1"/>
  <c r="Y271" i="6" s="1"/>
  <c r="Z271" i="6" s="1"/>
  <c r="V312" i="6"/>
  <c r="W311" i="6"/>
  <c r="X311" i="6" s="1"/>
  <c r="Y311" i="6" s="1"/>
  <c r="Z311" i="6" s="1"/>
  <c r="X506" i="13" l="1"/>
  <c r="Y506" i="13" s="1"/>
  <c r="Z506" i="13" s="1"/>
  <c r="AA506" i="13" s="1"/>
  <c r="W507" i="13"/>
  <c r="V313" i="6"/>
  <c r="W312" i="6"/>
  <c r="X312" i="6" s="1"/>
  <c r="Y312" i="6" s="1"/>
  <c r="Z312" i="6" s="1"/>
  <c r="W508" i="13" l="1"/>
  <c r="X507" i="13"/>
  <c r="Y507" i="13" s="1"/>
  <c r="Z507" i="13" s="1"/>
  <c r="AA507" i="13" s="1"/>
  <c r="V314" i="6"/>
  <c r="W313" i="6"/>
  <c r="X313" i="6" s="1"/>
  <c r="Y313" i="6" s="1"/>
  <c r="Z313" i="6" s="1"/>
  <c r="X508" i="13" l="1"/>
  <c r="Y508" i="13" s="1"/>
  <c r="Z508" i="13" s="1"/>
  <c r="AA508" i="13" s="1"/>
  <c r="W509" i="13"/>
  <c r="V315" i="6"/>
  <c r="W314" i="6"/>
  <c r="X314" i="6" s="1"/>
  <c r="Y314" i="6" s="1"/>
  <c r="Z314" i="6" s="1"/>
  <c r="W510" i="13" l="1"/>
  <c r="X509" i="13"/>
  <c r="Y509" i="13" s="1"/>
  <c r="Z509" i="13" s="1"/>
  <c r="AA509" i="13" s="1"/>
  <c r="V316" i="6"/>
  <c r="W315" i="6"/>
  <c r="X315" i="6" s="1"/>
  <c r="Y315" i="6" s="1"/>
  <c r="Z315" i="6" s="1"/>
  <c r="W511" i="13" l="1"/>
  <c r="X510" i="13"/>
  <c r="Y510" i="13" s="1"/>
  <c r="Z510" i="13" s="1"/>
  <c r="AA510" i="13" s="1"/>
  <c r="V317" i="6"/>
  <c r="W316" i="6"/>
  <c r="X316" i="6" s="1"/>
  <c r="Y316" i="6" s="1"/>
  <c r="Z316" i="6" s="1"/>
  <c r="W512" i="13" l="1"/>
  <c r="X511" i="13"/>
  <c r="Y511" i="13" s="1"/>
  <c r="Z511" i="13" s="1"/>
  <c r="AA511" i="13" s="1"/>
  <c r="V318" i="6"/>
  <c r="W317" i="6"/>
  <c r="X317" i="6" s="1"/>
  <c r="Y317" i="6" s="1"/>
  <c r="Z317" i="6" s="1"/>
  <c r="W513" i="13" l="1"/>
  <c r="X512" i="13"/>
  <c r="Y512" i="13" s="1"/>
  <c r="Z512" i="13" s="1"/>
  <c r="AA512" i="13" s="1"/>
  <c r="V319" i="6"/>
  <c r="W318" i="6"/>
  <c r="X318" i="6" s="1"/>
  <c r="Y318" i="6" s="1"/>
  <c r="Z318" i="6" s="1"/>
  <c r="W514" i="13" l="1"/>
  <c r="X513" i="13"/>
  <c r="Y513" i="13" s="1"/>
  <c r="Z513" i="13" s="1"/>
  <c r="AA513" i="13" s="1"/>
  <c r="V320" i="6"/>
  <c r="W319" i="6"/>
  <c r="X319" i="6" s="1"/>
  <c r="Y319" i="6" s="1"/>
  <c r="Z319" i="6" s="1"/>
  <c r="X514" i="13" l="1"/>
  <c r="Y514" i="13" s="1"/>
  <c r="Z514" i="13" s="1"/>
  <c r="AA514" i="13" s="1"/>
  <c r="W515" i="13"/>
  <c r="V321" i="6"/>
  <c r="W320" i="6"/>
  <c r="X320" i="6" s="1"/>
  <c r="Y320" i="6" s="1"/>
  <c r="Z320" i="6" s="1"/>
  <c r="W516" i="13" l="1"/>
  <c r="X515" i="13"/>
  <c r="Y515" i="13" s="1"/>
  <c r="Z515" i="13" s="1"/>
  <c r="AA515" i="13" s="1"/>
  <c r="V322" i="6"/>
  <c r="W321" i="6"/>
  <c r="X321" i="6" s="1"/>
  <c r="Y321" i="6" s="1"/>
  <c r="Z321" i="6" s="1"/>
  <c r="X516" i="13" l="1"/>
  <c r="Y516" i="13" s="1"/>
  <c r="Z516" i="13" s="1"/>
  <c r="AA516" i="13" s="1"/>
  <c r="W517" i="13"/>
  <c r="V323" i="6"/>
  <c r="W322" i="6"/>
  <c r="X322" i="6" s="1"/>
  <c r="Y322" i="6" s="1"/>
  <c r="Z322" i="6" s="1"/>
  <c r="W518" i="13" l="1"/>
  <c r="X517" i="13"/>
  <c r="Y517" i="13" s="1"/>
  <c r="Z517" i="13" s="1"/>
  <c r="AA517" i="13" s="1"/>
  <c r="V324" i="6"/>
  <c r="W323" i="6"/>
  <c r="X323" i="6" s="1"/>
  <c r="Y323" i="6" s="1"/>
  <c r="Z323" i="6" s="1"/>
  <c r="W519" i="13" l="1"/>
  <c r="X518" i="13"/>
  <c r="Y518" i="13" s="1"/>
  <c r="Z518" i="13" s="1"/>
  <c r="AA518" i="13" s="1"/>
  <c r="V325" i="6"/>
  <c r="W324" i="6"/>
  <c r="X324" i="6" s="1"/>
  <c r="Y324" i="6" s="1"/>
  <c r="Z324" i="6" s="1"/>
  <c r="W520" i="13" l="1"/>
  <c r="X519" i="13"/>
  <c r="Y519" i="13" s="1"/>
  <c r="Z519" i="13" s="1"/>
  <c r="AA519" i="13" s="1"/>
  <c r="V326" i="6"/>
  <c r="W325" i="6"/>
  <c r="X325" i="6" s="1"/>
  <c r="Y325" i="6" s="1"/>
  <c r="Z325" i="6" s="1"/>
  <c r="W521" i="13" l="1"/>
  <c r="X520" i="13"/>
  <c r="Y520" i="13" s="1"/>
  <c r="Z520" i="13" s="1"/>
  <c r="AA520" i="13" s="1"/>
  <c r="V327" i="6"/>
  <c r="W326" i="6"/>
  <c r="X326" i="6" s="1"/>
  <c r="Y326" i="6" s="1"/>
  <c r="Z326" i="6" s="1"/>
  <c r="W522" i="13" l="1"/>
  <c r="X521" i="13"/>
  <c r="Y521" i="13" s="1"/>
  <c r="Z521" i="13" s="1"/>
  <c r="AA521" i="13" s="1"/>
  <c r="V328" i="6"/>
  <c r="W327" i="6"/>
  <c r="X327" i="6" s="1"/>
  <c r="Y327" i="6" s="1"/>
  <c r="Z327" i="6" s="1"/>
  <c r="X522" i="13" l="1"/>
  <c r="Y522" i="13" s="1"/>
  <c r="Z522" i="13" s="1"/>
  <c r="AA522" i="13" s="1"/>
  <c r="W523" i="13"/>
  <c r="V329" i="6"/>
  <c r="W328" i="6"/>
  <c r="X328" i="6" s="1"/>
  <c r="Y328" i="6" s="1"/>
  <c r="Z328" i="6" s="1"/>
  <c r="W524" i="13" l="1"/>
  <c r="X523" i="13"/>
  <c r="Y523" i="13" s="1"/>
  <c r="Z523" i="13" s="1"/>
  <c r="AA523" i="13" s="1"/>
  <c r="V330" i="6"/>
  <c r="W329" i="6"/>
  <c r="X329" i="6" s="1"/>
  <c r="Y329" i="6" s="1"/>
  <c r="Z329" i="6" s="1"/>
  <c r="X524" i="13" l="1"/>
  <c r="Y524" i="13" s="1"/>
  <c r="Z524" i="13" s="1"/>
  <c r="AA524" i="13" s="1"/>
  <c r="W525" i="13"/>
  <c r="V331" i="6"/>
  <c r="W330" i="6"/>
  <c r="X330" i="6" s="1"/>
  <c r="Y330" i="6" s="1"/>
  <c r="Z330" i="6" s="1"/>
  <c r="W526" i="13" l="1"/>
  <c r="X525" i="13"/>
  <c r="Y525" i="13" s="1"/>
  <c r="Z525" i="13" s="1"/>
  <c r="AA525" i="13" s="1"/>
  <c r="V332" i="6"/>
  <c r="W331" i="6"/>
  <c r="X331" i="6" s="1"/>
  <c r="Y331" i="6" s="1"/>
  <c r="Z331" i="6" s="1"/>
  <c r="W527" i="13" l="1"/>
  <c r="X526" i="13"/>
  <c r="Y526" i="13" s="1"/>
  <c r="Z526" i="13" s="1"/>
  <c r="AA526" i="13" s="1"/>
  <c r="V333" i="6"/>
  <c r="W332" i="6"/>
  <c r="X332" i="6" s="1"/>
  <c r="Y332" i="6" s="1"/>
  <c r="Z332" i="6" s="1"/>
  <c r="W528" i="13" l="1"/>
  <c r="X527" i="13"/>
  <c r="Y527" i="13" s="1"/>
  <c r="Z527" i="13" s="1"/>
  <c r="AA527" i="13" s="1"/>
  <c r="V334" i="6"/>
  <c r="W333" i="6"/>
  <c r="X333" i="6" s="1"/>
  <c r="Y333" i="6" s="1"/>
  <c r="Z333" i="6" s="1"/>
  <c r="W529" i="13" l="1"/>
  <c r="X528" i="13"/>
  <c r="Y528" i="13" s="1"/>
  <c r="Z528" i="13" s="1"/>
  <c r="AA528" i="13" s="1"/>
  <c r="V335" i="6"/>
  <c r="W334" i="6"/>
  <c r="X334" i="6" s="1"/>
  <c r="Y334" i="6" s="1"/>
  <c r="Z334" i="6" s="1"/>
  <c r="W530" i="13" l="1"/>
  <c r="X529" i="13"/>
  <c r="Y529" i="13" s="1"/>
  <c r="Z529" i="13" s="1"/>
  <c r="AA529" i="13" s="1"/>
  <c r="V336" i="6"/>
  <c r="W335" i="6"/>
  <c r="X335" i="6" s="1"/>
  <c r="Y335" i="6" s="1"/>
  <c r="Z335" i="6" s="1"/>
  <c r="W531" i="13" l="1"/>
  <c r="X530" i="13"/>
  <c r="Y530" i="13" s="1"/>
  <c r="Z530" i="13" s="1"/>
  <c r="AA530" i="13" s="1"/>
  <c r="V337" i="6"/>
  <c r="W336" i="6"/>
  <c r="X336" i="6" s="1"/>
  <c r="Y336" i="6" s="1"/>
  <c r="Z336" i="6" s="1"/>
  <c r="W532" i="13" l="1"/>
  <c r="X531" i="13"/>
  <c r="Y531" i="13" s="1"/>
  <c r="Z531" i="13" s="1"/>
  <c r="AA531" i="13" s="1"/>
  <c r="V338" i="6"/>
  <c r="W337" i="6"/>
  <c r="X337" i="6" s="1"/>
  <c r="Y337" i="6" s="1"/>
  <c r="Z337" i="6" s="1"/>
  <c r="W533" i="13" l="1"/>
  <c r="X532" i="13"/>
  <c r="Y532" i="13" s="1"/>
  <c r="Z532" i="13" s="1"/>
  <c r="AA532" i="13" s="1"/>
  <c r="V339" i="6"/>
  <c r="W338" i="6"/>
  <c r="X338" i="6" s="1"/>
  <c r="Y338" i="6" s="1"/>
  <c r="Z338" i="6" s="1"/>
  <c r="W534" i="13" l="1"/>
  <c r="X533" i="13"/>
  <c r="Y533" i="13" s="1"/>
  <c r="Z533" i="13" s="1"/>
  <c r="AA533" i="13" s="1"/>
  <c r="V340" i="6"/>
  <c r="W339" i="6"/>
  <c r="X339" i="6" s="1"/>
  <c r="Y339" i="6" s="1"/>
  <c r="Z339" i="6" s="1"/>
  <c r="X534" i="13" l="1"/>
  <c r="Y534" i="13" s="1"/>
  <c r="Z534" i="13" s="1"/>
  <c r="AA534" i="13" s="1"/>
  <c r="W535" i="13"/>
  <c r="V341" i="6"/>
  <c r="W340" i="6"/>
  <c r="X340" i="6" s="1"/>
  <c r="Y340" i="6" s="1"/>
  <c r="Z340" i="6" s="1"/>
  <c r="W536" i="13" l="1"/>
  <c r="X535" i="13"/>
  <c r="Y535" i="13" s="1"/>
  <c r="Z535" i="13" s="1"/>
  <c r="AA535" i="13" s="1"/>
  <c r="V342" i="6"/>
  <c r="W341" i="6"/>
  <c r="X341" i="6" s="1"/>
  <c r="Y341" i="6" s="1"/>
  <c r="Z341" i="6" s="1"/>
  <c r="X536" i="13" l="1"/>
  <c r="Y536" i="13" s="1"/>
  <c r="Z536" i="13" s="1"/>
  <c r="AA536" i="13" s="1"/>
  <c r="W537" i="13"/>
  <c r="V343" i="6"/>
  <c r="W342" i="6"/>
  <c r="X342" i="6" s="1"/>
  <c r="Y342" i="6" s="1"/>
  <c r="Z342" i="6" s="1"/>
  <c r="W538" i="13" l="1"/>
  <c r="X537" i="13"/>
  <c r="Y537" i="13" s="1"/>
  <c r="Z537" i="13" s="1"/>
  <c r="AA537" i="13" s="1"/>
  <c r="V344" i="6"/>
  <c r="W343" i="6"/>
  <c r="X343" i="6" s="1"/>
  <c r="Y343" i="6" s="1"/>
  <c r="Z343" i="6" s="1"/>
  <c r="W539" i="13" l="1"/>
  <c r="X538" i="13"/>
  <c r="Y538" i="13" s="1"/>
  <c r="Z538" i="13" s="1"/>
  <c r="AA538" i="13" s="1"/>
  <c r="V345" i="6"/>
  <c r="W344" i="6"/>
  <c r="X344" i="6" s="1"/>
  <c r="Y344" i="6" s="1"/>
  <c r="Z344" i="6" s="1"/>
  <c r="W540" i="13" l="1"/>
  <c r="X539" i="13"/>
  <c r="Y539" i="13" s="1"/>
  <c r="Z539" i="13" s="1"/>
  <c r="AA539" i="13" s="1"/>
  <c r="V346" i="6"/>
  <c r="W345" i="6"/>
  <c r="X345" i="6" s="1"/>
  <c r="Y345" i="6" s="1"/>
  <c r="Z345" i="6" s="1"/>
  <c r="W541" i="13" l="1"/>
  <c r="X540" i="13"/>
  <c r="Y540" i="13" s="1"/>
  <c r="Z540" i="13" s="1"/>
  <c r="AA540" i="13" s="1"/>
  <c r="V347" i="6"/>
  <c r="W346" i="6"/>
  <c r="X346" i="6" s="1"/>
  <c r="Y346" i="6" s="1"/>
  <c r="Z346" i="6" s="1"/>
  <c r="W542" i="13" l="1"/>
  <c r="X541" i="13"/>
  <c r="Y541" i="13" s="1"/>
  <c r="Z541" i="13" s="1"/>
  <c r="AA541" i="13" s="1"/>
  <c r="V348" i="6"/>
  <c r="W347" i="6"/>
  <c r="X347" i="6" s="1"/>
  <c r="Y347" i="6" s="1"/>
  <c r="Z347" i="6" s="1"/>
  <c r="W543" i="13" l="1"/>
  <c r="X542" i="13"/>
  <c r="Y542" i="13" s="1"/>
  <c r="Z542" i="13" s="1"/>
  <c r="AA542" i="13" s="1"/>
  <c r="V349" i="6"/>
  <c r="W348" i="6"/>
  <c r="X348" i="6" s="1"/>
  <c r="Y348" i="6" s="1"/>
  <c r="Z348" i="6" s="1"/>
  <c r="W544" i="13" l="1"/>
  <c r="W545" i="13" s="1"/>
  <c r="W546" i="13" s="1"/>
  <c r="W547" i="13" s="1"/>
  <c r="W548" i="13" s="1"/>
  <c r="W549" i="13" s="1"/>
  <c r="W550" i="13" s="1"/>
  <c r="W551" i="13" s="1"/>
  <c r="W552" i="13" s="1"/>
  <c r="W553" i="13" s="1"/>
  <c r="W554" i="13" s="1"/>
  <c r="W555" i="13" s="1"/>
  <c r="W556" i="13" s="1"/>
  <c r="W557" i="13" s="1"/>
  <c r="W558" i="13" s="1"/>
  <c r="W559" i="13" s="1"/>
  <c r="W560" i="13" s="1"/>
  <c r="W561" i="13" s="1"/>
  <c r="W562" i="13" s="1"/>
  <c r="W563" i="13" s="1"/>
  <c r="W564" i="13" s="1"/>
  <c r="W565" i="13" s="1"/>
  <c r="W566" i="13" s="1"/>
  <c r="W567" i="13" s="1"/>
  <c r="W568" i="13" s="1"/>
  <c r="W569" i="13" s="1"/>
  <c r="W570" i="13" s="1"/>
  <c r="W571" i="13" s="1"/>
  <c r="W572" i="13" s="1"/>
  <c r="W573" i="13" s="1"/>
  <c r="W574" i="13" s="1"/>
  <c r="W575" i="13" s="1"/>
  <c r="W576" i="13" s="1"/>
  <c r="W577" i="13" s="1"/>
  <c r="W578" i="13" s="1"/>
  <c r="W579" i="13" s="1"/>
  <c r="W580" i="13" s="1"/>
  <c r="W581" i="13" s="1"/>
  <c r="W582" i="13" s="1"/>
  <c r="W583" i="13" s="1"/>
  <c r="W584" i="13" s="1"/>
  <c r="W585" i="13" s="1"/>
  <c r="W586" i="13" s="1"/>
  <c r="W587" i="13" s="1"/>
  <c r="W588" i="13" s="1"/>
  <c r="W589" i="13" s="1"/>
  <c r="W590" i="13" s="1"/>
  <c r="W591" i="13" s="1"/>
  <c r="W592" i="13" s="1"/>
  <c r="W593" i="13" s="1"/>
  <c r="W594" i="13" s="1"/>
  <c r="W595" i="13" s="1"/>
  <c r="W596" i="13" s="1"/>
  <c r="W597" i="13" s="1"/>
  <c r="W598" i="13" s="1"/>
  <c r="W599" i="13" s="1"/>
  <c r="W600" i="13" s="1"/>
  <c r="W601" i="13" s="1"/>
  <c r="W602" i="13" s="1"/>
  <c r="W603" i="13" s="1"/>
  <c r="W604" i="13" s="1"/>
  <c r="W605" i="13" s="1"/>
  <c r="W606" i="13" s="1"/>
  <c r="W607" i="13" s="1"/>
  <c r="W608" i="13" s="1"/>
  <c r="W609" i="13" s="1"/>
  <c r="W610" i="13" s="1"/>
  <c r="W611" i="13" s="1"/>
  <c r="W612" i="13" s="1"/>
  <c r="W613" i="13" s="1"/>
  <c r="W614" i="13" s="1"/>
  <c r="W615" i="13" s="1"/>
  <c r="W616" i="13" s="1"/>
  <c r="X543" i="13"/>
  <c r="Y543" i="13" s="1"/>
  <c r="Z543" i="13" s="1"/>
  <c r="AA543" i="13" s="1"/>
  <c r="AA26" i="13" s="1"/>
  <c r="AB25" i="13" s="1"/>
  <c r="V350" i="6"/>
  <c r="W349" i="6"/>
  <c r="X349" i="6" s="1"/>
  <c r="Y349" i="6" s="1"/>
  <c r="Z349" i="6" s="1"/>
  <c r="V351" i="6" l="1"/>
  <c r="W350" i="6"/>
  <c r="X350" i="6" s="1"/>
  <c r="Y350" i="6" s="1"/>
  <c r="Z350" i="6" s="1"/>
  <c r="V352" i="6" l="1"/>
  <c r="W351" i="6"/>
  <c r="X351" i="6" s="1"/>
  <c r="Y351" i="6" s="1"/>
  <c r="Z351" i="6" s="1"/>
  <c r="V353" i="6" l="1"/>
  <c r="W352" i="6"/>
  <c r="X352" i="6" s="1"/>
  <c r="Y352" i="6" s="1"/>
  <c r="Z352" i="6" s="1"/>
  <c r="V354" i="6" l="1"/>
  <c r="W353" i="6"/>
  <c r="X353" i="6" s="1"/>
  <c r="Y353" i="6" s="1"/>
  <c r="Z353" i="6" s="1"/>
  <c r="AE30" i="3"/>
  <c r="AF30" i="3" s="1"/>
  <c r="AG30" i="3" l="1"/>
  <c r="AH30" i="3"/>
  <c r="V355" i="6"/>
  <c r="W354" i="6"/>
  <c r="X354" i="6" s="1"/>
  <c r="Y354" i="6" s="1"/>
  <c r="Z354" i="6" s="1"/>
  <c r="AE31" i="3" l="1"/>
  <c r="AF31" i="3" s="1"/>
  <c r="V356" i="6"/>
  <c r="W355" i="6"/>
  <c r="X355" i="6" s="1"/>
  <c r="Y355" i="6" s="1"/>
  <c r="Z355" i="6" s="1"/>
  <c r="AG31" i="3" l="1"/>
  <c r="AH31" i="3"/>
  <c r="V357" i="6"/>
  <c r="W356" i="6"/>
  <c r="X356" i="6" s="1"/>
  <c r="Y356" i="6" s="1"/>
  <c r="Z356" i="6" s="1"/>
  <c r="AE32" i="3"/>
  <c r="AF32" i="3" s="1"/>
  <c r="AG32" i="3" l="1"/>
  <c r="AH32" i="3"/>
  <c r="AE33" i="3"/>
  <c r="AF33" i="3" s="1"/>
  <c r="V358" i="6"/>
  <c r="W357" i="6"/>
  <c r="X357" i="6" s="1"/>
  <c r="Y357" i="6" s="1"/>
  <c r="Z357" i="6" s="1"/>
  <c r="AG33" i="3" l="1"/>
  <c r="AH33" i="3"/>
  <c r="AE34" i="3"/>
  <c r="AF34" i="3" s="1"/>
  <c r="V359" i="6"/>
  <c r="W358" i="6"/>
  <c r="X358" i="6" s="1"/>
  <c r="Y358" i="6" s="1"/>
  <c r="Z358" i="6" s="1"/>
  <c r="AG34" i="3" l="1"/>
  <c r="AH34" i="3"/>
  <c r="AE35" i="3"/>
  <c r="AF35" i="3" s="1"/>
  <c r="V360" i="6"/>
  <c r="W359" i="6"/>
  <c r="X359" i="6" s="1"/>
  <c r="Y359" i="6" s="1"/>
  <c r="Z359" i="6" s="1"/>
  <c r="AG35" i="3" l="1"/>
  <c r="AH35" i="3"/>
  <c r="AE36" i="3"/>
  <c r="AF36" i="3" s="1"/>
  <c r="V361" i="6"/>
  <c r="W360" i="6"/>
  <c r="X360" i="6" s="1"/>
  <c r="Y360" i="6" s="1"/>
  <c r="Z360" i="6" s="1"/>
  <c r="AG36" i="3" l="1"/>
  <c r="AH36" i="3"/>
  <c r="AE37" i="3"/>
  <c r="AF37" i="3" s="1"/>
  <c r="V362" i="6"/>
  <c r="W361" i="6"/>
  <c r="X361" i="6" s="1"/>
  <c r="Y361" i="6" s="1"/>
  <c r="Z361" i="6" s="1"/>
  <c r="AG37" i="3" l="1"/>
  <c r="AH37" i="3"/>
  <c r="AE38" i="3"/>
  <c r="AF38" i="3" s="1"/>
  <c r="V363" i="6"/>
  <c r="W362" i="6"/>
  <c r="X362" i="6" s="1"/>
  <c r="Y362" i="6" s="1"/>
  <c r="Z362" i="6" s="1"/>
  <c r="AG38" i="3" l="1"/>
  <c r="AH38" i="3"/>
  <c r="AE39" i="3"/>
  <c r="AF39" i="3" s="1"/>
  <c r="V364" i="6"/>
  <c r="W363" i="6"/>
  <c r="X363" i="6" s="1"/>
  <c r="Y363" i="6" s="1"/>
  <c r="Z363" i="6" s="1"/>
  <c r="AG39" i="3" l="1"/>
  <c r="AH39" i="3"/>
  <c r="AE40" i="3"/>
  <c r="AF40" i="3" s="1"/>
  <c r="V365" i="6"/>
  <c r="W364" i="6"/>
  <c r="X364" i="6" s="1"/>
  <c r="Y364" i="6" s="1"/>
  <c r="Z364" i="6" s="1"/>
  <c r="AG40" i="3" l="1"/>
  <c r="AH40" i="3"/>
  <c r="AE41" i="3"/>
  <c r="AF41" i="3" s="1"/>
  <c r="V366" i="6"/>
  <c r="W365" i="6"/>
  <c r="X365" i="6" s="1"/>
  <c r="Y365" i="6" s="1"/>
  <c r="Z365" i="6" s="1"/>
  <c r="AG41" i="3" l="1"/>
  <c r="AH41" i="3"/>
  <c r="V367" i="6"/>
  <c r="W366" i="6"/>
  <c r="X366" i="6" s="1"/>
  <c r="Y366" i="6" s="1"/>
  <c r="Z366" i="6" s="1"/>
  <c r="V368" i="6" l="1"/>
  <c r="W367" i="6"/>
  <c r="X367" i="6" s="1"/>
  <c r="Y367" i="6" s="1"/>
  <c r="Z367" i="6" s="1"/>
  <c r="V369" i="6" l="1"/>
  <c r="W368" i="6"/>
  <c r="X368" i="6" s="1"/>
  <c r="Y368" i="6" s="1"/>
  <c r="Z368" i="6" s="1"/>
  <c r="V370" i="6" l="1"/>
  <c r="W369" i="6"/>
  <c r="X369" i="6" s="1"/>
  <c r="Y369" i="6" s="1"/>
  <c r="Z369" i="6" s="1"/>
  <c r="V371" i="6" l="1"/>
  <c r="W370" i="6"/>
  <c r="X370" i="6" s="1"/>
  <c r="Y370" i="6" s="1"/>
  <c r="Z370" i="6" s="1"/>
  <c r="V372" i="6" l="1"/>
  <c r="W371" i="6"/>
  <c r="X371" i="6" s="1"/>
  <c r="Y371" i="6" s="1"/>
  <c r="Z371" i="6" s="1"/>
  <c r="V373" i="6" l="1"/>
  <c r="W372" i="6"/>
  <c r="X372" i="6" s="1"/>
  <c r="Y372" i="6" s="1"/>
  <c r="Z372" i="6" s="1"/>
  <c r="V374" i="6" l="1"/>
  <c r="W373" i="6"/>
  <c r="X373" i="6" s="1"/>
  <c r="Y373" i="6" s="1"/>
  <c r="Z373" i="6" s="1"/>
  <c r="V375" i="6" l="1"/>
  <c r="W374" i="6"/>
  <c r="X374" i="6" s="1"/>
  <c r="Y374" i="6" s="1"/>
  <c r="Z374" i="6" s="1"/>
  <c r="V376" i="6" l="1"/>
  <c r="W375" i="6"/>
  <c r="X375" i="6" s="1"/>
  <c r="Y375" i="6" s="1"/>
  <c r="Z375" i="6" s="1"/>
  <c r="V377" i="6" l="1"/>
  <c r="W376" i="6"/>
  <c r="X376" i="6" s="1"/>
  <c r="Y376" i="6" s="1"/>
  <c r="Z376" i="6" s="1"/>
  <c r="V378" i="6" l="1"/>
  <c r="W377" i="6"/>
  <c r="X377" i="6" s="1"/>
  <c r="Y377" i="6" s="1"/>
  <c r="Z377" i="6" s="1"/>
  <c r="V379" i="6" l="1"/>
  <c r="W378" i="6"/>
  <c r="X378" i="6" s="1"/>
  <c r="Y378" i="6" s="1"/>
  <c r="Z378" i="6" s="1"/>
  <c r="V380" i="6" l="1"/>
  <c r="W379" i="6"/>
  <c r="X379" i="6" s="1"/>
  <c r="Y379" i="6" s="1"/>
  <c r="Z379" i="6" s="1"/>
  <c r="V381" i="6" l="1"/>
  <c r="W380" i="6"/>
  <c r="X380" i="6" s="1"/>
  <c r="Y380" i="6" s="1"/>
  <c r="Z380" i="6" s="1"/>
  <c r="V382" i="6" l="1"/>
  <c r="W381" i="6"/>
  <c r="X381" i="6" s="1"/>
  <c r="Y381" i="6" s="1"/>
  <c r="Z381" i="6" s="1"/>
  <c r="V383" i="6" l="1"/>
  <c r="W382" i="6"/>
  <c r="X382" i="6" s="1"/>
  <c r="Y382" i="6" s="1"/>
  <c r="Z382" i="6" s="1"/>
  <c r="V384" i="6" l="1"/>
  <c r="W383" i="6"/>
  <c r="X383" i="6" s="1"/>
  <c r="Y383" i="6" s="1"/>
  <c r="Z383" i="6" s="1"/>
  <c r="V385" i="6" l="1"/>
  <c r="W384" i="6"/>
  <c r="X384" i="6" s="1"/>
  <c r="Y384" i="6" s="1"/>
  <c r="Z384" i="6" s="1"/>
  <c r="V386" i="6" l="1"/>
  <c r="W385" i="6"/>
  <c r="X385" i="6" s="1"/>
  <c r="Y385" i="6" s="1"/>
  <c r="Z385" i="6" s="1"/>
  <c r="V387" i="6" l="1"/>
  <c r="W386" i="6"/>
  <c r="X386" i="6" s="1"/>
  <c r="Y386" i="6" s="1"/>
  <c r="Z386" i="6" s="1"/>
  <c r="V388" i="6" l="1"/>
  <c r="W387" i="6"/>
  <c r="X387" i="6" s="1"/>
  <c r="Y387" i="6" s="1"/>
  <c r="Z387" i="6" s="1"/>
  <c r="V389" i="6" l="1"/>
  <c r="W388" i="6"/>
  <c r="X388" i="6" s="1"/>
  <c r="Y388" i="6" s="1"/>
  <c r="Z388" i="6" s="1"/>
  <c r="V390" i="6" l="1"/>
  <c r="W389" i="6"/>
  <c r="X389" i="6" s="1"/>
  <c r="Y389" i="6" s="1"/>
  <c r="Z389" i="6" s="1"/>
  <c r="V391" i="6" l="1"/>
  <c r="W390" i="6"/>
  <c r="X390" i="6" s="1"/>
  <c r="Y390" i="6" s="1"/>
  <c r="Z390" i="6" s="1"/>
  <c r="V392" i="6" l="1"/>
  <c r="W391" i="6"/>
  <c r="X391" i="6" s="1"/>
  <c r="Y391" i="6" s="1"/>
  <c r="Z391" i="6" s="1"/>
  <c r="V393" i="6" l="1"/>
  <c r="W392" i="6"/>
  <c r="X392" i="6" s="1"/>
  <c r="Y392" i="6" s="1"/>
  <c r="Z392" i="6" s="1"/>
  <c r="V394" i="6" l="1"/>
  <c r="W393" i="6"/>
  <c r="X393" i="6" s="1"/>
  <c r="Y393" i="6" s="1"/>
  <c r="Z393" i="6" s="1"/>
  <c r="V395" i="6" l="1"/>
  <c r="W394" i="6"/>
  <c r="X394" i="6" s="1"/>
  <c r="Y394" i="6" s="1"/>
  <c r="Z394" i="6" s="1"/>
  <c r="V396" i="6" l="1"/>
  <c r="W395" i="6"/>
  <c r="X395" i="6" s="1"/>
  <c r="Y395" i="6" s="1"/>
  <c r="Z395" i="6" s="1"/>
  <c r="V397" i="6" l="1"/>
  <c r="W396" i="6"/>
  <c r="X396" i="6" s="1"/>
  <c r="Y396" i="6" s="1"/>
  <c r="Z396" i="6" s="1"/>
  <c r="V398" i="6" l="1"/>
  <c r="W397" i="6"/>
  <c r="X397" i="6" s="1"/>
  <c r="Y397" i="6" s="1"/>
  <c r="Z397" i="6" s="1"/>
  <c r="V399" i="6" l="1"/>
  <c r="W398" i="6"/>
  <c r="X398" i="6" s="1"/>
  <c r="Y398" i="6" s="1"/>
  <c r="Z398" i="6" s="1"/>
  <c r="V400" i="6" l="1"/>
  <c r="W399" i="6"/>
  <c r="X399" i="6" s="1"/>
  <c r="Y399" i="6" s="1"/>
  <c r="Z399" i="6" s="1"/>
  <c r="V401" i="6" l="1"/>
  <c r="W400" i="6"/>
  <c r="X400" i="6" s="1"/>
  <c r="Y400" i="6" s="1"/>
  <c r="Z400" i="6" s="1"/>
  <c r="V402" i="6" l="1"/>
  <c r="W401" i="6"/>
  <c r="X401" i="6" s="1"/>
  <c r="Y401" i="6" s="1"/>
  <c r="Z401" i="6" s="1"/>
  <c r="V403" i="6" l="1"/>
  <c r="W402" i="6"/>
  <c r="X402" i="6" s="1"/>
  <c r="Y402" i="6" s="1"/>
  <c r="Z402" i="6" s="1"/>
  <c r="V404" i="6" l="1"/>
  <c r="W403" i="6"/>
  <c r="X403" i="6" s="1"/>
  <c r="Y403" i="6" s="1"/>
  <c r="Z403" i="6" s="1"/>
  <c r="V405" i="6" l="1"/>
  <c r="W404" i="6"/>
  <c r="X404" i="6" s="1"/>
  <c r="Y404" i="6" s="1"/>
  <c r="Z404" i="6" s="1"/>
  <c r="V406" i="6" l="1"/>
  <c r="W405" i="6"/>
  <c r="X405" i="6" s="1"/>
  <c r="Y405" i="6" s="1"/>
  <c r="Z405" i="6" s="1"/>
  <c r="V407" i="6" l="1"/>
  <c r="W406" i="6"/>
  <c r="X406" i="6" s="1"/>
  <c r="Y406" i="6" s="1"/>
  <c r="Z406" i="6" s="1"/>
  <c r="V408" i="6" l="1"/>
  <c r="W407" i="6"/>
  <c r="X407" i="6" s="1"/>
  <c r="Y407" i="6" s="1"/>
  <c r="Z407" i="6" s="1"/>
  <c r="V409" i="6" l="1"/>
  <c r="W408" i="6"/>
  <c r="X408" i="6" s="1"/>
  <c r="Y408" i="6" s="1"/>
  <c r="Z408" i="6" s="1"/>
  <c r="V410" i="6" l="1"/>
  <c r="W409" i="6"/>
  <c r="X409" i="6" s="1"/>
  <c r="Y409" i="6" s="1"/>
  <c r="Z409" i="6" s="1"/>
  <c r="V411" i="6" l="1"/>
  <c r="W410" i="6"/>
  <c r="X410" i="6" s="1"/>
  <c r="Y410" i="6" s="1"/>
  <c r="Z410" i="6" s="1"/>
  <c r="V412" i="6" l="1"/>
  <c r="W411" i="6"/>
  <c r="X411" i="6" s="1"/>
  <c r="Y411" i="6" s="1"/>
  <c r="Z411" i="6" s="1"/>
  <c r="V413" i="6" l="1"/>
  <c r="W412" i="6"/>
  <c r="X412" i="6" s="1"/>
  <c r="Y412" i="6" s="1"/>
  <c r="Z412" i="6" s="1"/>
  <c r="V414" i="6" l="1"/>
  <c r="W413" i="6"/>
  <c r="X413" i="6" s="1"/>
  <c r="Y413" i="6" s="1"/>
  <c r="Z413" i="6" s="1"/>
  <c r="V415" i="6" l="1"/>
  <c r="W414" i="6"/>
  <c r="X414" i="6" s="1"/>
  <c r="Y414" i="6" s="1"/>
  <c r="Z414" i="6" s="1"/>
  <c r="V416" i="6" l="1"/>
  <c r="W415" i="6"/>
  <c r="X415" i="6" s="1"/>
  <c r="Y415" i="6" s="1"/>
  <c r="Z415" i="6" s="1"/>
  <c r="V417" i="6" l="1"/>
  <c r="W416" i="6"/>
  <c r="X416" i="6" s="1"/>
  <c r="Y416" i="6" s="1"/>
  <c r="Z416" i="6" s="1"/>
  <c r="V418" i="6" l="1"/>
  <c r="W417" i="6"/>
  <c r="X417" i="6" s="1"/>
  <c r="Y417" i="6" s="1"/>
  <c r="Z417" i="6" s="1"/>
  <c r="V419" i="6" l="1"/>
  <c r="W418" i="6"/>
  <c r="X418" i="6" s="1"/>
  <c r="Y418" i="6" s="1"/>
  <c r="Z418" i="6" s="1"/>
  <c r="V420" i="6" l="1"/>
  <c r="W419" i="6"/>
  <c r="X419" i="6" s="1"/>
  <c r="Y419" i="6" s="1"/>
  <c r="Z419" i="6" s="1"/>
  <c r="V421" i="6" l="1"/>
  <c r="W420" i="6"/>
  <c r="X420" i="6" s="1"/>
  <c r="Y420" i="6" s="1"/>
  <c r="Z420" i="6" s="1"/>
  <c r="V422" i="6" l="1"/>
  <c r="W421" i="6"/>
  <c r="X421" i="6" s="1"/>
  <c r="Y421" i="6" s="1"/>
  <c r="Z421" i="6" s="1"/>
  <c r="V423" i="6" l="1"/>
  <c r="W422" i="6"/>
  <c r="X422" i="6" s="1"/>
  <c r="Y422" i="6" s="1"/>
  <c r="Z422" i="6" s="1"/>
  <c r="V424" i="6" l="1"/>
  <c r="W423" i="6"/>
  <c r="X423" i="6" s="1"/>
  <c r="Y423" i="6" s="1"/>
  <c r="Z423" i="6" s="1"/>
  <c r="V425" i="6" l="1"/>
  <c r="W424" i="6"/>
  <c r="X424" i="6" s="1"/>
  <c r="Y424" i="6" s="1"/>
  <c r="Z424" i="6" s="1"/>
  <c r="V426" i="6" l="1"/>
  <c r="W425" i="6"/>
  <c r="X425" i="6" s="1"/>
  <c r="Y425" i="6" s="1"/>
  <c r="Z425" i="6" s="1"/>
  <c r="V427" i="6" l="1"/>
  <c r="W426" i="6"/>
  <c r="X426" i="6" s="1"/>
  <c r="Y426" i="6" s="1"/>
  <c r="Z426" i="6" s="1"/>
  <c r="V428" i="6" l="1"/>
  <c r="W427" i="6"/>
  <c r="X427" i="6" s="1"/>
  <c r="Y427" i="6" s="1"/>
  <c r="Z427" i="6" s="1"/>
  <c r="V429" i="6" l="1"/>
  <c r="W428" i="6"/>
  <c r="X428" i="6" s="1"/>
  <c r="Y428" i="6" s="1"/>
  <c r="Z428" i="6" s="1"/>
  <c r="V430" i="6" l="1"/>
  <c r="W429" i="6"/>
  <c r="X429" i="6" s="1"/>
  <c r="Y429" i="6" s="1"/>
  <c r="Z429" i="6" s="1"/>
  <c r="V431" i="6" l="1"/>
  <c r="W430" i="6"/>
  <c r="X430" i="6" s="1"/>
  <c r="Y430" i="6" s="1"/>
  <c r="Z430" i="6" s="1"/>
  <c r="V432" i="6" l="1"/>
  <c r="W431" i="6"/>
  <c r="X431" i="6" s="1"/>
  <c r="Y431" i="6" s="1"/>
  <c r="Z431" i="6" s="1"/>
  <c r="V433" i="6" l="1"/>
  <c r="W432" i="6"/>
  <c r="X432" i="6" s="1"/>
  <c r="Y432" i="6" s="1"/>
  <c r="Z432" i="6" s="1"/>
  <c r="V434" i="6" l="1"/>
  <c r="W433" i="6"/>
  <c r="X433" i="6" s="1"/>
  <c r="Y433" i="6" s="1"/>
  <c r="Z433" i="6" s="1"/>
  <c r="V435" i="6" l="1"/>
  <c r="W434" i="6"/>
  <c r="X434" i="6" s="1"/>
  <c r="Y434" i="6" s="1"/>
  <c r="Z434" i="6" s="1"/>
  <c r="Y32" i="6" l="1"/>
  <c r="Z32" i="6" s="1"/>
  <c r="V436" i="6"/>
  <c r="W435" i="6"/>
  <c r="X435" i="6" s="1"/>
  <c r="Y435" i="6" s="1"/>
  <c r="Z435" i="6" s="1"/>
  <c r="Y33" i="6" l="1"/>
  <c r="Z33" i="6" s="1"/>
  <c r="V437" i="6"/>
  <c r="W436" i="6"/>
  <c r="X436" i="6" s="1"/>
  <c r="Y436" i="6" s="1"/>
  <c r="Z436" i="6" s="1"/>
  <c r="Y34" i="6" l="1"/>
  <c r="Z34" i="6" s="1"/>
  <c r="V438" i="6"/>
  <c r="W437" i="6"/>
  <c r="X437" i="6" s="1"/>
  <c r="Y437" i="6" s="1"/>
  <c r="Z437" i="6" s="1"/>
  <c r="Y35" i="6" l="1"/>
  <c r="Z35" i="6" s="1"/>
  <c r="V439" i="6"/>
  <c r="W438" i="6"/>
  <c r="X438" i="6" s="1"/>
  <c r="Y438" i="6" s="1"/>
  <c r="Z438" i="6" s="1"/>
  <c r="Y36" i="6" l="1"/>
  <c r="Z36" i="6" s="1"/>
  <c r="V440" i="6"/>
  <c r="W439" i="6"/>
  <c r="X439" i="6" s="1"/>
  <c r="Y439" i="6" s="1"/>
  <c r="Z439" i="6" s="1"/>
  <c r="Y37" i="6" l="1"/>
  <c r="Z37" i="6" s="1"/>
  <c r="V441" i="6"/>
  <c r="W440" i="6"/>
  <c r="X440" i="6" s="1"/>
  <c r="Y440" i="6" s="1"/>
  <c r="Z440" i="6" s="1"/>
  <c r="Y38" i="6" l="1"/>
  <c r="Z38" i="6" s="1"/>
  <c r="V442" i="6"/>
  <c r="W441" i="6"/>
  <c r="X441" i="6" s="1"/>
  <c r="Y441" i="6" s="1"/>
  <c r="Z441" i="6" s="1"/>
  <c r="Y39" i="6" l="1"/>
  <c r="Z39" i="6" s="1"/>
  <c r="V443" i="6"/>
  <c r="W442" i="6"/>
  <c r="X442" i="6" s="1"/>
  <c r="Y442" i="6" s="1"/>
  <c r="Z442" i="6" s="1"/>
  <c r="Y40" i="6" l="1"/>
  <c r="Z40" i="6" s="1"/>
  <c r="V444" i="6"/>
  <c r="W443" i="6"/>
  <c r="X443" i="6" s="1"/>
  <c r="Y443" i="6" s="1"/>
  <c r="Z443" i="6" s="1"/>
  <c r="Y41" i="6" l="1"/>
  <c r="Z41" i="6" s="1"/>
  <c r="V445" i="6"/>
  <c r="W444" i="6"/>
  <c r="X444" i="6" s="1"/>
  <c r="Y444" i="6" s="1"/>
  <c r="Z444" i="6" s="1"/>
  <c r="Y42" i="6" l="1"/>
  <c r="Z42" i="6" s="1"/>
  <c r="V446" i="6"/>
  <c r="W445" i="6"/>
  <c r="X445" i="6" s="1"/>
  <c r="Y445" i="6" s="1"/>
  <c r="Z445" i="6" s="1"/>
  <c r="Y43" i="6" l="1"/>
  <c r="Z43" i="6" s="1"/>
  <c r="V447" i="6"/>
  <c r="W446" i="6"/>
  <c r="X446" i="6" s="1"/>
  <c r="Y446" i="6" s="1"/>
  <c r="Z446" i="6" s="1"/>
  <c r="Y44" i="6" l="1"/>
  <c r="Z44" i="6" s="1"/>
  <c r="V448" i="6"/>
  <c r="W447" i="6"/>
  <c r="X447" i="6" s="1"/>
  <c r="Y447" i="6" s="1"/>
  <c r="Z447" i="6" s="1"/>
  <c r="Y45" i="6" l="1"/>
  <c r="Z45" i="6" s="1"/>
  <c r="V449" i="6"/>
  <c r="W448" i="6"/>
  <c r="X448" i="6" s="1"/>
  <c r="Y448" i="6" s="1"/>
  <c r="Z448" i="6" s="1"/>
  <c r="Y46" i="6" l="1"/>
  <c r="Z46" i="6" s="1"/>
  <c r="V450" i="6"/>
  <c r="W449" i="6"/>
  <c r="X449" i="6" s="1"/>
  <c r="Y449" i="6" s="1"/>
  <c r="Z449" i="6" s="1"/>
  <c r="Y47" i="6" l="1"/>
  <c r="Z47" i="6" s="1"/>
  <c r="V451" i="6"/>
  <c r="W450" i="6"/>
  <c r="X450" i="6" s="1"/>
  <c r="Y450" i="6" s="1"/>
  <c r="Z450" i="6" s="1"/>
  <c r="Y48" i="6" l="1"/>
  <c r="Z48" i="6" s="1"/>
  <c r="V452" i="6"/>
  <c r="W451" i="6"/>
  <c r="X451" i="6" s="1"/>
  <c r="Y451" i="6" s="1"/>
  <c r="Z451" i="6" s="1"/>
  <c r="Y49" i="6" l="1"/>
  <c r="Z49" i="6" s="1"/>
  <c r="V453" i="6"/>
  <c r="W452" i="6"/>
  <c r="X452" i="6" s="1"/>
  <c r="Y452" i="6" s="1"/>
  <c r="Z452" i="6" s="1"/>
  <c r="Y50" i="6" l="1"/>
  <c r="Z50" i="6" s="1"/>
  <c r="V454" i="6"/>
  <c r="W453" i="6"/>
  <c r="X453" i="6" s="1"/>
  <c r="Y453" i="6" s="1"/>
  <c r="Z453" i="6" s="1"/>
  <c r="Y51" i="6" l="1"/>
  <c r="Z51" i="6" s="1"/>
  <c r="V455" i="6"/>
  <c r="W454" i="6"/>
  <c r="X454" i="6" s="1"/>
  <c r="Y454" i="6" s="1"/>
  <c r="Z454" i="6" s="1"/>
  <c r="Y52" i="6" l="1"/>
  <c r="Z52" i="6" s="1"/>
  <c r="V456" i="6"/>
  <c r="W455" i="6"/>
  <c r="X455" i="6" s="1"/>
  <c r="Y455" i="6" s="1"/>
  <c r="Z455" i="6" s="1"/>
  <c r="Y53" i="6" l="1"/>
  <c r="Z53" i="6" s="1"/>
  <c r="V457" i="6"/>
  <c r="W456" i="6"/>
  <c r="X456" i="6" s="1"/>
  <c r="Y456" i="6" s="1"/>
  <c r="Z456" i="6" s="1"/>
  <c r="Y54" i="6" l="1"/>
  <c r="Z54" i="6" s="1"/>
  <c r="V458" i="6"/>
  <c r="W457" i="6"/>
  <c r="X457" i="6" s="1"/>
  <c r="Y457" i="6" s="1"/>
  <c r="Z457" i="6" s="1"/>
  <c r="Y55" i="6" l="1"/>
  <c r="Z55" i="6" s="1"/>
  <c r="V459" i="6"/>
  <c r="W458" i="6"/>
  <c r="X458" i="6" s="1"/>
  <c r="Y458" i="6" s="1"/>
  <c r="Z458" i="6" s="1"/>
  <c r="Y56" i="6" l="1"/>
  <c r="Z56" i="6" s="1"/>
  <c r="V460" i="6"/>
  <c r="W459" i="6"/>
  <c r="X459" i="6" s="1"/>
  <c r="Y459" i="6" s="1"/>
  <c r="Z459" i="6" s="1"/>
  <c r="Y57" i="6" l="1"/>
  <c r="Z57" i="6" s="1"/>
  <c r="V461" i="6"/>
  <c r="W460" i="6"/>
  <c r="X460" i="6" s="1"/>
  <c r="Y460" i="6" s="1"/>
  <c r="Z460" i="6" s="1"/>
  <c r="Y58" i="6" l="1"/>
  <c r="Z58" i="6" s="1"/>
  <c r="V462" i="6"/>
  <c r="W461" i="6"/>
  <c r="X461" i="6" s="1"/>
  <c r="Y461" i="6" s="1"/>
  <c r="Z461" i="6" s="1"/>
  <c r="Y59" i="6" l="1"/>
  <c r="Z59" i="6" s="1"/>
  <c r="V463" i="6"/>
  <c r="W462" i="6"/>
  <c r="X462" i="6" s="1"/>
  <c r="Y462" i="6" s="1"/>
  <c r="Z462" i="6" s="1"/>
  <c r="Y60" i="6" l="1"/>
  <c r="Z60" i="6" s="1"/>
  <c r="V464" i="6"/>
  <c r="W463" i="6"/>
  <c r="X463" i="6" s="1"/>
  <c r="Y463" i="6" s="1"/>
  <c r="Z463" i="6" s="1"/>
  <c r="Y61" i="6" l="1"/>
  <c r="Z61" i="6" s="1"/>
  <c r="V465" i="6"/>
  <c r="W464" i="6"/>
  <c r="X464" i="6" s="1"/>
  <c r="Y464" i="6" s="1"/>
  <c r="Z464" i="6" s="1"/>
  <c r="Y62" i="6" l="1"/>
  <c r="Z62" i="6" s="1"/>
  <c r="V466" i="6"/>
  <c r="W465" i="6"/>
  <c r="X465" i="6" s="1"/>
  <c r="Y465" i="6" s="1"/>
  <c r="Z465" i="6" s="1"/>
  <c r="Y63" i="6" l="1"/>
  <c r="Z63" i="6" s="1"/>
  <c r="V467" i="6"/>
  <c r="W466" i="6"/>
  <c r="X466" i="6" s="1"/>
  <c r="Y466" i="6" s="1"/>
  <c r="Z466" i="6" s="1"/>
  <c r="Y64" i="6" l="1"/>
  <c r="Z64" i="6" s="1"/>
  <c r="V468" i="6"/>
  <c r="W467" i="6"/>
  <c r="X467" i="6" s="1"/>
  <c r="Y467" i="6" s="1"/>
  <c r="Z467" i="6" s="1"/>
  <c r="Y65" i="6" l="1"/>
  <c r="Z65" i="6" s="1"/>
  <c r="V469" i="6"/>
  <c r="W468" i="6"/>
  <c r="X468" i="6" s="1"/>
  <c r="Y468" i="6" s="1"/>
  <c r="Z468" i="6" s="1"/>
  <c r="Y66" i="6" l="1"/>
  <c r="Z66" i="6" s="1"/>
  <c r="V470" i="6"/>
  <c r="W469" i="6"/>
  <c r="X469" i="6" s="1"/>
  <c r="Y469" i="6" s="1"/>
  <c r="Z469" i="6" s="1"/>
  <c r="Y67" i="6" l="1"/>
  <c r="Z67" i="6" s="1"/>
  <c r="V471" i="6"/>
  <c r="W470" i="6"/>
  <c r="X470" i="6" s="1"/>
  <c r="Y470" i="6" s="1"/>
  <c r="Z470" i="6" s="1"/>
  <c r="Y68" i="6" l="1"/>
  <c r="Z68" i="6" s="1"/>
  <c r="V472" i="6"/>
  <c r="W471" i="6"/>
  <c r="X471" i="6" s="1"/>
  <c r="Y471" i="6" s="1"/>
  <c r="Z471" i="6" s="1"/>
  <c r="Y69" i="6" l="1"/>
  <c r="Z69" i="6" s="1"/>
  <c r="V473" i="6"/>
  <c r="W472" i="6"/>
  <c r="X472" i="6" s="1"/>
  <c r="Y472" i="6" s="1"/>
  <c r="Z472" i="6" s="1"/>
  <c r="Y70" i="6" l="1"/>
  <c r="Z70" i="6" s="1"/>
  <c r="V474" i="6"/>
  <c r="W473" i="6"/>
  <c r="X473" i="6" s="1"/>
  <c r="Y473" i="6" s="1"/>
  <c r="Z473" i="6" s="1"/>
  <c r="Y71" i="6" l="1"/>
  <c r="Z71" i="6" s="1"/>
  <c r="V475" i="6"/>
  <c r="W474" i="6"/>
  <c r="X474" i="6" s="1"/>
  <c r="Y474" i="6" s="1"/>
  <c r="Z474" i="6" s="1"/>
  <c r="Y72" i="6" l="1"/>
  <c r="Z72" i="6" s="1"/>
  <c r="V476" i="6"/>
  <c r="W475" i="6"/>
  <c r="X475" i="6" s="1"/>
  <c r="Y475" i="6" s="1"/>
  <c r="Z475" i="6" s="1"/>
  <c r="Y73" i="6" l="1"/>
  <c r="Z73" i="6" s="1"/>
  <c r="V477" i="6"/>
  <c r="W476" i="6"/>
  <c r="X476" i="6" s="1"/>
  <c r="Y476" i="6" s="1"/>
  <c r="Z476" i="6" s="1"/>
  <c r="Y74" i="6" l="1"/>
  <c r="Z74" i="6" s="1"/>
  <c r="V478" i="6"/>
  <c r="W477" i="6"/>
  <c r="X477" i="6" s="1"/>
  <c r="Y477" i="6" s="1"/>
  <c r="Z477" i="6" s="1"/>
  <c r="V479" i="6" l="1"/>
  <c r="W478" i="6"/>
  <c r="X478" i="6" s="1"/>
  <c r="Y478" i="6" s="1"/>
  <c r="Z478" i="6" s="1"/>
  <c r="Y75" i="6"/>
  <c r="Z75" i="6" s="1"/>
  <c r="V480" i="6" l="1"/>
  <c r="W479" i="6"/>
  <c r="X479" i="6" s="1"/>
  <c r="Y479" i="6" s="1"/>
  <c r="Z479" i="6" s="1"/>
  <c r="Y76" i="6"/>
  <c r="Z76" i="6" s="1"/>
  <c r="V481" i="6" l="1"/>
  <c r="W480" i="6"/>
  <c r="X480" i="6" s="1"/>
  <c r="Y480" i="6" s="1"/>
  <c r="Z480" i="6" s="1"/>
  <c r="Y77" i="6"/>
  <c r="Z77" i="6" s="1"/>
  <c r="Y78" i="6" l="1"/>
  <c r="Z78" i="6" s="1"/>
  <c r="V482" i="6"/>
  <c r="W481" i="6"/>
  <c r="X481" i="6" s="1"/>
  <c r="Y481" i="6" s="1"/>
  <c r="Z481" i="6" s="1"/>
  <c r="V483" i="6" l="1"/>
  <c r="W482" i="6"/>
  <c r="X482" i="6" s="1"/>
  <c r="Y482" i="6" s="1"/>
  <c r="Z482" i="6" s="1"/>
  <c r="V484" i="6" l="1"/>
  <c r="W483" i="6"/>
  <c r="X483" i="6" s="1"/>
  <c r="Y483" i="6" s="1"/>
  <c r="Z483" i="6" s="1"/>
  <c r="V485" i="6" l="1"/>
  <c r="W484" i="6"/>
  <c r="X484" i="6" s="1"/>
  <c r="Y484" i="6" s="1"/>
  <c r="Z484" i="6" s="1"/>
  <c r="V486" i="6" l="1"/>
  <c r="W485" i="6"/>
  <c r="X485" i="6" s="1"/>
  <c r="Y485" i="6" s="1"/>
  <c r="Z485" i="6" s="1"/>
  <c r="V487" i="6" l="1"/>
  <c r="W486" i="6"/>
  <c r="X486" i="6" s="1"/>
  <c r="Y486" i="6" s="1"/>
  <c r="Z486" i="6" s="1"/>
  <c r="V488" i="6" l="1"/>
  <c r="W487" i="6"/>
  <c r="X487" i="6" s="1"/>
  <c r="Y487" i="6" s="1"/>
  <c r="Z487" i="6" s="1"/>
  <c r="V489" i="6" l="1"/>
  <c r="W488" i="6"/>
  <c r="X488" i="6" s="1"/>
  <c r="Y488" i="6" s="1"/>
  <c r="Z488" i="6" s="1"/>
  <c r="V490" i="6" l="1"/>
  <c r="W489" i="6"/>
  <c r="X489" i="6" s="1"/>
  <c r="Y489" i="6" s="1"/>
  <c r="Z489" i="6" s="1"/>
  <c r="V491" i="6" l="1"/>
  <c r="W490" i="6"/>
  <c r="X490" i="6" s="1"/>
  <c r="Y490" i="6" s="1"/>
  <c r="Z490" i="6" s="1"/>
  <c r="V492" i="6" l="1"/>
  <c r="W491" i="6"/>
  <c r="X491" i="6" s="1"/>
  <c r="Y491" i="6" s="1"/>
  <c r="Z491" i="6" s="1"/>
  <c r="V493" i="6" l="1"/>
  <c r="W492" i="6"/>
  <c r="X492" i="6" s="1"/>
  <c r="Y492" i="6" s="1"/>
  <c r="Z492" i="6" s="1"/>
  <c r="V494" i="6" l="1"/>
  <c r="W493" i="6"/>
  <c r="X493" i="6" s="1"/>
  <c r="Y493" i="6" s="1"/>
  <c r="Z493" i="6" s="1"/>
  <c r="V495" i="6" l="1"/>
  <c r="W494" i="6"/>
  <c r="X494" i="6" s="1"/>
  <c r="Y494" i="6" s="1"/>
  <c r="Z494" i="6" s="1"/>
  <c r="V496" i="6" l="1"/>
  <c r="W495" i="6"/>
  <c r="X495" i="6" s="1"/>
  <c r="Y495" i="6" s="1"/>
  <c r="Z495" i="6" s="1"/>
  <c r="V497" i="6" l="1"/>
  <c r="W496" i="6"/>
  <c r="X496" i="6" s="1"/>
  <c r="Y496" i="6" s="1"/>
  <c r="Z496" i="6" s="1"/>
  <c r="V498" i="6" l="1"/>
  <c r="W497" i="6"/>
  <c r="X497" i="6" s="1"/>
  <c r="Y497" i="6" s="1"/>
  <c r="Z497" i="6" s="1"/>
  <c r="V499" i="6" l="1"/>
  <c r="W498" i="6"/>
  <c r="X498" i="6" s="1"/>
  <c r="Y498" i="6" s="1"/>
  <c r="Z498" i="6" s="1"/>
  <c r="V500" i="6" l="1"/>
  <c r="W499" i="6"/>
  <c r="X499" i="6" s="1"/>
  <c r="Y499" i="6" s="1"/>
  <c r="Z499" i="6" s="1"/>
  <c r="V501" i="6" l="1"/>
  <c r="W500" i="6"/>
  <c r="X500" i="6" s="1"/>
  <c r="Y500" i="6" s="1"/>
  <c r="Z500" i="6" s="1"/>
  <c r="V502" i="6" l="1"/>
  <c r="W501" i="6"/>
  <c r="X501" i="6" s="1"/>
  <c r="Y501" i="6" s="1"/>
  <c r="Z501" i="6" s="1"/>
  <c r="V503" i="6" l="1"/>
  <c r="W502" i="6"/>
  <c r="X502" i="6" s="1"/>
  <c r="Y502" i="6" s="1"/>
  <c r="Z502" i="6" s="1"/>
  <c r="V504" i="6" l="1"/>
  <c r="W503" i="6"/>
  <c r="X503" i="6" s="1"/>
  <c r="Y503" i="6" s="1"/>
  <c r="Z503" i="6" s="1"/>
  <c r="V505" i="6" l="1"/>
  <c r="W504" i="6"/>
  <c r="X504" i="6" s="1"/>
  <c r="Y504" i="6" s="1"/>
  <c r="Z504" i="6" s="1"/>
  <c r="V506" i="6" l="1"/>
  <c r="W505" i="6"/>
  <c r="X505" i="6" s="1"/>
  <c r="Y505" i="6" s="1"/>
  <c r="Z505" i="6" s="1"/>
  <c r="V507" i="6" l="1"/>
  <c r="W506" i="6"/>
  <c r="X506" i="6" s="1"/>
  <c r="Y506" i="6" s="1"/>
  <c r="Z506" i="6" s="1"/>
  <c r="V508" i="6" l="1"/>
  <c r="W507" i="6"/>
  <c r="X507" i="6" s="1"/>
  <c r="Y507" i="6" s="1"/>
  <c r="Z507" i="6" s="1"/>
  <c r="V509" i="6" l="1"/>
  <c r="W508" i="6"/>
  <c r="X508" i="6" s="1"/>
  <c r="Y508" i="6" s="1"/>
  <c r="Z508" i="6" s="1"/>
  <c r="V510" i="6" l="1"/>
  <c r="W509" i="6"/>
  <c r="X509" i="6" s="1"/>
  <c r="Y509" i="6" s="1"/>
  <c r="Z509" i="6" s="1"/>
  <c r="V511" i="6" l="1"/>
  <c r="W510" i="6"/>
  <c r="X510" i="6" s="1"/>
  <c r="Y510" i="6" s="1"/>
  <c r="Z510" i="6" s="1"/>
  <c r="V512" i="6" l="1"/>
  <c r="W511" i="6"/>
  <c r="X511" i="6" s="1"/>
  <c r="Y511" i="6" s="1"/>
  <c r="Z511" i="6" s="1"/>
  <c r="V513" i="6" l="1"/>
  <c r="W512" i="6"/>
  <c r="X512" i="6" s="1"/>
  <c r="Y512" i="6" s="1"/>
  <c r="Z512" i="6" s="1"/>
  <c r="V514" i="6" l="1"/>
  <c r="W513" i="6"/>
  <c r="X513" i="6" s="1"/>
  <c r="Y513" i="6" s="1"/>
  <c r="Z513" i="6" s="1"/>
  <c r="V515" i="6" l="1"/>
  <c r="W514" i="6"/>
  <c r="X514" i="6" s="1"/>
  <c r="Y514" i="6" s="1"/>
  <c r="Z514" i="6" s="1"/>
  <c r="V516" i="6" l="1"/>
  <c r="W515" i="6"/>
  <c r="X515" i="6" s="1"/>
  <c r="Y515" i="6" s="1"/>
  <c r="Z515" i="6" s="1"/>
  <c r="V517" i="6" l="1"/>
  <c r="W516" i="6"/>
  <c r="X516" i="6" s="1"/>
  <c r="Y516" i="6" s="1"/>
  <c r="Z516" i="6" s="1"/>
  <c r="V518" i="6" l="1"/>
  <c r="W517" i="6"/>
  <c r="X517" i="6" s="1"/>
  <c r="Y517" i="6" s="1"/>
  <c r="Z517" i="6" s="1"/>
  <c r="V519" i="6" l="1"/>
  <c r="W518" i="6"/>
  <c r="X518" i="6" s="1"/>
  <c r="Y518" i="6" s="1"/>
  <c r="Z518" i="6" s="1"/>
  <c r="V520" i="6" l="1"/>
  <c r="W519" i="6"/>
  <c r="X519" i="6" s="1"/>
  <c r="Y519" i="6" s="1"/>
  <c r="Z519" i="6" s="1"/>
  <c r="V521" i="6" l="1"/>
  <c r="W520" i="6"/>
  <c r="X520" i="6" s="1"/>
  <c r="Y520" i="6" s="1"/>
  <c r="Z520" i="6" s="1"/>
  <c r="V522" i="6" l="1"/>
  <c r="W521" i="6"/>
  <c r="X521" i="6" s="1"/>
  <c r="Y521" i="6" s="1"/>
  <c r="Z521" i="6" s="1"/>
  <c r="V523" i="6" l="1"/>
  <c r="W522" i="6"/>
  <c r="X522" i="6" s="1"/>
  <c r="Y522" i="6" s="1"/>
  <c r="Z522" i="6" s="1"/>
  <c r="V524" i="6" l="1"/>
  <c r="W523" i="6"/>
  <c r="X523" i="6" s="1"/>
  <c r="Y523" i="6" s="1"/>
  <c r="Z523" i="6" s="1"/>
  <c r="V525" i="6" l="1"/>
  <c r="W524" i="6"/>
  <c r="X524" i="6" s="1"/>
  <c r="Y524" i="6" s="1"/>
  <c r="Z524" i="6" s="1"/>
  <c r="V526" i="6" l="1"/>
  <c r="W525" i="6"/>
  <c r="X525" i="6" s="1"/>
  <c r="Y525" i="6" s="1"/>
  <c r="Z525" i="6" s="1"/>
  <c r="V527" i="6" l="1"/>
  <c r="W526" i="6"/>
  <c r="X526" i="6" s="1"/>
  <c r="Y526" i="6" s="1"/>
  <c r="Z526" i="6" s="1"/>
  <c r="V528" i="6" l="1"/>
  <c r="W527" i="6"/>
  <c r="X527" i="6" s="1"/>
  <c r="Y527" i="6" s="1"/>
  <c r="Z527" i="6" s="1"/>
  <c r="V529" i="6" l="1"/>
  <c r="W528" i="6"/>
  <c r="X528" i="6" s="1"/>
  <c r="Y528" i="6" s="1"/>
  <c r="Z528" i="6" s="1"/>
  <c r="V530" i="6" l="1"/>
  <c r="W529" i="6"/>
  <c r="X529" i="6" s="1"/>
  <c r="Y529" i="6" s="1"/>
  <c r="Z529" i="6" s="1"/>
  <c r="V531" i="6" l="1"/>
  <c r="W530" i="6"/>
  <c r="X530" i="6" s="1"/>
  <c r="Y530" i="6" s="1"/>
  <c r="Z530" i="6" s="1"/>
  <c r="V532" i="6" l="1"/>
  <c r="W531" i="6"/>
  <c r="X531" i="6" s="1"/>
  <c r="Y531" i="6" s="1"/>
  <c r="Z531" i="6" s="1"/>
  <c r="V533" i="6" l="1"/>
  <c r="W532" i="6"/>
  <c r="X532" i="6" s="1"/>
  <c r="Y532" i="6" s="1"/>
  <c r="Z532" i="6" s="1"/>
  <c r="V534" i="6" l="1"/>
  <c r="W533" i="6"/>
  <c r="X533" i="6" s="1"/>
  <c r="Y533" i="6" s="1"/>
  <c r="Z533" i="6" s="1"/>
  <c r="V535" i="6" l="1"/>
  <c r="W534" i="6"/>
  <c r="X534" i="6" s="1"/>
  <c r="Y534" i="6" s="1"/>
  <c r="Z534" i="6" s="1"/>
  <c r="V536" i="6" l="1"/>
  <c r="W535" i="6"/>
  <c r="X535" i="6" s="1"/>
  <c r="Y535" i="6" s="1"/>
  <c r="Z535" i="6" s="1"/>
  <c r="V537" i="6" l="1"/>
  <c r="W536" i="6"/>
  <c r="X536" i="6" s="1"/>
  <c r="Y536" i="6" s="1"/>
  <c r="Z536" i="6" s="1"/>
  <c r="V538" i="6" l="1"/>
  <c r="W537" i="6"/>
  <c r="X537" i="6" s="1"/>
  <c r="Y537" i="6" s="1"/>
  <c r="Z537" i="6" s="1"/>
  <c r="V539" i="6" l="1"/>
  <c r="W538" i="6"/>
  <c r="X538" i="6" s="1"/>
  <c r="Y538" i="6" s="1"/>
  <c r="Z538" i="6" s="1"/>
  <c r="V540" i="6" l="1"/>
  <c r="W539" i="6"/>
  <c r="X539" i="6" s="1"/>
  <c r="Y539" i="6" s="1"/>
  <c r="Z539" i="6" s="1"/>
  <c r="V541" i="6" l="1"/>
  <c r="W540" i="6"/>
  <c r="X540" i="6" s="1"/>
  <c r="Y540" i="6" s="1"/>
  <c r="Z540" i="6" s="1"/>
  <c r="V542" i="6" l="1"/>
  <c r="W541" i="6"/>
  <c r="X541" i="6" s="1"/>
  <c r="Y541" i="6" s="1"/>
  <c r="Z541" i="6" s="1"/>
  <c r="V543" i="6" l="1"/>
  <c r="W542" i="6"/>
  <c r="X542" i="6" s="1"/>
  <c r="Y542" i="6" s="1"/>
  <c r="Z542" i="6" s="1"/>
  <c r="V544" i="6" l="1"/>
  <c r="V545" i="6" s="1"/>
  <c r="V546" i="6" s="1"/>
  <c r="V547" i="6" s="1"/>
  <c r="V548" i="6" s="1"/>
  <c r="V549" i="6" s="1"/>
  <c r="V550" i="6" s="1"/>
  <c r="V551" i="6" s="1"/>
  <c r="V552" i="6" s="1"/>
  <c r="V553" i="6" s="1"/>
  <c r="V554" i="6" s="1"/>
  <c r="V555" i="6" s="1"/>
  <c r="V556" i="6" s="1"/>
  <c r="V557" i="6" s="1"/>
  <c r="V558" i="6" s="1"/>
  <c r="V559" i="6" s="1"/>
  <c r="V560" i="6" s="1"/>
  <c r="V561" i="6" s="1"/>
  <c r="V562" i="6" s="1"/>
  <c r="V563" i="6" s="1"/>
  <c r="V564" i="6" s="1"/>
  <c r="V565" i="6" s="1"/>
  <c r="V566" i="6" s="1"/>
  <c r="V567" i="6" s="1"/>
  <c r="V568" i="6" s="1"/>
  <c r="V569" i="6" s="1"/>
  <c r="V570" i="6" s="1"/>
  <c r="V571" i="6" s="1"/>
  <c r="V572" i="6" s="1"/>
  <c r="V573" i="6" s="1"/>
  <c r="V574" i="6" s="1"/>
  <c r="V575" i="6" s="1"/>
  <c r="V576" i="6" s="1"/>
  <c r="V577" i="6" s="1"/>
  <c r="V578" i="6" s="1"/>
  <c r="V579" i="6" s="1"/>
  <c r="V580" i="6" s="1"/>
  <c r="V581" i="6" s="1"/>
  <c r="V582" i="6" s="1"/>
  <c r="V583" i="6" s="1"/>
  <c r="V584" i="6" s="1"/>
  <c r="V585" i="6" s="1"/>
  <c r="V586" i="6" s="1"/>
  <c r="V587" i="6" s="1"/>
  <c r="V588" i="6" s="1"/>
  <c r="V589" i="6" s="1"/>
  <c r="V590" i="6" s="1"/>
  <c r="V591" i="6" s="1"/>
  <c r="V592" i="6" s="1"/>
  <c r="V593" i="6" s="1"/>
  <c r="V594" i="6" s="1"/>
  <c r="V595" i="6" s="1"/>
  <c r="V596" i="6" s="1"/>
  <c r="V597" i="6" s="1"/>
  <c r="V598" i="6" s="1"/>
  <c r="V599" i="6" s="1"/>
  <c r="V600" i="6" s="1"/>
  <c r="V601" i="6" s="1"/>
  <c r="V602" i="6" s="1"/>
  <c r="V603" i="6" s="1"/>
  <c r="V604" i="6" s="1"/>
  <c r="V605" i="6" s="1"/>
  <c r="V606" i="6" s="1"/>
  <c r="V607" i="6" s="1"/>
  <c r="V608" i="6" s="1"/>
  <c r="V609" i="6" s="1"/>
  <c r="V610" i="6" s="1"/>
  <c r="V611" i="6" s="1"/>
  <c r="V612" i="6" s="1"/>
  <c r="V613" i="6" s="1"/>
  <c r="V614" i="6" s="1"/>
  <c r="V615" i="6" s="1"/>
  <c r="V616" i="6" s="1"/>
  <c r="W543" i="6"/>
  <c r="X543" i="6" s="1"/>
  <c r="Y543" i="6" s="1"/>
  <c r="Z543" i="6" s="1"/>
  <c r="AE73" i="3" l="1"/>
  <c r="AF73" i="3" s="1"/>
  <c r="AE54" i="3"/>
  <c r="AF54" i="3" s="1"/>
  <c r="AE61" i="3"/>
  <c r="AF61" i="3" s="1"/>
  <c r="AE49" i="3"/>
  <c r="AF49" i="3" s="1"/>
  <c r="AE53" i="3"/>
  <c r="AF53" i="3" s="1"/>
  <c r="AE76" i="3"/>
  <c r="AF76" i="3" s="1"/>
  <c r="AE50" i="3"/>
  <c r="AF50" i="3" s="1"/>
  <c r="AE68" i="3"/>
  <c r="AF68" i="3" s="1"/>
  <c r="AE52" i="3"/>
  <c r="AF52" i="3" s="1"/>
  <c r="AE60" i="3"/>
  <c r="AF60" i="3" s="1"/>
  <c r="AE57" i="3"/>
  <c r="AF57" i="3" s="1"/>
  <c r="AE42" i="3"/>
  <c r="AF42" i="3" s="1"/>
  <c r="AE74" i="3"/>
  <c r="AF74" i="3" s="1"/>
  <c r="AE59" i="3"/>
  <c r="AF59" i="3" s="1"/>
  <c r="AE46" i="3"/>
  <c r="AF46" i="3" s="1"/>
  <c r="AE65" i="3"/>
  <c r="AF65" i="3" s="1"/>
  <c r="AE43" i="3"/>
  <c r="AF43" i="3" s="1"/>
  <c r="AE64" i="3"/>
  <c r="AF64" i="3" s="1"/>
  <c r="AE47" i="3"/>
  <c r="AF47" i="3" s="1"/>
  <c r="AE58" i="3"/>
  <c r="AF58" i="3" s="1"/>
  <c r="AE55" i="3"/>
  <c r="AF55" i="3" s="1"/>
  <c r="AE70" i="3"/>
  <c r="AF70" i="3" s="1"/>
  <c r="AE44" i="3"/>
  <c r="AF44" i="3" s="1"/>
  <c r="AE72" i="3"/>
  <c r="AF72" i="3" s="1"/>
  <c r="AE62" i="3"/>
  <c r="AF62" i="3" s="1"/>
  <c r="AE45" i="3"/>
  <c r="AF45" i="3" s="1"/>
  <c r="AE48" i="3"/>
  <c r="AF48" i="3" s="1"/>
  <c r="AE67" i="3"/>
  <c r="AF67" i="3" s="1"/>
  <c r="AE51" i="3"/>
  <c r="AF51" i="3" s="1"/>
  <c r="AE75" i="3"/>
  <c r="AF75" i="3" s="1"/>
  <c r="AE56" i="3"/>
  <c r="AF56" i="3" s="1"/>
  <c r="AE71" i="3"/>
  <c r="AF71" i="3" s="1"/>
  <c r="AE63" i="3"/>
  <c r="AF63" i="3" s="1"/>
  <c r="AE77" i="3"/>
  <c r="AF77" i="3" s="1"/>
  <c r="AE69" i="3"/>
  <c r="AF69" i="3" s="1"/>
  <c r="AC42" i="3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C73" i="3" s="1"/>
  <c r="AC74" i="3" s="1"/>
  <c r="AC75" i="3" s="1"/>
  <c r="AC76" i="3" s="1"/>
  <c r="AC77" i="3" s="1"/>
  <c r="AE66" i="3"/>
  <c r="AF66" i="3" s="1"/>
  <c r="AG67" i="3" l="1"/>
  <c r="AH67" i="3"/>
  <c r="AG58" i="3"/>
  <c r="AH58" i="3"/>
  <c r="AG68" i="3"/>
  <c r="AH68" i="3"/>
  <c r="AG69" i="3"/>
  <c r="AH69" i="3"/>
  <c r="AG56" i="3"/>
  <c r="AH56" i="3"/>
  <c r="AG48" i="3"/>
  <c r="AH48" i="3"/>
  <c r="AG44" i="3"/>
  <c r="AH44" i="3"/>
  <c r="AG47" i="3"/>
  <c r="AH47" i="3"/>
  <c r="AG46" i="3"/>
  <c r="AH46" i="3"/>
  <c r="AG57" i="3"/>
  <c r="AH57" i="3"/>
  <c r="AG50" i="3"/>
  <c r="AH50" i="3"/>
  <c r="AG61" i="3"/>
  <c r="AH61" i="3"/>
  <c r="AG71" i="3"/>
  <c r="AH71" i="3"/>
  <c r="AG65" i="3"/>
  <c r="AH65" i="3"/>
  <c r="AG49" i="3"/>
  <c r="AH49" i="3"/>
  <c r="AG75" i="3"/>
  <c r="AH75" i="3"/>
  <c r="AG45" i="3"/>
  <c r="AH45" i="3"/>
  <c r="AG70" i="3"/>
  <c r="AH70" i="3"/>
  <c r="AG64" i="3"/>
  <c r="AH64" i="3"/>
  <c r="AG59" i="3"/>
  <c r="AH59" i="3"/>
  <c r="AG60" i="3"/>
  <c r="AH60" i="3"/>
  <c r="AG76" i="3"/>
  <c r="AH76" i="3"/>
  <c r="AG54" i="3"/>
  <c r="AH54" i="3"/>
  <c r="AG72" i="3"/>
  <c r="AH72" i="3"/>
  <c r="AG42" i="3"/>
  <c r="AH42" i="3"/>
  <c r="AG77" i="3"/>
  <c r="AH77" i="3"/>
  <c r="AG66" i="3"/>
  <c r="AH66" i="3"/>
  <c r="AG63" i="3"/>
  <c r="AH63" i="3"/>
  <c r="AG51" i="3"/>
  <c r="AH51" i="3"/>
  <c r="AG62" i="3"/>
  <c r="AH62" i="3"/>
  <c r="AG55" i="3"/>
  <c r="AH55" i="3"/>
  <c r="AG43" i="3"/>
  <c r="AH43" i="3"/>
  <c r="AG74" i="3"/>
  <c r="AH74" i="3"/>
  <c r="AG52" i="3"/>
  <c r="AH52" i="3"/>
  <c r="AG53" i="3"/>
  <c r="AH53" i="3"/>
  <c r="AG73" i="3"/>
  <c r="AH73" i="3"/>
  <c r="AE25" i="3" l="1"/>
  <c r="AE26" i="3"/>
  <c r="AF24" i="3" l="1"/>
  <c r="F16" i="3" s="1"/>
  <c r="E24" i="6" l="1"/>
  <c r="G24" i="6" l="1"/>
  <c r="F24" i="6" s="1"/>
  <c r="D25" i="6" s="1"/>
  <c r="E22" i="6"/>
  <c r="F25" i="6" l="1"/>
  <c r="F26" i="6" l="1"/>
  <c r="D27" i="6" s="1"/>
  <c r="D26" i="6"/>
  <c r="C25" i="6"/>
  <c r="F27" i="6" l="1"/>
  <c r="D28" i="6" s="1"/>
  <c r="G25" i="6"/>
  <c r="C26" i="6"/>
  <c r="G26" i="6" s="1"/>
  <c r="F28" i="6" l="1"/>
  <c r="D29" i="6" s="1"/>
  <c r="H24" i="20"/>
  <c r="F29" i="6" l="1"/>
  <c r="D30" i="6" s="1"/>
  <c r="AN25" i="20"/>
  <c r="AM25" i="20" s="1"/>
  <c r="AL25" i="20" s="1"/>
  <c r="C25" i="20" s="1"/>
  <c r="F30" i="6" l="1"/>
  <c r="D31" i="6" s="1"/>
  <c r="C27" i="6"/>
  <c r="D25" i="20"/>
  <c r="I24" i="20"/>
  <c r="K24" i="20" s="1"/>
  <c r="J24" i="20"/>
  <c r="F31" i="6" l="1"/>
  <c r="D32" i="6" s="1"/>
  <c r="G27" i="6"/>
  <c r="C28" i="6"/>
  <c r="G28" i="6" s="1"/>
  <c r="L24" i="20"/>
  <c r="N24" i="20" s="1"/>
  <c r="M24" i="20"/>
  <c r="F25" i="20"/>
  <c r="E25" i="20" s="1"/>
  <c r="F32" i="6" l="1"/>
  <c r="D33" i="6" s="1"/>
  <c r="G25" i="20"/>
  <c r="DO26" i="20"/>
  <c r="F33" i="6"/>
  <c r="D34" i="6" s="1"/>
  <c r="O24" i="20"/>
  <c r="Q24" i="20" s="1"/>
  <c r="AO27" i="20"/>
  <c r="AN26" i="20"/>
  <c r="AM26" i="20" s="1"/>
  <c r="AL26" i="20" s="1"/>
  <c r="C26" i="20" s="1"/>
  <c r="P24" i="20"/>
  <c r="F34" i="6" l="1"/>
  <c r="D35" i="6" s="1"/>
  <c r="C29" i="6"/>
  <c r="G29" i="6" s="1"/>
  <c r="R24" i="20"/>
  <c r="T24" i="20" s="1"/>
  <c r="D26" i="20"/>
  <c r="S24" i="20"/>
  <c r="F35" i="6" l="1"/>
  <c r="D36" i="6" s="1"/>
  <c r="F26" i="20"/>
  <c r="E26" i="20" s="1"/>
  <c r="U24" i="20"/>
  <c r="W24" i="20" s="1"/>
  <c r="V24" i="20"/>
  <c r="G26" i="20" l="1"/>
  <c r="DO27" i="20"/>
  <c r="F36" i="6"/>
  <c r="D37" i="6" s="1"/>
  <c r="C30" i="6"/>
  <c r="G30" i="6" s="1"/>
  <c r="AN27" i="20"/>
  <c r="AM27" i="20" s="1"/>
  <c r="AL27" i="20" s="1"/>
  <c r="C27" i="20" s="1"/>
  <c r="D27" i="20" s="1"/>
  <c r="AP29" i="20"/>
  <c r="X24" i="20"/>
  <c r="Z24" i="20" s="1"/>
  <c r="Y24" i="20"/>
  <c r="F37" i="6" l="1"/>
  <c r="D38" i="6" s="1"/>
  <c r="J30" i="6"/>
  <c r="F27" i="20"/>
  <c r="E27" i="20" s="1"/>
  <c r="AA24" i="20"/>
  <c r="AC24" i="20" s="1"/>
  <c r="AB24" i="20"/>
  <c r="G27" i="20" l="1"/>
  <c r="DO28" i="20"/>
  <c r="F38" i="6"/>
  <c r="D39" i="6" s="1"/>
  <c r="AO29" i="20"/>
  <c r="AN28" i="20"/>
  <c r="AM28" i="20" s="1"/>
  <c r="AL28" i="20" s="1"/>
  <c r="C28" i="20" s="1"/>
  <c r="D28" i="20" s="1"/>
  <c r="AD24" i="20"/>
  <c r="AF24" i="20" s="1"/>
  <c r="AE24" i="20"/>
  <c r="F39" i="6" l="1"/>
  <c r="D40" i="6" s="1"/>
  <c r="C31" i="6"/>
  <c r="G31" i="6" s="1"/>
  <c r="F28" i="20"/>
  <c r="E28" i="20" s="1"/>
  <c r="AG24" i="20"/>
  <c r="AI24" i="20" s="1"/>
  <c r="AH24" i="20"/>
  <c r="G28" i="20" l="1"/>
  <c r="DO29" i="20"/>
  <c r="F40" i="6"/>
  <c r="D41" i="6" s="1"/>
  <c r="C32" i="6"/>
  <c r="G32" i="6" s="1"/>
  <c r="AN29" i="20"/>
  <c r="AM29" i="20" s="1"/>
  <c r="AL29" i="20" s="1"/>
  <c r="C29" i="20" s="1"/>
  <c r="D29" i="20" s="1"/>
  <c r="F41" i="6" l="1"/>
  <c r="D42" i="6" s="1"/>
  <c r="C33" i="6"/>
  <c r="G33" i="6" s="1"/>
  <c r="C34" i="6"/>
  <c r="G34" i="6" s="1"/>
  <c r="F29" i="20"/>
  <c r="E29" i="20" s="1"/>
  <c r="G29" i="20" l="1"/>
  <c r="DO30" i="20"/>
  <c r="F42" i="6"/>
  <c r="D43" i="6" s="1"/>
  <c r="AO31" i="20"/>
  <c r="AN30" i="20"/>
  <c r="AM30" i="20" s="1"/>
  <c r="AL30" i="20" s="1"/>
  <c r="C30" i="20" s="1"/>
  <c r="D30" i="20" s="1"/>
  <c r="AP32" i="20"/>
  <c r="AQ35" i="20"/>
  <c r="F43" i="6" l="1"/>
  <c r="D44" i="6" s="1"/>
  <c r="C35" i="6"/>
  <c r="F30" i="20"/>
  <c r="E30" i="20" s="1"/>
  <c r="G35" i="6" l="1"/>
  <c r="AV19" i="6"/>
  <c r="AW19" i="6" s="1"/>
  <c r="G30" i="20"/>
  <c r="DO31" i="20"/>
  <c r="F44" i="6"/>
  <c r="D45" i="6" s="1"/>
  <c r="C36" i="6"/>
  <c r="G36" i="6" s="1"/>
  <c r="AN31" i="20"/>
  <c r="AM31" i="20" s="1"/>
  <c r="AL31" i="20" s="1"/>
  <c r="C31" i="20" s="1"/>
  <c r="D31" i="20" s="1"/>
  <c r="F45" i="6" l="1"/>
  <c r="D46" i="6" s="1"/>
  <c r="C37" i="6"/>
  <c r="G37" i="6" s="1"/>
  <c r="F31" i="20"/>
  <c r="E31" i="20" s="1"/>
  <c r="G31" i="20" l="1"/>
  <c r="DO32" i="20"/>
  <c r="F46" i="6"/>
  <c r="D47" i="6" s="1"/>
  <c r="AN32" i="20"/>
  <c r="AM32" i="20" s="1"/>
  <c r="AL32" i="20" s="1"/>
  <c r="C32" i="20" s="1"/>
  <c r="D32" i="20" s="1"/>
  <c r="AO33" i="20"/>
  <c r="F47" i="6" l="1"/>
  <c r="D48" i="6" s="1"/>
  <c r="F32" i="20"/>
  <c r="E32" i="20" s="1"/>
  <c r="G32" i="20" l="1"/>
  <c r="DO33" i="20"/>
  <c r="F48" i="6"/>
  <c r="D49" i="6" s="1"/>
  <c r="C38" i="6"/>
  <c r="G38" i="6" s="1"/>
  <c r="AP35" i="20"/>
  <c r="AN33" i="20"/>
  <c r="AM33" i="20" s="1"/>
  <c r="AL33" i="20" s="1"/>
  <c r="C33" i="20" s="1"/>
  <c r="D33" i="20" s="1"/>
  <c r="F49" i="6" l="1"/>
  <c r="D50" i="6" s="1"/>
  <c r="F33" i="20"/>
  <c r="E33" i="20" s="1"/>
  <c r="G33" i="20" l="1"/>
  <c r="DO34" i="20"/>
  <c r="F50" i="6"/>
  <c r="D51" i="6" s="1"/>
  <c r="C39" i="6"/>
  <c r="G39" i="6" s="1"/>
  <c r="AO35" i="20"/>
  <c r="AN34" i="20"/>
  <c r="AM34" i="20" s="1"/>
  <c r="AL34" i="20" s="1"/>
  <c r="C34" i="20" s="1"/>
  <c r="D34" i="20" s="1"/>
  <c r="F51" i="6" l="1"/>
  <c r="D52" i="6" s="1"/>
  <c r="F34" i="20"/>
  <c r="E34" i="20" s="1"/>
  <c r="G34" i="20" l="1"/>
  <c r="DO35" i="20"/>
  <c r="F52" i="6"/>
  <c r="D53" i="6" s="1"/>
  <c r="C40" i="6"/>
  <c r="G40" i="6" s="1"/>
  <c r="AN35" i="20"/>
  <c r="AM35" i="20" s="1"/>
  <c r="AL35" i="20" s="1"/>
  <c r="C35" i="20" s="1"/>
  <c r="D35" i="20" s="1"/>
  <c r="F53" i="6" l="1"/>
  <c r="D54" i="6" s="1"/>
  <c r="C41" i="6"/>
  <c r="G41" i="6" s="1"/>
  <c r="F35" i="20"/>
  <c r="E35" i="20" s="1"/>
  <c r="G35" i="20" l="1"/>
  <c r="DO36" i="20"/>
  <c r="F54" i="6"/>
  <c r="D55" i="6" s="1"/>
  <c r="C42" i="6"/>
  <c r="G42" i="6" s="1"/>
  <c r="AN36" i="20"/>
  <c r="AM36" i="20" s="1"/>
  <c r="C36" i="20" s="1"/>
  <c r="D36" i="20" s="1"/>
  <c r="F36" i="20" s="1"/>
  <c r="E36" i="20" s="1"/>
  <c r="AO37" i="20"/>
  <c r="AR47" i="20"/>
  <c r="AQ41" i="20"/>
  <c r="AP38" i="20"/>
  <c r="G36" i="20" l="1"/>
  <c r="DO37" i="20"/>
  <c r="AL36" i="20"/>
  <c r="F55" i="6"/>
  <c r="D56" i="6" s="1"/>
  <c r="AN37" i="20"/>
  <c r="AM37" i="20" s="1"/>
  <c r="AL37" i="20" s="1"/>
  <c r="F56" i="6" l="1"/>
  <c r="D57" i="6" s="1"/>
  <c r="C43" i="6"/>
  <c r="G43" i="6" s="1"/>
  <c r="C37" i="20"/>
  <c r="D37" i="20" s="1"/>
  <c r="F37" i="20" s="1"/>
  <c r="E37" i="20" s="1"/>
  <c r="G37" i="20" l="1"/>
  <c r="DO38" i="20"/>
  <c r="F57" i="6"/>
  <c r="D58" i="6" s="1"/>
  <c r="AN38" i="20"/>
  <c r="AM38" i="20" s="1"/>
  <c r="AL38" i="20" s="1"/>
  <c r="AO39" i="20"/>
  <c r="F58" i="6" l="1"/>
  <c r="D59" i="6" s="1"/>
  <c r="C44" i="6"/>
  <c r="G44" i="6" s="1"/>
  <c r="C38" i="20"/>
  <c r="D38" i="20" s="1"/>
  <c r="F38" i="20" s="1"/>
  <c r="E38" i="20" s="1"/>
  <c r="G38" i="20" l="1"/>
  <c r="DO39" i="20"/>
  <c r="F59" i="6"/>
  <c r="D60" i="6" s="1"/>
  <c r="C45" i="6"/>
  <c r="G45" i="6" s="1"/>
  <c r="AN39" i="20"/>
  <c r="AM39" i="20" s="1"/>
  <c r="AL39" i="20" s="1"/>
  <c r="AP41" i="20"/>
  <c r="C60" i="6" l="1"/>
  <c r="G60" i="6" s="1"/>
  <c r="F60" i="6"/>
  <c r="D61" i="6" s="1"/>
  <c r="C39" i="20"/>
  <c r="D39" i="20" s="1"/>
  <c r="F39" i="20" s="1"/>
  <c r="E39" i="20" s="1"/>
  <c r="G39" i="20" l="1"/>
  <c r="DO40" i="20"/>
  <c r="F61" i="6"/>
  <c r="D62" i="6" s="1"/>
  <c r="C61" i="6"/>
  <c r="G61" i="6" s="1"/>
  <c r="C46" i="6"/>
  <c r="G46" i="6" s="1"/>
  <c r="AN40" i="20"/>
  <c r="AM40" i="20" s="1"/>
  <c r="AL40" i="20" s="1"/>
  <c r="AO41" i="20"/>
  <c r="F62" i="6" l="1"/>
  <c r="D63" i="6" s="1"/>
  <c r="C62" i="6"/>
  <c r="G62" i="6" s="1"/>
  <c r="C47" i="6"/>
  <c r="G47" i="6" s="1"/>
  <c r="C40" i="20"/>
  <c r="D40" i="20" s="1"/>
  <c r="F40" i="20" s="1"/>
  <c r="E40" i="20" s="1"/>
  <c r="G40" i="20" l="1"/>
  <c r="DO41" i="20"/>
  <c r="C63" i="6"/>
  <c r="G63" i="6" s="1"/>
  <c r="F63" i="6"/>
  <c r="D64" i="6" s="1"/>
  <c r="AN41" i="20"/>
  <c r="AM41" i="20" s="1"/>
  <c r="AL41" i="20" s="1"/>
  <c r="C64" i="6" l="1"/>
  <c r="G64" i="6" s="1"/>
  <c r="F64" i="6"/>
  <c r="D65" i="6" s="1"/>
  <c r="C48" i="6"/>
  <c r="G48" i="6" s="1"/>
  <c r="C41" i="20"/>
  <c r="D41" i="20" s="1"/>
  <c r="F41" i="20" s="1"/>
  <c r="E41" i="20" s="1"/>
  <c r="G41" i="20" l="1"/>
  <c r="DO42" i="20"/>
  <c r="F65" i="6"/>
  <c r="D66" i="6" s="1"/>
  <c r="C65" i="6"/>
  <c r="G65" i="6" s="1"/>
  <c r="C49" i="6"/>
  <c r="G49" i="6" s="1"/>
  <c r="AP44" i="20"/>
  <c r="AN42" i="20"/>
  <c r="AM42" i="20" s="1"/>
  <c r="AQ47" i="20"/>
  <c r="AL42" i="20"/>
  <c r="AO43" i="20"/>
  <c r="C42" i="20" l="1"/>
  <c r="D42" i="20" s="1"/>
  <c r="F42" i="20" s="1"/>
  <c r="E42" i="20" s="1"/>
  <c r="F66" i="6"/>
  <c r="D67" i="6" s="1"/>
  <c r="C66" i="6"/>
  <c r="G66" i="6" s="1"/>
  <c r="G42" i="20" l="1"/>
  <c r="DO43" i="20"/>
  <c r="AL43" i="20"/>
  <c r="AN43" i="20"/>
  <c r="AM43" i="20" s="1"/>
  <c r="C43" i="20" s="1"/>
  <c r="D43" i="20" s="1"/>
  <c r="F43" i="20" s="1"/>
  <c r="E43" i="20" s="1"/>
  <c r="F67" i="6"/>
  <c r="D68" i="6" s="1"/>
  <c r="C67" i="6"/>
  <c r="G67" i="6" s="1"/>
  <c r="C50" i="6"/>
  <c r="G50" i="6" s="1"/>
  <c r="G43" i="20" l="1"/>
  <c r="DO44" i="20"/>
  <c r="C68" i="6"/>
  <c r="G68" i="6" s="1"/>
  <c r="F68" i="6"/>
  <c r="D69" i="6" s="1"/>
  <c r="C51" i="6"/>
  <c r="G51" i="6" s="1"/>
  <c r="AO45" i="20"/>
  <c r="AL44" i="20"/>
  <c r="AN44" i="20"/>
  <c r="AM44" i="20" s="1"/>
  <c r="F69" i="6" l="1"/>
  <c r="D70" i="6" s="1"/>
  <c r="C69" i="6"/>
  <c r="G69" i="6" s="1"/>
  <c r="C52" i="6"/>
  <c r="G52" i="6" s="1"/>
  <c r="C44" i="20"/>
  <c r="D44" i="20" s="1"/>
  <c r="F44" i="20" s="1"/>
  <c r="E44" i="20" s="1"/>
  <c r="G44" i="20" l="1"/>
  <c r="DO45" i="20"/>
  <c r="C70" i="6"/>
  <c r="G70" i="6" s="1"/>
  <c r="F70" i="6"/>
  <c r="D71" i="6" s="1"/>
  <c r="C53" i="6"/>
  <c r="G53" i="6" s="1"/>
  <c r="AN45" i="20"/>
  <c r="AM45" i="20" s="1"/>
  <c r="AL45" i="20"/>
  <c r="AP47" i="20"/>
  <c r="F71" i="6" l="1"/>
  <c r="D72" i="6" s="1"/>
  <c r="C71" i="6"/>
  <c r="G71" i="6" s="1"/>
  <c r="C45" i="20"/>
  <c r="D45" i="20" s="1"/>
  <c r="F45" i="20" s="1"/>
  <c r="E45" i="20" s="1"/>
  <c r="G45" i="20" l="1"/>
  <c r="DO46" i="20"/>
  <c r="C72" i="6"/>
  <c r="G72" i="6" s="1"/>
  <c r="F72" i="6"/>
  <c r="D73" i="6" s="1"/>
  <c r="C54" i="6"/>
  <c r="G54" i="6" s="1"/>
  <c r="AN46" i="20"/>
  <c r="AM46" i="20" s="1"/>
  <c r="AO47" i="20"/>
  <c r="AL46" i="20"/>
  <c r="F73" i="6" l="1"/>
  <c r="D74" i="6" s="1"/>
  <c r="C73" i="6"/>
  <c r="G73" i="6" s="1"/>
  <c r="C55" i="6"/>
  <c r="G55" i="6" s="1"/>
  <c r="C46" i="20"/>
  <c r="D46" i="20" s="1"/>
  <c r="F46" i="20" s="1"/>
  <c r="E46" i="20" s="1"/>
  <c r="G46" i="20" l="1"/>
  <c r="DO47" i="20"/>
  <c r="F74" i="6"/>
  <c r="D75" i="6" s="1"/>
  <c r="C74" i="6"/>
  <c r="G74" i="6" s="1"/>
  <c r="C56" i="6"/>
  <c r="G56" i="6" s="1"/>
  <c r="AL47" i="20"/>
  <c r="AN47" i="20"/>
  <c r="AM47" i="20" s="1"/>
  <c r="F75" i="6" l="1"/>
  <c r="D76" i="6" s="1"/>
  <c r="C75" i="6"/>
  <c r="G75" i="6" s="1"/>
  <c r="C57" i="6"/>
  <c r="G57" i="6" s="1"/>
  <c r="C47" i="20"/>
  <c r="D47" i="20" s="1"/>
  <c r="C76" i="6" l="1"/>
  <c r="G76" i="6" s="1"/>
  <c r="F76" i="6"/>
  <c r="D77" i="6" s="1"/>
  <c r="C58" i="6"/>
  <c r="G58" i="6" s="1"/>
  <c r="F47" i="20"/>
  <c r="E47" i="20" s="1"/>
  <c r="G47" i="20" l="1"/>
  <c r="DO48" i="20"/>
  <c r="F77" i="6"/>
  <c r="D78" i="6" s="1"/>
  <c r="C77" i="6"/>
  <c r="G77" i="6" s="1"/>
  <c r="AP50" i="20"/>
  <c r="AR59" i="20"/>
  <c r="AO49" i="20"/>
  <c r="AL48" i="20"/>
  <c r="AN48" i="20"/>
  <c r="AM48" i="20" s="1"/>
  <c r="AQ53" i="20"/>
  <c r="F78" i="6" l="1"/>
  <c r="D79" i="6" s="1"/>
  <c r="C78" i="6"/>
  <c r="G78" i="6" s="1"/>
  <c r="C59" i="6"/>
  <c r="G59" i="6" s="1"/>
  <c r="C48" i="20"/>
  <c r="D48" i="20" s="1"/>
  <c r="F79" i="6" l="1"/>
  <c r="D80" i="6" s="1"/>
  <c r="C79" i="6"/>
  <c r="G79" i="6" s="1"/>
  <c r="F48" i="20"/>
  <c r="E48" i="20" s="1"/>
  <c r="G48" i="20" l="1"/>
  <c r="DO49" i="20"/>
  <c r="C80" i="6"/>
  <c r="G80" i="6" s="1"/>
  <c r="F80" i="6"/>
  <c r="D81" i="6" s="1"/>
  <c r="AL49" i="20"/>
  <c r="AN49" i="20"/>
  <c r="AM49" i="20" s="1"/>
  <c r="F81" i="6" l="1"/>
  <c r="D82" i="6" s="1"/>
  <c r="C81" i="6"/>
  <c r="G81" i="6" s="1"/>
  <c r="C49" i="20"/>
  <c r="D49" i="20" s="1"/>
  <c r="F82" i="6" l="1"/>
  <c r="D83" i="6" s="1"/>
  <c r="C82" i="6"/>
  <c r="G82" i="6" s="1"/>
  <c r="F49" i="20"/>
  <c r="E49" i="20" s="1"/>
  <c r="G49" i="20" l="1"/>
  <c r="DO50" i="20"/>
  <c r="F83" i="6"/>
  <c r="D84" i="6" s="1"/>
  <c r="C83" i="6"/>
  <c r="G83" i="6" s="1"/>
  <c r="AL50" i="20"/>
  <c r="AN50" i="20"/>
  <c r="AM50" i="20" s="1"/>
  <c r="AO51" i="20"/>
  <c r="F84" i="6" l="1"/>
  <c r="D85" i="6" s="1"/>
  <c r="C84" i="6"/>
  <c r="G84" i="6" s="1"/>
  <c r="C50" i="20"/>
  <c r="D50" i="20" s="1"/>
  <c r="F50" i="20" s="1"/>
  <c r="E50" i="20" s="1"/>
  <c r="G50" i="20" l="1"/>
  <c r="DO51" i="20"/>
  <c r="C85" i="6"/>
  <c r="G85" i="6" s="1"/>
  <c r="F85" i="6"/>
  <c r="D86" i="6" s="1"/>
  <c r="AL51" i="20"/>
  <c r="AP53" i="20"/>
  <c r="AN51" i="20"/>
  <c r="AM51" i="20" s="1"/>
  <c r="C86" i="6" l="1"/>
  <c r="G86" i="6" s="1"/>
  <c r="F86" i="6"/>
  <c r="D87" i="6" s="1"/>
  <c r="C51" i="20"/>
  <c r="D51" i="20" s="1"/>
  <c r="F51" i="20" s="1"/>
  <c r="E51" i="20" s="1"/>
  <c r="G51" i="20" l="1"/>
  <c r="DO52" i="20"/>
  <c r="C87" i="6"/>
  <c r="G87" i="6" s="1"/>
  <c r="F87" i="6"/>
  <c r="D88" i="6" s="1"/>
  <c r="AN52" i="20"/>
  <c r="AM52" i="20" s="1"/>
  <c r="AO53" i="20"/>
  <c r="AL52" i="20"/>
  <c r="F88" i="6" l="1"/>
  <c r="D89" i="6" s="1"/>
  <c r="C88" i="6"/>
  <c r="G88" i="6" s="1"/>
  <c r="C52" i="20"/>
  <c r="D52" i="20" s="1"/>
  <c r="F52" i="20" s="1"/>
  <c r="E52" i="20" s="1"/>
  <c r="G52" i="20" l="1"/>
  <c r="DO53" i="20"/>
  <c r="C89" i="6"/>
  <c r="G89" i="6" s="1"/>
  <c r="F89" i="6"/>
  <c r="D90" i="6" s="1"/>
  <c r="AL53" i="20"/>
  <c r="AN53" i="20"/>
  <c r="AM53" i="20" s="1"/>
  <c r="C90" i="6" l="1"/>
  <c r="G90" i="6" s="1"/>
  <c r="F90" i="6"/>
  <c r="D91" i="6" s="1"/>
  <c r="C53" i="20"/>
  <c r="D53" i="20" s="1"/>
  <c r="F53" i="20" s="1"/>
  <c r="E53" i="20" s="1"/>
  <c r="G53" i="20" l="1"/>
  <c r="DO54" i="20"/>
  <c r="F91" i="6"/>
  <c r="D92" i="6" s="1"/>
  <c r="C91" i="6"/>
  <c r="G91" i="6" s="1"/>
  <c r="AP56" i="20"/>
  <c r="AL54" i="20"/>
  <c r="AQ59" i="20"/>
  <c r="AN54" i="20"/>
  <c r="AM54" i="20" s="1"/>
  <c r="AO55" i="20"/>
  <c r="C92" i="6" l="1"/>
  <c r="G92" i="6" s="1"/>
  <c r="F92" i="6"/>
  <c r="D93" i="6" s="1"/>
  <c r="C54" i="20"/>
  <c r="D54" i="20" s="1"/>
  <c r="F54" i="20" s="1"/>
  <c r="E54" i="20" s="1"/>
  <c r="G54" i="20" l="1"/>
  <c r="DO55" i="20"/>
  <c r="C93" i="6"/>
  <c r="G93" i="6" s="1"/>
  <c r="F93" i="6"/>
  <c r="D94" i="6" s="1"/>
  <c r="AL55" i="20"/>
  <c r="AN55" i="20"/>
  <c r="AM55" i="20" s="1"/>
  <c r="C94" i="6" l="1"/>
  <c r="G94" i="6" s="1"/>
  <c r="F94" i="6"/>
  <c r="D95" i="6" s="1"/>
  <c r="C55" i="20"/>
  <c r="D55" i="20" s="1"/>
  <c r="F55" i="20" s="1"/>
  <c r="E55" i="20" s="1"/>
  <c r="G55" i="20" l="1"/>
  <c r="DO56" i="20"/>
  <c r="C95" i="6"/>
  <c r="G95" i="6" s="1"/>
  <c r="F95" i="6"/>
  <c r="D96" i="6" s="1"/>
  <c r="AO57" i="20"/>
  <c r="AL56" i="20"/>
  <c r="AN56" i="20"/>
  <c r="AM56" i="20" s="1"/>
  <c r="C96" i="6" l="1"/>
  <c r="G96" i="6" s="1"/>
  <c r="F96" i="6"/>
  <c r="D97" i="6" s="1"/>
  <c r="C56" i="20"/>
  <c r="D56" i="20" s="1"/>
  <c r="F56" i="20" s="1"/>
  <c r="E56" i="20" s="1"/>
  <c r="G56" i="20" l="1"/>
  <c r="DO57" i="20"/>
  <c r="C97" i="6"/>
  <c r="G97" i="6" s="1"/>
  <c r="F97" i="6"/>
  <c r="D98" i="6" s="1"/>
  <c r="AN57" i="20"/>
  <c r="AM57" i="20" s="1"/>
  <c r="AL57" i="20"/>
  <c r="AP59" i="20"/>
  <c r="C98" i="6" l="1"/>
  <c r="G98" i="6" s="1"/>
  <c r="F98" i="6"/>
  <c r="D99" i="6" s="1"/>
  <c r="C57" i="20"/>
  <c r="D57" i="20" s="1"/>
  <c r="F57" i="20" s="1"/>
  <c r="E57" i="20" s="1"/>
  <c r="G57" i="20" l="1"/>
  <c r="DO58" i="20"/>
  <c r="F99" i="6"/>
  <c r="D100" i="6" s="1"/>
  <c r="C99" i="6"/>
  <c r="G99" i="6" s="1"/>
  <c r="AL58" i="20"/>
  <c r="AN58" i="20"/>
  <c r="AM58" i="20" s="1"/>
  <c r="AO59" i="20"/>
  <c r="C100" i="6" l="1"/>
  <c r="G100" i="6" s="1"/>
  <c r="F100" i="6"/>
  <c r="D101" i="6" s="1"/>
  <c r="C58" i="20"/>
  <c r="D58" i="20" s="1"/>
  <c r="C101" i="6" l="1"/>
  <c r="G101" i="6" s="1"/>
  <c r="F101" i="6"/>
  <c r="D102" i="6" s="1"/>
  <c r="F58" i="20"/>
  <c r="E58" i="20" s="1"/>
  <c r="G58" i="20" l="1"/>
  <c r="DO59" i="20"/>
  <c r="C102" i="6"/>
  <c r="G102" i="6" s="1"/>
  <c r="F102" i="6"/>
  <c r="D103" i="6" s="1"/>
  <c r="AN59" i="20"/>
  <c r="AM59" i="20" s="1"/>
  <c r="AL59" i="20"/>
  <c r="C103" i="6" l="1"/>
  <c r="G103" i="6" s="1"/>
  <c r="F103" i="6"/>
  <c r="D104" i="6" s="1"/>
  <c r="C59" i="20"/>
  <c r="D59" i="20" s="1"/>
  <c r="C104" i="6" l="1"/>
  <c r="G104" i="6" s="1"/>
  <c r="F104" i="6"/>
  <c r="D105" i="6" s="1"/>
  <c r="F59" i="20"/>
  <c r="C105" i="6" l="1"/>
  <c r="G105" i="6" s="1"/>
  <c r="F105" i="6"/>
  <c r="D106" i="6" s="1"/>
  <c r="E59" i="20"/>
  <c r="G59" i="20" l="1"/>
  <c r="DO60" i="20"/>
  <c r="C106" i="6"/>
  <c r="G106" i="6" s="1"/>
  <c r="F106" i="6"/>
  <c r="D107" i="6" s="1"/>
  <c r="AR71" i="20"/>
  <c r="AP62" i="20"/>
  <c r="AN60" i="20"/>
  <c r="AM60" i="20" s="1"/>
  <c r="AO61" i="20"/>
  <c r="AQ65" i="20"/>
  <c r="AL60" i="20"/>
  <c r="F107" i="6" l="1"/>
  <c r="D108" i="6" s="1"/>
  <c r="C107" i="6"/>
  <c r="G107" i="6" s="1"/>
  <c r="C60" i="20"/>
  <c r="D60" i="20" s="1"/>
  <c r="F108" i="6" l="1"/>
  <c r="D109" i="6" s="1"/>
  <c r="C108" i="6"/>
  <c r="G108" i="6" s="1"/>
  <c r="F60" i="20"/>
  <c r="E60" i="20" s="1"/>
  <c r="DO61" i="20" s="1"/>
  <c r="C109" i="6" l="1"/>
  <c r="G109" i="6" s="1"/>
  <c r="F109" i="6"/>
  <c r="D110" i="6" s="1"/>
  <c r="AN61" i="20"/>
  <c r="AM61" i="20" s="1"/>
  <c r="AL61" i="20"/>
  <c r="G60" i="20"/>
  <c r="C110" i="6" l="1"/>
  <c r="G110" i="6" s="1"/>
  <c r="F110" i="6"/>
  <c r="D111" i="6" s="1"/>
  <c r="C61" i="20"/>
  <c r="D61" i="20" s="1"/>
  <c r="C111" i="6" l="1"/>
  <c r="G111" i="6" s="1"/>
  <c r="F111" i="6"/>
  <c r="D112" i="6" s="1"/>
  <c r="F61" i="20"/>
  <c r="E61" i="20" s="1"/>
  <c r="DO62" i="20" s="1"/>
  <c r="C112" i="6" l="1"/>
  <c r="G112" i="6" s="1"/>
  <c r="F112" i="6"/>
  <c r="D113" i="6" s="1"/>
  <c r="G61" i="20"/>
  <c r="AL62" i="20"/>
  <c r="AO63" i="20"/>
  <c r="AN62" i="20"/>
  <c r="AM62" i="20" s="1"/>
  <c r="C113" i="6" l="1"/>
  <c r="G113" i="6" s="1"/>
  <c r="F113" i="6"/>
  <c r="D114" i="6" s="1"/>
  <c r="C62" i="20"/>
  <c r="D62" i="20" s="1"/>
  <c r="C114" i="6" l="1"/>
  <c r="G114" i="6" s="1"/>
  <c r="F114" i="6"/>
  <c r="D115" i="6" s="1"/>
  <c r="F62" i="20"/>
  <c r="E62" i="20" s="1"/>
  <c r="DO63" i="20" s="1"/>
  <c r="F115" i="6" l="1"/>
  <c r="D116" i="6" s="1"/>
  <c r="C115" i="6"/>
  <c r="G115" i="6" s="1"/>
  <c r="AP65" i="20"/>
  <c r="G62" i="20"/>
  <c r="AN63" i="20"/>
  <c r="AM63" i="20" s="1"/>
  <c r="AL63" i="20"/>
  <c r="C116" i="6" l="1"/>
  <c r="G116" i="6" s="1"/>
  <c r="F116" i="6"/>
  <c r="D117" i="6" s="1"/>
  <c r="C63" i="20"/>
  <c r="D63" i="20" s="1"/>
  <c r="F63" i="20" s="1"/>
  <c r="E63" i="20" s="1"/>
  <c r="DO64" i="20" s="1"/>
  <c r="C117" i="6" l="1"/>
  <c r="G117" i="6" s="1"/>
  <c r="F117" i="6"/>
  <c r="D118" i="6" s="1"/>
  <c r="G63" i="20"/>
  <c r="AN64" i="20"/>
  <c r="AM64" i="20" s="1"/>
  <c r="AL64" i="20"/>
  <c r="AO65" i="20"/>
  <c r="C118" i="6" l="1"/>
  <c r="G118" i="6" s="1"/>
  <c r="F118" i="6"/>
  <c r="D119" i="6" s="1"/>
  <c r="C64" i="20"/>
  <c r="D64" i="20" s="1"/>
  <c r="F64" i="20" s="1"/>
  <c r="E64" i="20" s="1"/>
  <c r="DO65" i="20" s="1"/>
  <c r="F119" i="6" l="1"/>
  <c r="D120" i="6" s="1"/>
  <c r="C119" i="6"/>
  <c r="G119" i="6" s="1"/>
  <c r="G64" i="20"/>
  <c r="AL65" i="20"/>
  <c r="AN65" i="20"/>
  <c r="AM65" i="20" s="1"/>
  <c r="F120" i="6" l="1"/>
  <c r="D121" i="6" s="1"/>
  <c r="C120" i="6"/>
  <c r="G120" i="6" s="1"/>
  <c r="C65" i="20"/>
  <c r="D65" i="20" s="1"/>
  <c r="F65" i="20" s="1"/>
  <c r="E65" i="20" s="1"/>
  <c r="DO66" i="20" s="1"/>
  <c r="C121" i="6" l="1"/>
  <c r="G121" i="6" s="1"/>
  <c r="F121" i="6"/>
  <c r="D122" i="6" s="1"/>
  <c r="AN66" i="20"/>
  <c r="AM66" i="20" s="1"/>
  <c r="AO67" i="20"/>
  <c r="AP68" i="20"/>
  <c r="AL66" i="20"/>
  <c r="G65" i="20"/>
  <c r="AQ71" i="20"/>
  <c r="C122" i="6" l="1"/>
  <c r="G122" i="6" s="1"/>
  <c r="F122" i="6"/>
  <c r="D123" i="6" s="1"/>
  <c r="C66" i="20"/>
  <c r="D66" i="20" s="1"/>
  <c r="F66" i="20" s="1"/>
  <c r="E66" i="20" s="1"/>
  <c r="DO67" i="20" s="1"/>
  <c r="F123" i="6" l="1"/>
  <c r="D124" i="6" s="1"/>
  <c r="C123" i="6"/>
  <c r="G123" i="6" s="1"/>
  <c r="G66" i="20"/>
  <c r="AL67" i="20"/>
  <c r="AN67" i="20"/>
  <c r="AM67" i="20" s="1"/>
  <c r="F124" i="6" l="1"/>
  <c r="D125" i="6" s="1"/>
  <c r="C124" i="6"/>
  <c r="G124" i="6" s="1"/>
  <c r="C67" i="20"/>
  <c r="D67" i="20" s="1"/>
  <c r="F67" i="20" s="1"/>
  <c r="E67" i="20" s="1"/>
  <c r="DO68" i="20" s="1"/>
  <c r="C125" i="6" l="1"/>
  <c r="G125" i="6" s="1"/>
  <c r="F125" i="6"/>
  <c r="D126" i="6" s="1"/>
  <c r="AL68" i="20"/>
  <c r="G67" i="20"/>
  <c r="AO69" i="20"/>
  <c r="AN68" i="20"/>
  <c r="AM68" i="20" s="1"/>
  <c r="C126" i="6" l="1"/>
  <c r="G126" i="6" s="1"/>
  <c r="F126" i="6"/>
  <c r="D127" i="6" s="1"/>
  <c r="C68" i="20"/>
  <c r="D68" i="20" s="1"/>
  <c r="F68" i="20" s="1"/>
  <c r="E68" i="20" s="1"/>
  <c r="DO69" i="20" s="1"/>
  <c r="C127" i="6" l="1"/>
  <c r="G127" i="6" s="1"/>
  <c r="F127" i="6"/>
  <c r="D128" i="6" s="1"/>
  <c r="AL69" i="20"/>
  <c r="G68" i="20"/>
  <c r="AP71" i="20"/>
  <c r="AN69" i="20"/>
  <c r="AM69" i="20" s="1"/>
  <c r="C128" i="6" l="1"/>
  <c r="G128" i="6" s="1"/>
  <c r="F128" i="6"/>
  <c r="D129" i="6" s="1"/>
  <c r="C69" i="20"/>
  <c r="D69" i="20" s="1"/>
  <c r="F69" i="20" s="1"/>
  <c r="E69" i="20" s="1"/>
  <c r="DO70" i="20" s="1"/>
  <c r="C129" i="6" l="1"/>
  <c r="G129" i="6" s="1"/>
  <c r="F129" i="6"/>
  <c r="D130" i="6" s="1"/>
  <c r="G69" i="20"/>
  <c r="AO71" i="20"/>
  <c r="AL70" i="20"/>
  <c r="AN70" i="20"/>
  <c r="AM70" i="20" s="1"/>
  <c r="C130" i="6" l="1"/>
  <c r="G130" i="6" s="1"/>
  <c r="F130" i="6"/>
  <c r="D131" i="6" s="1"/>
  <c r="C70" i="20"/>
  <c r="D70" i="20" s="1"/>
  <c r="F70" i="20" s="1"/>
  <c r="E70" i="20" s="1"/>
  <c r="DO71" i="20" s="1"/>
  <c r="F131" i="6" l="1"/>
  <c r="D132" i="6" s="1"/>
  <c r="C131" i="6"/>
  <c r="G131" i="6" s="1"/>
  <c r="G70" i="20"/>
  <c r="AL71" i="20"/>
  <c r="AN71" i="20"/>
  <c r="AM71" i="20" s="1"/>
  <c r="C132" i="6" l="1"/>
  <c r="G132" i="6" s="1"/>
  <c r="F132" i="6"/>
  <c r="D133" i="6" s="1"/>
  <c r="C71" i="20"/>
  <c r="D71" i="20" l="1"/>
  <c r="F71" i="20" s="1"/>
  <c r="E71" i="20" s="1"/>
  <c r="C133" i="6"/>
  <c r="G133" i="6" s="1"/>
  <c r="F133" i="6"/>
  <c r="D134" i="6" s="1"/>
  <c r="AL72" i="20" l="1"/>
  <c r="AN72" i="20"/>
  <c r="AM72" i="20" s="1"/>
  <c r="C72" i="20" s="1"/>
  <c r="D72" i="20" s="1"/>
  <c r="F72" i="20" s="1"/>
  <c r="E72" i="20" s="1"/>
  <c r="DO72" i="20"/>
  <c r="G71" i="20"/>
  <c r="B19" i="20" s="1"/>
  <c r="C134" i="6"/>
  <c r="G134" i="6" s="1"/>
  <c r="F134" i="6"/>
  <c r="D135" i="6" s="1"/>
  <c r="DO73" i="20" l="1"/>
  <c r="G72" i="20"/>
  <c r="AN73" i="20"/>
  <c r="AM73" i="20" s="1"/>
  <c r="C73" i="20" s="1"/>
  <c r="D73" i="20" s="1"/>
  <c r="AL73" i="20"/>
  <c r="C135" i="6"/>
  <c r="G135" i="6" s="1"/>
  <c r="F135" i="6"/>
  <c r="D136" i="6" s="1"/>
  <c r="X229" i="6"/>
  <c r="Y229" i="6" s="1"/>
  <c r="Z229" i="6" s="1"/>
  <c r="F73" i="20" l="1"/>
  <c r="E73" i="20" s="1"/>
  <c r="G73" i="20" s="1"/>
  <c r="F136" i="6"/>
  <c r="D137" i="6" s="1"/>
  <c r="C136" i="6"/>
  <c r="G136" i="6" s="1"/>
  <c r="X230" i="6"/>
  <c r="Y230" i="6" s="1"/>
  <c r="Z230" i="6" s="1"/>
  <c r="DO74" i="20" l="1"/>
  <c r="AN74" i="20"/>
  <c r="AM74" i="20" s="1"/>
  <c r="C74" i="20" s="1"/>
  <c r="AL74" i="20"/>
  <c r="C137" i="6"/>
  <c r="G137" i="6" s="1"/>
  <c r="F137" i="6"/>
  <c r="D138" i="6" s="1"/>
  <c r="X231" i="6"/>
  <c r="Y231" i="6" s="1"/>
  <c r="Z231" i="6" s="1"/>
  <c r="D74" i="20" l="1"/>
  <c r="C138" i="6"/>
  <c r="G138" i="6" s="1"/>
  <c r="F138" i="6"/>
  <c r="D139" i="6" s="1"/>
  <c r="X232" i="6"/>
  <c r="Y232" i="6" s="1"/>
  <c r="Z232" i="6" s="1"/>
  <c r="F74" i="20" l="1"/>
  <c r="E74" i="20" s="1"/>
  <c r="C139" i="6"/>
  <c r="G139" i="6" s="1"/>
  <c r="F139" i="6"/>
  <c r="D140" i="6" s="1"/>
  <c r="X233" i="6"/>
  <c r="Y233" i="6" s="1"/>
  <c r="Z233" i="6" s="1"/>
  <c r="DO75" i="20" l="1"/>
  <c r="AL75" i="20"/>
  <c r="AN75" i="20"/>
  <c r="AM75" i="20" s="1"/>
  <c r="C75" i="20" s="1"/>
  <c r="G74" i="20"/>
  <c r="C140" i="6"/>
  <c r="G140" i="6" s="1"/>
  <c r="F140" i="6"/>
  <c r="D141" i="6" s="1"/>
  <c r="X234" i="6"/>
  <c r="Y234" i="6" s="1"/>
  <c r="Z234" i="6" s="1"/>
  <c r="D75" i="20" l="1"/>
  <c r="C141" i="6"/>
  <c r="G141" i="6" s="1"/>
  <c r="F141" i="6"/>
  <c r="D142" i="6" s="1"/>
  <c r="X235" i="6"/>
  <c r="Y235" i="6" s="1"/>
  <c r="Z235" i="6" s="1"/>
  <c r="F75" i="20" l="1"/>
  <c r="E75" i="20" s="1"/>
  <c r="C142" i="6"/>
  <c r="G142" i="6" s="1"/>
  <c r="F142" i="6"/>
  <c r="D143" i="6" s="1"/>
  <c r="X236" i="6"/>
  <c r="Y236" i="6" s="1"/>
  <c r="Z236" i="6" s="1"/>
  <c r="DO76" i="20" l="1"/>
  <c r="AL76" i="20"/>
  <c r="AN76" i="20"/>
  <c r="AM76" i="20" s="1"/>
  <c r="C76" i="20" s="1"/>
  <c r="G75" i="20"/>
  <c r="C143" i="6"/>
  <c r="G143" i="6" s="1"/>
  <c r="F143" i="6"/>
  <c r="D144" i="6" s="1"/>
  <c r="X237" i="6"/>
  <c r="Y237" i="6" s="1"/>
  <c r="Z237" i="6" s="1"/>
  <c r="D76" i="20" l="1"/>
  <c r="F144" i="6"/>
  <c r="D145" i="6" s="1"/>
  <c r="C144" i="6"/>
  <c r="G144" i="6" s="1"/>
  <c r="X238" i="6"/>
  <c r="Y238" i="6" s="1"/>
  <c r="Z238" i="6" s="1"/>
  <c r="F76" i="20" l="1"/>
  <c r="E76" i="20" s="1"/>
  <c r="C145" i="6"/>
  <c r="G145" i="6" s="1"/>
  <c r="F145" i="6"/>
  <c r="D146" i="6" s="1"/>
  <c r="X239" i="6"/>
  <c r="Y239" i="6" s="1"/>
  <c r="Z239" i="6" s="1"/>
  <c r="DO77" i="20" l="1"/>
  <c r="AL77" i="20"/>
  <c r="AN77" i="20"/>
  <c r="AM77" i="20" s="1"/>
  <c r="C77" i="20" s="1"/>
  <c r="G76" i="20"/>
  <c r="C146" i="6"/>
  <c r="G146" i="6" s="1"/>
  <c r="F146" i="6"/>
  <c r="D147" i="6" s="1"/>
  <c r="X240" i="6"/>
  <c r="Y240" i="6" s="1"/>
  <c r="Z240" i="6" s="1"/>
  <c r="D77" i="20" l="1"/>
  <c r="F77" i="20" s="1"/>
  <c r="E77" i="20" s="1"/>
  <c r="C147" i="6"/>
  <c r="G147" i="6" s="1"/>
  <c r="F147" i="6"/>
  <c r="D148" i="6" s="1"/>
  <c r="X241" i="6"/>
  <c r="Y241" i="6" s="1"/>
  <c r="Z241" i="6" s="1"/>
  <c r="DO78" i="20" l="1"/>
  <c r="AN78" i="20"/>
  <c r="AM78" i="20" s="1"/>
  <c r="C78" i="20" s="1"/>
  <c r="D78" i="20" s="1"/>
  <c r="F78" i="20" s="1"/>
  <c r="E78" i="20" s="1"/>
  <c r="AL78" i="20"/>
  <c r="G77" i="20"/>
  <c r="C148" i="6"/>
  <c r="G148" i="6" s="1"/>
  <c r="F148" i="6"/>
  <c r="D149" i="6" s="1"/>
  <c r="X242" i="6"/>
  <c r="Y242" i="6" s="1"/>
  <c r="Z242" i="6" s="1"/>
  <c r="DO79" i="20" l="1"/>
  <c r="AN79" i="20"/>
  <c r="AM79" i="20" s="1"/>
  <c r="C79" i="20" s="1"/>
  <c r="D79" i="20" s="1"/>
  <c r="F79" i="20" s="1"/>
  <c r="E79" i="20" s="1"/>
  <c r="AL79" i="20"/>
  <c r="G78" i="20"/>
  <c r="C149" i="6"/>
  <c r="G149" i="6" s="1"/>
  <c r="F149" i="6"/>
  <c r="D150" i="6" s="1"/>
  <c r="X243" i="6"/>
  <c r="Y243" i="6" s="1"/>
  <c r="Z243" i="6" s="1"/>
  <c r="DO80" i="20" l="1"/>
  <c r="AL80" i="20"/>
  <c r="AN80" i="20"/>
  <c r="AM80" i="20" s="1"/>
  <c r="C80" i="20" s="1"/>
  <c r="D80" i="20" s="1"/>
  <c r="F80" i="20" s="1"/>
  <c r="E80" i="20" s="1"/>
  <c r="G79" i="20"/>
  <c r="C150" i="6"/>
  <c r="G150" i="6" s="1"/>
  <c r="F150" i="6"/>
  <c r="D151" i="6" s="1"/>
  <c r="X244" i="6"/>
  <c r="Y244" i="6" s="1"/>
  <c r="Z244" i="6" s="1"/>
  <c r="DO81" i="20" l="1"/>
  <c r="AN81" i="20"/>
  <c r="AM81" i="20" s="1"/>
  <c r="C81" i="20" s="1"/>
  <c r="D81" i="20" s="1"/>
  <c r="F81" i="20" s="1"/>
  <c r="E81" i="20" s="1"/>
  <c r="AL81" i="20"/>
  <c r="G80" i="20"/>
  <c r="F151" i="6"/>
  <c r="D152" i="6" s="1"/>
  <c r="C151" i="6"/>
  <c r="G151" i="6" s="1"/>
  <c r="X245" i="6"/>
  <c r="Y245" i="6" s="1"/>
  <c r="Z245" i="6" s="1"/>
  <c r="DO82" i="20" l="1"/>
  <c r="AN82" i="20"/>
  <c r="AM82" i="20" s="1"/>
  <c r="C82" i="20" s="1"/>
  <c r="D82" i="20" s="1"/>
  <c r="F82" i="20" s="1"/>
  <c r="E82" i="20" s="1"/>
  <c r="AL82" i="20"/>
  <c r="G81" i="20"/>
  <c r="F152" i="6"/>
  <c r="D153" i="6" s="1"/>
  <c r="C152" i="6"/>
  <c r="G152" i="6" s="1"/>
  <c r="X246" i="6"/>
  <c r="Y246" i="6" s="1"/>
  <c r="Z246" i="6" s="1"/>
  <c r="DO83" i="20" l="1"/>
  <c r="DO23" i="20" s="1"/>
  <c r="AL83" i="20"/>
  <c r="AN83" i="20"/>
  <c r="AM83" i="20" s="1"/>
  <c r="C83" i="20" s="1"/>
  <c r="G82" i="20"/>
  <c r="C153" i="6"/>
  <c r="G153" i="6" s="1"/>
  <c r="F153" i="6"/>
  <c r="D154" i="6" s="1"/>
  <c r="X247" i="6"/>
  <c r="Y247" i="6" s="1"/>
  <c r="Z247" i="6" s="1"/>
  <c r="D83" i="20" l="1"/>
  <c r="C22" i="20"/>
  <c r="C154" i="6"/>
  <c r="G154" i="6" s="1"/>
  <c r="F154" i="6"/>
  <c r="D155" i="6" s="1"/>
  <c r="X248" i="6"/>
  <c r="Y248" i="6" s="1"/>
  <c r="Z248" i="6" s="1"/>
  <c r="F83" i="20" l="1"/>
  <c r="E83" i="20" s="1"/>
  <c r="D22" i="20"/>
  <c r="C155" i="6"/>
  <c r="G155" i="6" s="1"/>
  <c r="F155" i="6"/>
  <c r="D156" i="6" s="1"/>
  <c r="G83" i="20" l="1"/>
  <c r="G22" i="20" s="1"/>
  <c r="AL84" i="20"/>
  <c r="AN84" i="20"/>
  <c r="AM84" i="20" s="1"/>
  <c r="F156" i="6"/>
  <c r="D157" i="6" s="1"/>
  <c r="C156" i="6"/>
  <c r="G156" i="6" s="1"/>
  <c r="C157" i="6" l="1"/>
  <c r="F157" i="6"/>
  <c r="D158" i="6" s="1"/>
  <c r="X249" i="6"/>
  <c r="Y249" i="6" s="1"/>
  <c r="Z249" i="6" s="1"/>
  <c r="C158" i="6" l="1"/>
  <c r="G158" i="6" s="1"/>
  <c r="F158" i="6"/>
  <c r="D159" i="6" s="1"/>
  <c r="G157" i="6"/>
  <c r="F159" i="6" l="1"/>
  <c r="D160" i="6" s="1"/>
  <c r="C159" i="6"/>
  <c r="X250" i="6"/>
  <c r="Y250" i="6" s="1"/>
  <c r="Z250" i="6" s="1"/>
  <c r="G159" i="6" l="1"/>
  <c r="F160" i="6"/>
  <c r="D161" i="6" s="1"/>
  <c r="C160" i="6"/>
  <c r="G160" i="6" s="1"/>
  <c r="X251" i="6"/>
  <c r="Y251" i="6" s="1"/>
  <c r="Z251" i="6" s="1"/>
  <c r="C161" i="6" l="1"/>
  <c r="G161" i="6" s="1"/>
  <c r="F161" i="6"/>
  <c r="D162" i="6" s="1"/>
  <c r="X252" i="6"/>
  <c r="Y252" i="6" s="1"/>
  <c r="Z252" i="6" s="1"/>
  <c r="C162" i="6" l="1"/>
  <c r="F162" i="6"/>
  <c r="D163" i="6" s="1"/>
  <c r="X253" i="6"/>
  <c r="Y253" i="6" s="1"/>
  <c r="Z253" i="6" s="1"/>
  <c r="C163" i="6" l="1"/>
  <c r="G163" i="6" s="1"/>
  <c r="F163" i="6"/>
  <c r="D164" i="6" s="1"/>
  <c r="G162" i="6"/>
  <c r="X254" i="6"/>
  <c r="Y254" i="6" s="1"/>
  <c r="Z254" i="6" s="1"/>
  <c r="C164" i="6" l="1"/>
  <c r="F164" i="6"/>
  <c r="D165" i="6" s="1"/>
  <c r="X255" i="6"/>
  <c r="Y255" i="6" s="1"/>
  <c r="Z255" i="6" s="1"/>
  <c r="C165" i="6" l="1"/>
  <c r="G165" i="6" s="1"/>
  <c r="F165" i="6"/>
  <c r="D166" i="6" s="1"/>
  <c r="G164" i="6"/>
  <c r="X256" i="6"/>
  <c r="Y256" i="6" s="1"/>
  <c r="Z256" i="6" s="1"/>
  <c r="C166" i="6" l="1"/>
  <c r="G166" i="6" s="1"/>
  <c r="F166" i="6"/>
  <c r="D167" i="6" s="1"/>
  <c r="X257" i="6"/>
  <c r="Y257" i="6" s="1"/>
  <c r="Z257" i="6" s="1"/>
  <c r="F167" i="6" l="1"/>
  <c r="D168" i="6" s="1"/>
  <c r="C167" i="6"/>
  <c r="G167" i="6" s="1"/>
  <c r="C168" i="6" l="1"/>
  <c r="G168" i="6" s="1"/>
  <c r="F168" i="6"/>
  <c r="D169" i="6" s="1"/>
  <c r="C169" i="6" l="1"/>
  <c r="G169" i="6" s="1"/>
  <c r="F169" i="6"/>
  <c r="D170" i="6" s="1"/>
  <c r="C170" i="6" l="1"/>
  <c r="G170" i="6" s="1"/>
  <c r="F170" i="6"/>
  <c r="D171" i="6" s="1"/>
  <c r="C171" i="6" l="1"/>
  <c r="G171" i="6" s="1"/>
  <c r="F171" i="6"/>
  <c r="D172" i="6" s="1"/>
  <c r="F172" i="6" l="1"/>
  <c r="D173" i="6" s="1"/>
  <c r="C172" i="6"/>
  <c r="G172" i="6" s="1"/>
  <c r="C173" i="6" l="1"/>
  <c r="G173" i="6" s="1"/>
  <c r="F173" i="6"/>
  <c r="D174" i="6" s="1"/>
  <c r="C174" i="6" l="1"/>
  <c r="G174" i="6" s="1"/>
  <c r="F174" i="6"/>
  <c r="D175" i="6" s="1"/>
  <c r="C175" i="6" l="1"/>
  <c r="G175" i="6" s="1"/>
  <c r="F175" i="6"/>
  <c r="D176" i="6" s="1"/>
  <c r="F176" i="6" l="1"/>
  <c r="D177" i="6" s="1"/>
  <c r="C176" i="6"/>
  <c r="G176" i="6" s="1"/>
  <c r="C177" i="6" l="1"/>
  <c r="G177" i="6" s="1"/>
  <c r="F177" i="6"/>
  <c r="D178" i="6" s="1"/>
  <c r="C178" i="6" l="1"/>
  <c r="G178" i="6" s="1"/>
  <c r="F178" i="6"/>
  <c r="D179" i="6" s="1"/>
  <c r="C179" i="6" l="1"/>
  <c r="G179" i="6" s="1"/>
  <c r="F179" i="6"/>
  <c r="D180" i="6" s="1"/>
  <c r="C180" i="6" l="1"/>
  <c r="G180" i="6" s="1"/>
  <c r="F180" i="6"/>
  <c r="D181" i="6" s="1"/>
  <c r="C181" i="6" l="1"/>
  <c r="G181" i="6" s="1"/>
  <c r="F181" i="6"/>
  <c r="D182" i="6" s="1"/>
  <c r="C182" i="6" l="1"/>
  <c r="G182" i="6" s="1"/>
  <c r="F182" i="6"/>
  <c r="D183" i="6" s="1"/>
  <c r="F183" i="6" l="1"/>
  <c r="D184" i="6" s="1"/>
  <c r="C183" i="6"/>
  <c r="G183" i="6" s="1"/>
  <c r="F184" i="6" l="1"/>
  <c r="D185" i="6" s="1"/>
  <c r="C184" i="6"/>
  <c r="G184" i="6" s="1"/>
  <c r="C185" i="6" l="1"/>
  <c r="G185" i="6" s="1"/>
  <c r="F185" i="6"/>
  <c r="D186" i="6" s="1"/>
  <c r="C186" i="6" l="1"/>
  <c r="G186" i="6" s="1"/>
  <c r="F186" i="6"/>
  <c r="D187" i="6" s="1"/>
  <c r="C187" i="6" l="1"/>
  <c r="G187" i="6" s="1"/>
  <c r="F187" i="6"/>
  <c r="D188" i="6" s="1"/>
  <c r="F188" i="6" l="1"/>
  <c r="D189" i="6" s="1"/>
  <c r="C188" i="6"/>
  <c r="G188" i="6" s="1"/>
  <c r="C189" i="6" l="1"/>
  <c r="G189" i="6" s="1"/>
  <c r="F189" i="6"/>
  <c r="D190" i="6" s="1"/>
  <c r="C190" i="6" l="1"/>
  <c r="G190" i="6" s="1"/>
  <c r="F190" i="6"/>
  <c r="D191" i="6" s="1"/>
  <c r="F191" i="6" l="1"/>
  <c r="D192" i="6" s="1"/>
  <c r="C191" i="6"/>
  <c r="G191" i="6" s="1"/>
  <c r="C192" i="6" l="1"/>
  <c r="G192" i="6" s="1"/>
  <c r="F192" i="6"/>
  <c r="D193" i="6" s="1"/>
  <c r="C193" i="6" l="1"/>
  <c r="G193" i="6" s="1"/>
  <c r="F193" i="6"/>
  <c r="D194" i="6" s="1"/>
  <c r="C194" i="6" l="1"/>
  <c r="G194" i="6" s="1"/>
  <c r="F194" i="6"/>
  <c r="D195" i="6" s="1"/>
  <c r="C195" i="6" l="1"/>
  <c r="G195" i="6" s="1"/>
  <c r="F195" i="6"/>
  <c r="D196" i="6" s="1"/>
  <c r="C196" i="6" l="1"/>
  <c r="G196" i="6" s="1"/>
  <c r="F196" i="6"/>
  <c r="D197" i="6" s="1"/>
  <c r="C197" i="6" l="1"/>
  <c r="G197" i="6" s="1"/>
  <c r="F197" i="6"/>
  <c r="D198" i="6" s="1"/>
  <c r="C198" i="6" l="1"/>
  <c r="G198" i="6" s="1"/>
  <c r="F198" i="6"/>
  <c r="D199" i="6" s="1"/>
  <c r="F199" i="6" l="1"/>
  <c r="D200" i="6" s="1"/>
  <c r="C199" i="6"/>
  <c r="G199" i="6" s="1"/>
  <c r="C200" i="6" l="1"/>
  <c r="G200" i="6" s="1"/>
  <c r="F200" i="6"/>
  <c r="D201" i="6" s="1"/>
  <c r="C201" i="6" l="1"/>
  <c r="G201" i="6" s="1"/>
  <c r="F201" i="6"/>
  <c r="D202" i="6" s="1"/>
  <c r="C202" i="6" l="1"/>
  <c r="G202" i="6" s="1"/>
  <c r="F202" i="6"/>
  <c r="D203" i="6" s="1"/>
  <c r="C203" i="6" l="1"/>
  <c r="G203" i="6" s="1"/>
  <c r="F203" i="6"/>
  <c r="D204" i="6" s="1"/>
  <c r="C204" i="6" l="1"/>
  <c r="G204" i="6" s="1"/>
  <c r="F204" i="6"/>
  <c r="D205" i="6" s="1"/>
  <c r="C205" i="6" l="1"/>
  <c r="G205" i="6" s="1"/>
  <c r="F205" i="6"/>
  <c r="D206" i="6" s="1"/>
  <c r="C206" i="6" l="1"/>
  <c r="G206" i="6" s="1"/>
  <c r="F206" i="6"/>
  <c r="D207" i="6" s="1"/>
  <c r="C207" i="6" l="1"/>
  <c r="G207" i="6" s="1"/>
  <c r="F207" i="6"/>
  <c r="D208" i="6" s="1"/>
  <c r="C208" i="6" l="1"/>
  <c r="G208" i="6" s="1"/>
  <c r="F208" i="6"/>
  <c r="D209" i="6" s="1"/>
  <c r="C209" i="6" l="1"/>
  <c r="G209" i="6" s="1"/>
  <c r="F209" i="6"/>
  <c r="D210" i="6" s="1"/>
  <c r="C210" i="6" l="1"/>
  <c r="G210" i="6" s="1"/>
  <c r="F210" i="6"/>
  <c r="D211" i="6" s="1"/>
  <c r="C211" i="6" l="1"/>
  <c r="G211" i="6" s="1"/>
  <c r="F211" i="6"/>
  <c r="D212" i="6" s="1"/>
  <c r="C212" i="6" l="1"/>
  <c r="G212" i="6" s="1"/>
  <c r="F212" i="6"/>
  <c r="D213" i="6" s="1"/>
  <c r="C213" i="6" l="1"/>
  <c r="G213" i="6" s="1"/>
  <c r="F213" i="6"/>
  <c r="D214" i="6" s="1"/>
  <c r="C214" i="6" l="1"/>
  <c r="G214" i="6" s="1"/>
  <c r="F214" i="6"/>
  <c r="D215" i="6" s="1"/>
  <c r="F215" i="6" l="1"/>
  <c r="D216" i="6" s="1"/>
  <c r="C215" i="6"/>
  <c r="G215" i="6" s="1"/>
  <c r="F216" i="6" l="1"/>
  <c r="D217" i="6" s="1"/>
  <c r="C216" i="6"/>
  <c r="G216" i="6" s="1"/>
  <c r="C217" i="6" l="1"/>
  <c r="G217" i="6" s="1"/>
  <c r="F217" i="6"/>
  <c r="D218" i="6" s="1"/>
  <c r="C218" i="6" l="1"/>
  <c r="G218" i="6" s="1"/>
  <c r="F218" i="6"/>
  <c r="D219" i="6" s="1"/>
  <c r="C219" i="6" l="1"/>
  <c r="G219" i="6" s="1"/>
  <c r="F219" i="6"/>
  <c r="D220" i="6" s="1"/>
  <c r="F220" i="6" l="1"/>
  <c r="D221" i="6" s="1"/>
  <c r="C220" i="6"/>
  <c r="G220" i="6" s="1"/>
  <c r="C221" i="6" l="1"/>
  <c r="G221" i="6" s="1"/>
  <c r="F221" i="6"/>
  <c r="D222" i="6" s="1"/>
  <c r="C222" i="6" l="1"/>
  <c r="G222" i="6" s="1"/>
  <c r="F222" i="6"/>
  <c r="D223" i="6" s="1"/>
  <c r="C223" i="6" l="1"/>
  <c r="G223" i="6" s="1"/>
  <c r="F223" i="6"/>
  <c r="D224" i="6" s="1"/>
  <c r="C224" i="6" l="1"/>
  <c r="G224" i="6" s="1"/>
  <c r="F224" i="6"/>
  <c r="D225" i="6" s="1"/>
  <c r="C225" i="6" l="1"/>
  <c r="G225" i="6" s="1"/>
  <c r="F225" i="6"/>
  <c r="D226" i="6" s="1"/>
  <c r="C226" i="6" l="1"/>
  <c r="G226" i="6" s="1"/>
  <c r="F226" i="6"/>
  <c r="D227" i="6" s="1"/>
  <c r="C227" i="6" l="1"/>
  <c r="G227" i="6" s="1"/>
  <c r="F227" i="6"/>
  <c r="D228" i="6" s="1"/>
  <c r="C228" i="6" l="1"/>
  <c r="G228" i="6" s="1"/>
  <c r="F228" i="6"/>
  <c r="D229" i="6" s="1"/>
  <c r="C229" i="6" l="1"/>
  <c r="G229" i="6" s="1"/>
  <c r="F229" i="6"/>
  <c r="D230" i="6" s="1"/>
  <c r="C230" i="6" l="1"/>
  <c r="G230" i="6" s="1"/>
  <c r="F230" i="6"/>
  <c r="D231" i="6" s="1"/>
  <c r="C231" i="6" l="1"/>
  <c r="G231" i="6" s="1"/>
  <c r="F231" i="6"/>
  <c r="D232" i="6" s="1"/>
  <c r="F232" i="6" l="1"/>
  <c r="D233" i="6" s="1"/>
  <c r="C232" i="6"/>
  <c r="G232" i="6" s="1"/>
  <c r="C233" i="6" l="1"/>
  <c r="G233" i="6" s="1"/>
  <c r="F233" i="6"/>
  <c r="D234" i="6" s="1"/>
  <c r="C234" i="6" l="1"/>
  <c r="G234" i="6" s="1"/>
  <c r="F234" i="6"/>
  <c r="D235" i="6" s="1"/>
  <c r="C235" i="6" l="1"/>
  <c r="G235" i="6" s="1"/>
  <c r="F235" i="6"/>
  <c r="D236" i="6" s="1"/>
  <c r="C236" i="6" l="1"/>
  <c r="G236" i="6" s="1"/>
  <c r="F236" i="6"/>
  <c r="D237" i="6" s="1"/>
  <c r="C237" i="6" l="1"/>
  <c r="G237" i="6" s="1"/>
  <c r="F237" i="6"/>
  <c r="D238" i="6" s="1"/>
  <c r="C238" i="6" l="1"/>
  <c r="G238" i="6" s="1"/>
  <c r="F238" i="6"/>
  <c r="D239" i="6" s="1"/>
  <c r="C239" i="6" l="1"/>
  <c r="G239" i="6" s="1"/>
  <c r="F239" i="6"/>
  <c r="D240" i="6" s="1"/>
  <c r="C240" i="6" l="1"/>
  <c r="G240" i="6" s="1"/>
  <c r="F240" i="6"/>
  <c r="D241" i="6" s="1"/>
  <c r="C241" i="6" l="1"/>
  <c r="G241" i="6" s="1"/>
  <c r="F241" i="6"/>
  <c r="D242" i="6" s="1"/>
  <c r="C242" i="6" l="1"/>
  <c r="F242" i="6"/>
  <c r="D243" i="6" s="1"/>
  <c r="I20" i="6"/>
  <c r="B19" i="6"/>
  <c r="C243" i="6" l="1"/>
  <c r="G243" i="6" s="1"/>
  <c r="F243" i="6"/>
  <c r="D244" i="6" s="1"/>
  <c r="G242" i="6"/>
  <c r="C244" i="6" l="1"/>
  <c r="G244" i="6" s="1"/>
  <c r="F244" i="6"/>
  <c r="D245" i="6" s="1"/>
  <c r="C245" i="6" l="1"/>
  <c r="G245" i="6" s="1"/>
  <c r="F245" i="6"/>
  <c r="D246" i="6" s="1"/>
  <c r="C246" i="6" l="1"/>
  <c r="G246" i="6" s="1"/>
  <c r="F246" i="6"/>
  <c r="D247" i="6" s="1"/>
  <c r="C247" i="6" l="1"/>
  <c r="G247" i="6" s="1"/>
  <c r="F247" i="6"/>
  <c r="D248" i="6" s="1"/>
  <c r="F248" i="6" l="1"/>
  <c r="D249" i="6" s="1"/>
  <c r="C248" i="6"/>
  <c r="G248" i="6" s="1"/>
  <c r="C249" i="6" l="1"/>
  <c r="G249" i="6" s="1"/>
  <c r="F249" i="6"/>
  <c r="D250" i="6" s="1"/>
  <c r="C250" i="6" l="1"/>
  <c r="G250" i="6" s="1"/>
  <c r="F250" i="6"/>
  <c r="D251" i="6" s="1"/>
  <c r="X258" i="6" s="1"/>
  <c r="Y258" i="6" s="1"/>
  <c r="Z258" i="6" s="1"/>
  <c r="C251" i="6" l="1"/>
  <c r="G251" i="6" s="1"/>
  <c r="F251" i="6"/>
  <c r="D252" i="6" s="1"/>
  <c r="X259" i="6" s="1"/>
  <c r="Y259" i="6" s="1"/>
  <c r="Z259" i="6" s="1"/>
  <c r="F252" i="6" l="1"/>
  <c r="D253" i="6" s="1"/>
  <c r="C252" i="6"/>
  <c r="G252" i="6" s="1"/>
  <c r="X260" i="6"/>
  <c r="Y260" i="6" s="1"/>
  <c r="Z260" i="6" s="1"/>
  <c r="C253" i="6" l="1"/>
  <c r="G253" i="6" s="1"/>
  <c r="F253" i="6"/>
  <c r="D254" i="6" s="1"/>
  <c r="X261" i="6" s="1"/>
  <c r="Y261" i="6" s="1"/>
  <c r="Z261" i="6" s="1"/>
  <c r="C254" i="6" l="1"/>
  <c r="G254" i="6" s="1"/>
  <c r="F254" i="6"/>
  <c r="D255" i="6" s="1"/>
  <c r="X262" i="6" s="1"/>
  <c r="Y262" i="6" s="1"/>
  <c r="Z262" i="6" s="1"/>
  <c r="C255" i="6" l="1"/>
  <c r="G255" i="6" s="1"/>
  <c r="F255" i="6"/>
  <c r="D256" i="6" s="1"/>
  <c r="X263" i="6" s="1"/>
  <c r="Y263" i="6" s="1"/>
  <c r="Z263" i="6" s="1"/>
  <c r="C256" i="6" l="1"/>
  <c r="G256" i="6" s="1"/>
  <c r="F256" i="6"/>
  <c r="D257" i="6" s="1"/>
  <c r="X264" i="6" s="1"/>
  <c r="Y264" i="6" s="1"/>
  <c r="Z264" i="6" s="1"/>
  <c r="C257" i="6" l="1"/>
  <c r="G257" i="6" s="1"/>
  <c r="F257" i="6"/>
  <c r="D258" i="6" s="1"/>
  <c r="X265" i="6" s="1"/>
  <c r="Y265" i="6" s="1"/>
  <c r="Z265" i="6" s="1"/>
  <c r="F258" i="6" l="1"/>
  <c r="D259" i="6" s="1"/>
  <c r="C258" i="6"/>
  <c r="G258" i="6" s="1"/>
  <c r="X266" i="6"/>
  <c r="Y266" i="6" s="1"/>
  <c r="Z266" i="6" s="1"/>
  <c r="C259" i="6" l="1"/>
  <c r="G259" i="6" s="1"/>
  <c r="F259" i="6"/>
  <c r="D260" i="6" s="1"/>
  <c r="X267" i="6" s="1"/>
  <c r="Y267" i="6" s="1"/>
  <c r="Z267" i="6" s="1"/>
  <c r="F260" i="6" l="1"/>
  <c r="D261" i="6" s="1"/>
  <c r="X268" i="6" s="1"/>
  <c r="Y268" i="6" s="1"/>
  <c r="Z268" i="6" s="1"/>
  <c r="C260" i="6"/>
  <c r="G260" i="6" s="1"/>
  <c r="F261" i="6" l="1"/>
  <c r="D262" i="6" s="1"/>
  <c r="X269" i="6" s="1"/>
  <c r="Y269" i="6" s="1"/>
  <c r="Z269" i="6" s="1"/>
  <c r="C261" i="6"/>
  <c r="G261" i="6" s="1"/>
  <c r="C262" i="6" l="1"/>
  <c r="G262" i="6" s="1"/>
  <c r="F262" i="6"/>
  <c r="D263" i="6" l="1"/>
  <c r="C263" i="6" s="1"/>
  <c r="X270" i="6"/>
  <c r="Y270" i="6" s="1"/>
  <c r="Z270" i="6" s="1"/>
  <c r="Z26" i="6" s="1"/>
  <c r="AA25" i="6" s="1"/>
  <c r="F263" i="6"/>
  <c r="D22" i="6" l="1"/>
  <c r="G263" i="6"/>
  <c r="G22" i="6" s="1"/>
  <c r="C22" i="6"/>
  <c r="I26" i="23"/>
  <c r="I30" i="23" s="1"/>
  <c r="M22" i="3" l="1"/>
  <c r="M24" i="3" s="1"/>
  <c r="F17" i="3" s="1"/>
  <c r="I24" i="3" s="1"/>
  <c r="E23" i="3"/>
  <c r="AW29" i="3" s="1"/>
  <c r="AW30" i="3" s="1"/>
  <c r="C24" i="3" l="1"/>
  <c r="D24" i="3" l="1"/>
  <c r="AK24" i="3" s="1"/>
  <c r="F24" i="3" l="1"/>
  <c r="AJ24" i="3" s="1"/>
  <c r="E24" i="3" l="1"/>
  <c r="C25" i="3" s="1"/>
  <c r="D25" i="3" l="1"/>
  <c r="AK25" i="3" s="1"/>
  <c r="F25" i="3" l="1"/>
  <c r="AJ25" i="3" s="1"/>
  <c r="E25" i="3" l="1"/>
  <c r="C26" i="3" l="1"/>
  <c r="D26" i="3" l="1"/>
  <c r="AK26" i="3" s="1"/>
  <c r="F26" i="3" l="1"/>
  <c r="AJ26" i="3" s="1"/>
  <c r="E26" i="3" l="1"/>
  <c r="C27" i="3" s="1"/>
  <c r="D27" i="3" s="1"/>
  <c r="AK27" i="3" s="1"/>
  <c r="F27" i="3" l="1"/>
  <c r="AJ27" i="3" s="1"/>
  <c r="E27" i="3" l="1"/>
  <c r="C28" i="3" s="1"/>
  <c r="D28" i="3" l="1"/>
  <c r="AK28" i="3" s="1"/>
  <c r="F28" i="3" l="1"/>
  <c r="AJ28" i="3" s="1"/>
  <c r="E28" i="3" l="1"/>
  <c r="C29" i="3" s="1"/>
  <c r="D29" i="3" s="1"/>
  <c r="F29" i="3" s="1"/>
  <c r="AJ29" i="3" s="1"/>
  <c r="AK29" i="3" l="1"/>
  <c r="E29" i="3"/>
  <c r="C30" i="3" l="1"/>
  <c r="D30" i="3" s="1"/>
  <c r="F30" i="3" s="1"/>
  <c r="AK30" i="3" l="1"/>
  <c r="AJ30" i="3"/>
  <c r="E30" i="3"/>
  <c r="C31" i="3" l="1"/>
  <c r="D31" i="3" s="1"/>
  <c r="F31" i="3" s="1"/>
  <c r="AJ31" i="3" s="1"/>
  <c r="AK31" i="3" l="1"/>
  <c r="E31" i="3"/>
  <c r="C32" i="3" l="1"/>
  <c r="D32" i="3" s="1"/>
  <c r="AK32" i="3" s="1"/>
  <c r="F32" i="3" l="1"/>
  <c r="AJ32" i="3" s="1"/>
  <c r="E32" i="3" l="1"/>
  <c r="C33" i="3" l="1"/>
  <c r="D33" i="3" s="1"/>
  <c r="AK33" i="3" s="1"/>
  <c r="F33" i="3" l="1"/>
  <c r="AJ33" i="3" s="1"/>
  <c r="E33" i="3" l="1"/>
  <c r="C34" i="3" l="1"/>
  <c r="D34" i="3" s="1"/>
  <c r="AK34" i="3" s="1"/>
  <c r="F34" i="3" l="1"/>
  <c r="AJ34" i="3" s="1"/>
  <c r="E34" i="3" l="1"/>
  <c r="AW24" i="3" s="1"/>
  <c r="C35" i="3" l="1"/>
  <c r="AW26" i="3" s="1"/>
  <c r="D35" i="3" l="1"/>
  <c r="AK35" i="3" s="1"/>
  <c r="F35" i="3" l="1"/>
  <c r="AJ35" i="3" s="1"/>
  <c r="E35" i="3" l="1"/>
  <c r="C36" i="3" s="1"/>
  <c r="D36" i="3" s="1"/>
  <c r="F36" i="3" s="1"/>
  <c r="AK36" i="3" l="1"/>
  <c r="AJ36" i="3"/>
  <c r="E36" i="3"/>
  <c r="C37" i="3" l="1"/>
  <c r="D37" i="3" s="1"/>
  <c r="F37" i="3" s="1"/>
  <c r="AK37" i="3" l="1"/>
  <c r="AJ37" i="3"/>
  <c r="E37" i="3"/>
  <c r="C38" i="3" l="1"/>
  <c r="D38" i="3" s="1"/>
  <c r="F38" i="3" s="1"/>
  <c r="AK38" i="3" l="1"/>
  <c r="AJ38" i="3"/>
  <c r="E38" i="3"/>
  <c r="C39" i="3" l="1"/>
  <c r="D39" i="3" s="1"/>
  <c r="F39" i="3" s="1"/>
  <c r="AK39" i="3" l="1"/>
  <c r="AJ39" i="3"/>
  <c r="E39" i="3"/>
  <c r="C40" i="3" l="1"/>
  <c r="D40" i="3" s="1"/>
  <c r="F40" i="3" s="1"/>
  <c r="AK40" i="3" l="1"/>
  <c r="AJ40" i="3"/>
  <c r="E40" i="3"/>
  <c r="C41" i="3" l="1"/>
  <c r="D41" i="3" s="1"/>
  <c r="F41" i="3" s="1"/>
  <c r="AK41" i="3" l="1"/>
  <c r="AJ41" i="3"/>
  <c r="E41" i="3"/>
  <c r="C42" i="3" l="1"/>
  <c r="D42" i="3" s="1"/>
  <c r="F42" i="3" s="1"/>
  <c r="AK42" i="3" l="1"/>
  <c r="AJ42" i="3"/>
  <c r="E42" i="3"/>
  <c r="C43" i="3" l="1"/>
  <c r="D43" i="3" s="1"/>
  <c r="F43" i="3" s="1"/>
  <c r="AK43" i="3" l="1"/>
  <c r="AJ43" i="3"/>
  <c r="E43" i="3"/>
  <c r="C44" i="3" l="1"/>
  <c r="D44" i="3" s="1"/>
  <c r="F44" i="3" s="1"/>
  <c r="AK44" i="3" l="1"/>
  <c r="AJ44" i="3"/>
  <c r="E44" i="3"/>
  <c r="C45" i="3" l="1"/>
  <c r="D45" i="3" s="1"/>
  <c r="F45" i="3" s="1"/>
  <c r="AK45" i="3" l="1"/>
  <c r="AJ45" i="3"/>
  <c r="E45" i="3"/>
  <c r="C46" i="3" l="1"/>
  <c r="D46" i="3" s="1"/>
  <c r="F46" i="3" s="1"/>
  <c r="AK46" i="3" l="1"/>
  <c r="AJ46" i="3"/>
  <c r="E46" i="3"/>
  <c r="C47" i="3" l="1"/>
  <c r="D47" i="3" s="1"/>
  <c r="F47" i="3" s="1"/>
  <c r="AK47" i="3" l="1"/>
  <c r="AJ47" i="3"/>
  <c r="E47" i="3"/>
  <c r="C48" i="3" l="1"/>
  <c r="D48" i="3" l="1"/>
  <c r="AK48" i="3" s="1"/>
  <c r="F48" i="3" l="1"/>
  <c r="AJ48" i="3" l="1"/>
  <c r="E48" i="3"/>
  <c r="C49" i="3" l="1"/>
  <c r="D49" i="3" l="1"/>
  <c r="AK49" i="3" s="1"/>
  <c r="F49" i="3" l="1"/>
  <c r="AJ49" i="3" l="1"/>
  <c r="E49" i="3"/>
  <c r="C50" i="3" l="1"/>
  <c r="D50" i="3" l="1"/>
  <c r="AK50" i="3" s="1"/>
  <c r="F50" i="3" l="1"/>
  <c r="AJ50" i="3" l="1"/>
  <c r="E50" i="3"/>
  <c r="C51" i="3" l="1"/>
  <c r="D51" i="3" l="1"/>
  <c r="AK51" i="3" s="1"/>
  <c r="F51" i="3" l="1"/>
  <c r="AJ51" i="3" l="1"/>
  <c r="E51" i="3"/>
  <c r="C52" i="3" l="1"/>
  <c r="D52" i="3" s="1"/>
  <c r="AK52" i="3" s="1"/>
  <c r="F52" i="3" l="1"/>
  <c r="AJ52" i="3" l="1"/>
  <c r="E52" i="3"/>
  <c r="C53" i="3" l="1"/>
  <c r="D53" i="3" s="1"/>
  <c r="F53" i="3" s="1"/>
  <c r="AK53" i="3" l="1"/>
  <c r="AJ53" i="3"/>
  <c r="E53" i="3"/>
  <c r="C54" i="3" l="1"/>
  <c r="D54" i="3" s="1"/>
  <c r="F54" i="3" s="1"/>
  <c r="AK54" i="3" l="1"/>
  <c r="AJ54" i="3"/>
  <c r="E54" i="3"/>
  <c r="C55" i="3" l="1"/>
  <c r="D55" i="3" s="1"/>
  <c r="F55" i="3" s="1"/>
  <c r="AK55" i="3" l="1"/>
  <c r="AJ55" i="3"/>
  <c r="E55" i="3"/>
  <c r="C56" i="3" l="1"/>
  <c r="D56" i="3" s="1"/>
  <c r="F56" i="3" s="1"/>
  <c r="AK56" i="3" l="1"/>
  <c r="AJ56" i="3"/>
  <c r="E56" i="3"/>
  <c r="C57" i="3" l="1"/>
  <c r="D57" i="3" s="1"/>
  <c r="F57" i="3" s="1"/>
  <c r="AK57" i="3" l="1"/>
  <c r="AJ57" i="3"/>
  <c r="E57" i="3"/>
  <c r="C58" i="3" l="1"/>
  <c r="D58" i="3" s="1"/>
  <c r="F58" i="3" s="1"/>
  <c r="AK58" i="3" l="1"/>
  <c r="AJ58" i="3"/>
  <c r="E58" i="3"/>
  <c r="C59" i="3" l="1"/>
  <c r="D59" i="3" l="1"/>
  <c r="AK59" i="3" s="1"/>
  <c r="F59" i="3" l="1"/>
  <c r="AJ59" i="3" l="1"/>
  <c r="E59" i="3"/>
  <c r="C60" i="3" l="1"/>
  <c r="D60" i="3" l="1"/>
  <c r="AK60" i="3" l="1"/>
  <c r="F60" i="3"/>
  <c r="AJ60" i="3" l="1"/>
  <c r="E60" i="3"/>
  <c r="C61" i="3" l="1"/>
  <c r="D61" i="3" l="1"/>
  <c r="AK61" i="3" l="1"/>
  <c r="F61" i="3"/>
  <c r="AJ61" i="3" l="1"/>
  <c r="E61" i="3"/>
  <c r="C62" i="3" l="1"/>
  <c r="D62" i="3" l="1"/>
  <c r="AK62" i="3" l="1"/>
  <c r="F62" i="3"/>
  <c r="AJ62" i="3" l="1"/>
  <c r="E62" i="3"/>
  <c r="C63" i="3" l="1"/>
  <c r="D63" i="3" l="1"/>
  <c r="AK63" i="3" l="1"/>
  <c r="F63" i="3"/>
  <c r="AJ63" i="3" l="1"/>
  <c r="E63" i="3"/>
  <c r="C64" i="3" l="1"/>
  <c r="D64" i="3" s="1"/>
  <c r="F64" i="3" l="1"/>
  <c r="AK64" i="3"/>
  <c r="E64" i="3" l="1"/>
  <c r="AJ64" i="3"/>
  <c r="C65" i="3" l="1"/>
  <c r="D65" i="3" s="1"/>
  <c r="F65" i="3" l="1"/>
  <c r="AK65" i="3"/>
  <c r="E65" i="3" l="1"/>
  <c r="AJ65" i="3"/>
  <c r="C66" i="3" l="1"/>
  <c r="D66" i="3" s="1"/>
  <c r="F66" i="3" l="1"/>
  <c r="E66" i="3" s="1"/>
  <c r="AK66" i="3"/>
  <c r="AJ66" i="3"/>
  <c r="C67" i="3" l="1"/>
  <c r="D67" i="3" s="1"/>
  <c r="F67" i="3" l="1"/>
  <c r="AK67" i="3"/>
  <c r="E67" i="3" l="1"/>
  <c r="AJ67" i="3"/>
  <c r="C68" i="3" l="1"/>
  <c r="D68" i="3" s="1"/>
  <c r="F68" i="3" l="1"/>
  <c r="AK68" i="3"/>
  <c r="E68" i="3" l="1"/>
  <c r="AJ68" i="3"/>
  <c r="C69" i="3" l="1"/>
  <c r="D69" i="3" s="1"/>
  <c r="F69" i="3" l="1"/>
  <c r="AK69" i="3"/>
  <c r="E69" i="3" l="1"/>
  <c r="AJ69" i="3"/>
  <c r="C70" i="3" l="1"/>
  <c r="D70" i="3" s="1"/>
  <c r="F70" i="3" l="1"/>
  <c r="AK70" i="3"/>
  <c r="E70" i="3" l="1"/>
  <c r="AJ70" i="3"/>
  <c r="C71" i="3" l="1"/>
  <c r="D71" i="3" s="1"/>
  <c r="F71" i="3" l="1"/>
  <c r="AK71" i="3"/>
  <c r="AJ71" i="3" l="1"/>
  <c r="AJ22" i="3" s="1"/>
  <c r="E15" i="3" s="1"/>
  <c r="E71" i="3"/>
  <c r="F22" i="3"/>
  <c r="BL22" i="3" s="1"/>
  <c r="B19" i="3"/>
  <c r="C72" i="3" l="1"/>
  <c r="C22" i="3" l="1"/>
  <c r="D72" i="3"/>
  <c r="AM19" i="3" l="1"/>
  <c r="AM17" i="3" s="1"/>
  <c r="AQ18" i="3" s="1"/>
  <c r="AW38" i="3"/>
  <c r="AK72" i="3"/>
  <c r="AK22" i="3" s="1"/>
  <c r="D22" i="3"/>
  <c r="AO18" i="3" s="1"/>
  <c r="AO20" i="3" s="1"/>
  <c r="AQ19" i="3" s="1"/>
  <c r="AQ17" i="3" l="1"/>
  <c r="AR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8489A50A-6737-497C-A994-EFA4F4ADB83C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47A2A7B5-6F51-4FFF-BCC3-44A2F3ED2E6C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8803DA0B-E301-4040-88B6-488AAB12FE1B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3" authorId="0" shapeId="0" xr:uid="{6A542342-16DB-4D5A-AB3C-F56D8405BEA4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F5F4A613-8085-47C7-A2BD-B3A18444E748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  <comment ref="N15" authorId="0" shapeId="0" xr:uid="{7C3F100A-4F85-4690-8610-49A003BD10A0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6F3A466E-2ED4-455A-918A-56D59839AE5D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  <comment ref="N15" authorId="0" shapeId="0" xr:uid="{F56E9B92-1071-4EDB-A515-AF16022CC47C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Rocha Gomes</author>
  </authors>
  <commentList>
    <comment ref="N4" authorId="0" shapeId="0" xr:uid="{5E4B3005-F4A3-47E9-963B-986183338F5C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  <comment ref="N15" authorId="0" shapeId="0" xr:uid="{DA652703-EBCA-4405-9BAB-DF20996C1346}">
      <text>
        <r>
          <rPr>
            <b/>
            <sz val="9"/>
            <color indexed="81"/>
            <rFont val="Tahoma"/>
            <family val="2"/>
          </rPr>
          <t>Camila Rocha Gomes:</t>
        </r>
        <r>
          <rPr>
            <sz val="9"/>
            <color indexed="81"/>
            <rFont val="Tahoma"/>
            <family val="2"/>
          </rPr>
          <t xml:space="preserve">
SELECIONAR A LINHA DE CRÉDITO.</t>
        </r>
      </text>
    </comment>
  </commentList>
</comments>
</file>

<file path=xl/sharedStrings.xml><?xml version="1.0" encoding="utf-8"?>
<sst xmlns="http://schemas.openxmlformats.org/spreadsheetml/2006/main" count="781" uniqueCount="207">
  <si>
    <t>LINHA</t>
  </si>
  <si>
    <t>TAXA (a.m.)</t>
  </si>
  <si>
    <t>CG1 (a.m.)</t>
  </si>
  <si>
    <t>CG2 (a.m.)</t>
  </si>
  <si>
    <t>PRAZO</t>
  </si>
  <si>
    <t>PRAZO (meses)</t>
  </si>
  <si>
    <t>CARÊNCIA</t>
  </si>
  <si>
    <t>LINHA DE INVESTIMENTO</t>
  </si>
  <si>
    <t>LIMITE</t>
  </si>
  <si>
    <t>CARÊNCIA (até meses)</t>
  </si>
  <si>
    <t>VALOR FINANCIADO</t>
  </si>
  <si>
    <t>DATA DA PROPOSTA</t>
  </si>
  <si>
    <t>PARCELA</t>
  </si>
  <si>
    <t>SALDO DEVEDOR</t>
  </si>
  <si>
    <t>JUROS</t>
  </si>
  <si>
    <t>AMORTIZAÇÃO</t>
  </si>
  <si>
    <t>LIBERAÇÃO</t>
  </si>
  <si>
    <t>INFORMAÇÕES</t>
  </si>
  <si>
    <t>VALOR DA PARCELA</t>
  </si>
  <si>
    <t>GoiásFomento Giro</t>
  </si>
  <si>
    <t>GoiásFomento Giro - IMCF</t>
  </si>
  <si>
    <t>GoiásFomento Giro Consorciado</t>
  </si>
  <si>
    <t>PRAZO TOTAL</t>
  </si>
  <si>
    <t>GoiásFomento Investimento VIP</t>
  </si>
  <si>
    <t>GoiásFomento Investimento</t>
  </si>
  <si>
    <t>GARANTIA</t>
  </si>
  <si>
    <r>
      <t>GoiásFomento (</t>
    </r>
    <r>
      <rPr>
        <i/>
        <sz val="11"/>
        <color theme="1"/>
        <rFont val="Calibri"/>
        <family val="2"/>
        <scheme val="minor"/>
      </rPr>
      <t>GIRO</t>
    </r>
    <r>
      <rPr>
        <sz val="11"/>
        <color theme="1"/>
        <rFont val="Calibri"/>
        <family val="2"/>
        <scheme val="minor"/>
      </rPr>
      <t>)Tecnologia/PQF-IEL/Turismo/FarmaDrogas/ Contabilistas</t>
    </r>
  </si>
  <si>
    <t>GF Turismo Aquisição de Bens</t>
  </si>
  <si>
    <t>GF Turismo Capital Fixo</t>
  </si>
  <si>
    <t>TAXA (a.a.)</t>
  </si>
  <si>
    <t>SELIC</t>
  </si>
  <si>
    <t xml:space="preserve">SIMULAÇÃO DO VALOR DAS PARCELAS </t>
  </si>
  <si>
    <t>% a.a.</t>
  </si>
  <si>
    <t>TAXA FIXO CONTRATAÇÃO</t>
  </si>
  <si>
    <t>LINHA FUNGETUR</t>
  </si>
  <si>
    <t>VALOR AMORTIZAÇÃO</t>
  </si>
  <si>
    <t>SIMULAÇÃO DO VALOR DAS PARCELAS</t>
  </si>
  <si>
    <t>TAC</t>
  </si>
  <si>
    <t>IOF</t>
  </si>
  <si>
    <t>tac</t>
  </si>
  <si>
    <t>iof</t>
  </si>
  <si>
    <t>Descontado</t>
  </si>
  <si>
    <t>Financiado</t>
  </si>
  <si>
    <t>Descontada</t>
  </si>
  <si>
    <t>Financiada</t>
  </si>
  <si>
    <t>IOF - ACIMA ATÉ 365 DIAS</t>
  </si>
  <si>
    <t>ALÍQUOTA</t>
  </si>
  <si>
    <t>FAMPE</t>
  </si>
  <si>
    <t>CCA FAMPE</t>
  </si>
  <si>
    <t>TAXA NOMINAL</t>
  </si>
  <si>
    <t>CCA</t>
  </si>
  <si>
    <t>ALÍQUOTA SIMPLES</t>
  </si>
  <si>
    <t>TAXA COM BÔNUS</t>
  </si>
  <si>
    <t>IOF NORMAL</t>
  </si>
  <si>
    <t>IOF SIMPLES</t>
  </si>
  <si>
    <t>TAXA BONUS</t>
  </si>
  <si>
    <t>PARCELA COM BÔNUS</t>
  </si>
  <si>
    <t>IMPORTANTE: Os valores simulados podem variar e estão sujeitos à data de vencimento da parcela e da liberação do crédito; O financiamento e condições são sujeitas à aprovação final da análise de crédito; Valores calculados com base na taxa líquida para quando não há atraso nos pagamentos.</t>
  </si>
  <si>
    <t>LINHA DE CAPITAL DE GIRO</t>
  </si>
  <si>
    <t xml:space="preserve">     AGÊNCIA DE FOMENTO DE GOIÁS S/A</t>
  </si>
  <si>
    <t>TOTAL</t>
  </si>
  <si>
    <t>GF Turismo Microcrédito Orientado Guias de Turismo</t>
  </si>
  <si>
    <t>GF Turismo Giro Puro</t>
  </si>
  <si>
    <t>RENDA PARA AVAL</t>
  </si>
  <si>
    <t>ALIENAÇÃO DE IMÓVEL</t>
  </si>
  <si>
    <t>OPÇÕES DE GARANTIA</t>
  </si>
  <si>
    <t>NÃO</t>
  </si>
  <si>
    <t>SIM</t>
  </si>
  <si>
    <t>FINANCIADO</t>
  </si>
  <si>
    <t>GoiásFomento Investimento - IMCF</t>
  </si>
  <si>
    <t>Goiás Fomento Investimento - VIP IMCF</t>
  </si>
  <si>
    <t>GoiásFomento Giro  VIP</t>
  </si>
  <si>
    <t>GoiásFomento Giro - VIP IMCF</t>
  </si>
  <si>
    <t>GoiásFomento Microcrédito Produtivo - Investimento</t>
  </si>
  <si>
    <t>CG1</t>
  </si>
  <si>
    <t>CG2</t>
  </si>
  <si>
    <t>GoiásFomento Microcrédito Produtivo</t>
  </si>
  <si>
    <t>FINEP - Inovacred</t>
  </si>
  <si>
    <t>FINEP - Inovacred Expresso</t>
  </si>
  <si>
    <t>FINEP - Aquisição Inovadora Telecom</t>
  </si>
  <si>
    <t>TR</t>
  </si>
  <si>
    <t>PORTE</t>
  </si>
  <si>
    <t>Porte I</t>
  </si>
  <si>
    <t>Porte II</t>
  </si>
  <si>
    <t>Porte III</t>
  </si>
  <si>
    <t>Mínimo</t>
  </si>
  <si>
    <t>TAXA REFERANCIAL</t>
  </si>
  <si>
    <t>TAXA FIXA CONTRATAÇÃO</t>
  </si>
  <si>
    <t>TAXA REFERENCIAL TR</t>
  </si>
  <si>
    <t>HH:AY</t>
  </si>
  <si>
    <t>LINHAS FINEP</t>
  </si>
  <si>
    <t>Sim</t>
  </si>
  <si>
    <t>Não</t>
  </si>
  <si>
    <t>FCO Empresarial</t>
  </si>
  <si>
    <t>FCO Mini e Micro Geração de Energia</t>
  </si>
  <si>
    <t>FCO MEI</t>
  </si>
  <si>
    <t>FCO PNMPO Investimento</t>
  </si>
  <si>
    <t>FCO PNMPO Giro Dissociado</t>
  </si>
  <si>
    <t>Municípios Prioritários</t>
  </si>
  <si>
    <t>Municípios Não Prioritários</t>
  </si>
  <si>
    <t>Linhas para Capital de Giro</t>
  </si>
  <si>
    <t>Taxa Cheia</t>
  </si>
  <si>
    <t>Taxa c/ Bônus</t>
  </si>
  <si>
    <t>Prazo 
Meses (até)</t>
  </si>
  <si>
    <t>Carência 
Meses (até)</t>
  </si>
  <si>
    <t>Limite</t>
  </si>
  <si>
    <t>Até 3</t>
  </si>
  <si>
    <t>GoiásFomento Giro VIP</t>
  </si>
  <si>
    <t>Até 36</t>
  </si>
  <si>
    <t>GoiásFomento Giro VIP - IMCF</t>
  </si>
  <si>
    <t>Linhas para Investimentos</t>
  </si>
  <si>
    <t>Até 60</t>
  </si>
  <si>
    <t>Até 12</t>
  </si>
  <si>
    <t>GoiásFomento Investimento VIP - IMCF</t>
  </si>
  <si>
    <t>Linhas Especiais para Transportes</t>
  </si>
  <si>
    <t>GoiásFomento Feirantes</t>
  </si>
  <si>
    <t xml:space="preserve">GoiásFomento Taxi </t>
  </si>
  <si>
    <t>GoiásFomento Mototaxi</t>
  </si>
  <si>
    <t>GoiásFomento Transporte Escolar</t>
  </si>
  <si>
    <t>GoiásFomento TransGás</t>
  </si>
  <si>
    <t>Linhas Especiais de Giro Puro</t>
  </si>
  <si>
    <t>GoiásFomento Tecnologia / PQF-IEL / Turismo / FarmaDrogas / Contabilistas</t>
  </si>
  <si>
    <t>Linhas Especiais Investimentos</t>
  </si>
  <si>
    <t xml:space="preserve">Linha Microcrédito </t>
  </si>
  <si>
    <t>GoiásFomento Microcrédito Produtivo - Capital de Giro</t>
  </si>
  <si>
    <t>GoiásFomento Eficiência Energética (fixo)</t>
  </si>
  <si>
    <t>GoiásFomento Eficiência Energética MEI (fixo)</t>
  </si>
  <si>
    <t>Linhas Fungetur</t>
  </si>
  <si>
    <t>Taxa Cheia 
(ao ano)</t>
  </si>
  <si>
    <t>Taxa SELIC 
(ao ano)</t>
  </si>
  <si>
    <t>Linhas FCO Empresarial</t>
  </si>
  <si>
    <t>LINHAS</t>
  </si>
  <si>
    <t>Taxa Referencial
(ao ano)</t>
  </si>
  <si>
    <t>Municípíos Prioritários</t>
  </si>
  <si>
    <t>Municípíos Não Prioritários</t>
  </si>
  <si>
    <t>LINHA FCO EMPRESARIAL E OUTRAS</t>
  </si>
  <si>
    <t>FCO Empresarial Giro Dissociado</t>
  </si>
  <si>
    <t>FCO Desenvolvimento Rural</t>
  </si>
  <si>
    <t>FCO Verde</t>
  </si>
  <si>
    <t>Mensal</t>
  </si>
  <si>
    <t>Bimestral</t>
  </si>
  <si>
    <t>Trimestral</t>
  </si>
  <si>
    <t>Semestral</t>
  </si>
  <si>
    <t>Anual</t>
  </si>
  <si>
    <t>ENCARGOS</t>
  </si>
  <si>
    <t xml:space="preserve"> </t>
  </si>
  <si>
    <t>a.a.              TAC</t>
  </si>
  <si>
    <t>GoiásFomento Taxi</t>
  </si>
  <si>
    <t>Goiás Fomento TransGás</t>
  </si>
  <si>
    <t xml:space="preserve">    Pagamentos</t>
  </si>
  <si>
    <t xml:space="preserve">Pagamentos Juros </t>
  </si>
  <si>
    <t>Pagamentos Principal</t>
  </si>
  <si>
    <t xml:space="preserve">Descontado </t>
  </si>
  <si>
    <t>Produtor Empreendedor</t>
  </si>
  <si>
    <t>Produtor Empreendedor Fruticultura</t>
  </si>
  <si>
    <t>INPC</t>
  </si>
  <si>
    <t>JUROS INPC</t>
  </si>
  <si>
    <t>ASSAT1</t>
  </si>
  <si>
    <t>Mais Crédito Aval do FUNDEQ</t>
  </si>
  <si>
    <t>Mais Crédito Equalização de Juros FUNDEQ</t>
  </si>
  <si>
    <t>Mais CrédIto com parceria - Juro Zero e Aval</t>
  </si>
  <si>
    <t>Contrato:</t>
  </si>
  <si>
    <t>46055-000-4</t>
  </si>
  <si>
    <t>Ninja Moto Peças Ltda</t>
  </si>
  <si>
    <t>FGI</t>
  </si>
  <si>
    <t>Total</t>
  </si>
  <si>
    <t>Líquido</t>
  </si>
  <si>
    <t>FUNDEQ</t>
  </si>
  <si>
    <t>Prazo</t>
  </si>
  <si>
    <t>Valor Financiado</t>
  </si>
  <si>
    <t>Prazo Total da Operação</t>
  </si>
  <si>
    <t>Valor Fator K</t>
  </si>
  <si>
    <t xml:space="preserve">K = </t>
  </si>
  <si>
    <t xml:space="preserve">ECG = </t>
  </si>
  <si>
    <t>VL</t>
  </si>
  <si>
    <t>%G</t>
  </si>
  <si>
    <t>P</t>
  </si>
  <si>
    <t>TCA</t>
  </si>
  <si>
    <t>ECG</t>
  </si>
  <si>
    <t>TIR (PARCELA C/ BÔNUS)</t>
  </si>
  <si>
    <t>TIR (PARCELA S/ BÔNUS)</t>
  </si>
  <si>
    <t>LINHA DE CAPITAL DE GIRO/INVESTIMENTO</t>
  </si>
  <si>
    <t>IMPORTANTE: Os valores simulados não possuem valor comercial. Diversos fatores interferem no cáculo final como taxas e serviços contratados. O financiamento e condições são sujeitas à aprovação final da análise de crédito; Valores calculados com base na taxa líquida (incluso o bônus por adimplência) quando não há atraso nos pagamentos.</t>
  </si>
  <si>
    <t xml:space="preserve">Equalização </t>
  </si>
  <si>
    <t>Tax Equal: 1,19%</t>
  </si>
  <si>
    <t>Linhas FINEP - PORTE I e II</t>
  </si>
  <si>
    <t>Linhas FINEP - PORTE III</t>
  </si>
  <si>
    <t>Receitas Totais</t>
  </si>
  <si>
    <t>Despesas</t>
  </si>
  <si>
    <t>Provisão Adicional</t>
  </si>
  <si>
    <t>PDD AD</t>
  </si>
  <si>
    <t>Avaliação</t>
  </si>
  <si>
    <t>Resultado</t>
  </si>
  <si>
    <t>Receitas</t>
  </si>
  <si>
    <t>TABELA DE ENCARGOS - Vigência 16/12/2024</t>
  </si>
  <si>
    <t>FCO Empresarial - (Pequeno)</t>
  </si>
  <si>
    <t>FCO Empresarial - (Pequeno Médio, Médio I)</t>
  </si>
  <si>
    <t>FCO Empresarial Investimento (Pequeno)</t>
  </si>
  <si>
    <t>FCO Empresarial Investimento (Pequeno, Médio, Médio I)</t>
  </si>
  <si>
    <t>Receita Juros</t>
  </si>
  <si>
    <t>GFG VIP</t>
  </si>
  <si>
    <t>Fungetur Giro</t>
  </si>
  <si>
    <t>Carência</t>
  </si>
  <si>
    <t>Juros</t>
  </si>
  <si>
    <t>Rentabilidade (12 meses)</t>
  </si>
  <si>
    <r>
      <t>GoiásFomento (</t>
    </r>
    <r>
      <rPr>
        <i/>
        <sz val="11"/>
        <color theme="1"/>
        <rFont val="Calibri"/>
        <family val="2"/>
        <scheme val="minor"/>
      </rPr>
      <t>GIRO</t>
    </r>
    <r>
      <rPr>
        <sz val="11"/>
        <color theme="1"/>
        <rFont val="Calibri"/>
        <family val="2"/>
        <scheme val="minor"/>
      </rPr>
      <t>)Tecnologia/PQF-IEL/Turismo/FarmaDrogas/ Contabilistas / Mulher Empreendedora</t>
    </r>
  </si>
  <si>
    <t>GoiásFomento (INVESTIMENTO)Tecnologia/PQF-IEL/Turismo/FarmaDrogas/ Contabilistas / Mulher Empreendedora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</si>
</sst>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%"/>
    <numFmt numFmtId="165" formatCode="_-&quot;R$&quot;\ * #,##0.0000_-;\-&quot;R$&quot;\ * #,##0.0000_-;_-&quot;R$&quot;\ * &quot;-&quot;????_-;_-@_-"/>
    <numFmt numFmtId="166" formatCode="0.000"/>
    <numFmt numFmtId="167" formatCode="0.00000"/>
    <numFmt numFmtId="168" formatCode="_-&quot;R$&quot;\ * #,##0.00000_-;\-&quot;R$&quot;\ * #,##0.00000_-;_-&quot;R$&quot;\ * &quot;-&quot;?????_-;_-@_-"/>
    <numFmt numFmtId="169" formatCode="0.00000%"/>
    <numFmt numFmtId="170" formatCode="&quot;R$&quot;\ #,##0.00"/>
    <numFmt numFmtId="171" formatCode="0.0%"/>
    <numFmt numFmtId="172" formatCode="0.0000"/>
    <numFmt numFmtId="173" formatCode="0.00%\ &quot;a.m.&quot;"/>
    <numFmt numFmtId="174" formatCode="&quot;IOF   &quot;_-&quot;R$&quot;\ * #,##0.00_-;\-&quot;R$&quot;\ * #,##0.00_-;_-&quot;R$&quot;\ * &quot;-&quot;??_-;_-@_-"/>
    <numFmt numFmtId="175" formatCode="0.00%\ &quot;a.a.&quot;"/>
    <numFmt numFmtId="176" formatCode="0\ &quot;meses&quot;"/>
    <numFmt numFmtId="177" formatCode="&quot;Fampe  &quot;0.00%"/>
    <numFmt numFmtId="178" formatCode="&quot;TAC &quot;_-&quot;R$&quot;\ * #,##0.00_-;\-&quot;R$&quot;\ * #,##0.00_-;_-&quot;R$&quot;\ * &quot;-&quot;??_-;_-@_-"/>
    <numFmt numFmtId="179" formatCode="&quot;Fampe&quot;\ 0.00%"/>
    <numFmt numFmtId="180" formatCode="&quot;TAC&quot;\ \ &quot;R$&quot;\ #,##0.00;\-&quot;R$&quot;\ #,##0.00"/>
    <numFmt numFmtId="181" formatCode="&quot;IOF&quot;\ \ &quot;R$&quot;\ #,##0.00"/>
    <numFmt numFmtId="182" formatCode="&quot;TCA&quot;\ \ &quot;R$&quot;\ #,##0.00"/>
    <numFmt numFmtId="183" formatCode="&quot;CCA&quot;\ \ &quot;R$&quot;\ #,##0.00;\-&quot;R$&quot;\ #,##0.00"/>
    <numFmt numFmtId="184" formatCode="&quot;TCA&quot;\ \ &quot;R$&quot;\ #,##0.00;\-&quot;R$&quot;\ #,##0.00"/>
    <numFmt numFmtId="185" formatCode="&quot;Fundeq&quot;\ 0%"/>
    <numFmt numFmtId="186" formatCode="&quot;CET&quot;\ 0.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Tahoma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sz val="14"/>
      <name val="Times"/>
      <family val="1"/>
    </font>
    <font>
      <b/>
      <sz val="14"/>
      <name val="Times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7">
    <xf numFmtId="0" fontId="0" fillId="0" borderId="0" xfId="0"/>
    <xf numFmtId="44" fontId="0" fillId="0" borderId="0" xfId="1" applyFont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44" fontId="0" fillId="0" borderId="0" xfId="1" applyFont="1" applyFill="1" applyProtection="1">
      <protection locked="0"/>
    </xf>
    <xf numFmtId="44" fontId="0" fillId="0" borderId="0" xfId="0" applyNumberFormat="1" applyProtection="1">
      <protection locked="0"/>
    </xf>
    <xf numFmtId="164" fontId="0" fillId="0" borderId="0" xfId="2" applyNumberFormat="1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4" fontId="0" fillId="0" borderId="0" xfId="0" applyNumberFormat="1" applyProtection="1">
      <protection locked="0"/>
    </xf>
    <xf numFmtId="44" fontId="0" fillId="0" borderId="0" xfId="1" applyFont="1" applyProtection="1">
      <protection locked="0"/>
    </xf>
    <xf numFmtId="44" fontId="0" fillId="0" borderId="0" xfId="0" applyNumberFormat="1"/>
    <xf numFmtId="0" fontId="0" fillId="0" borderId="0" xfId="0" applyAlignment="1" applyProtection="1">
      <alignment vertical="center" wrapText="1"/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 applyAlignment="1" applyProtection="1">
      <alignment horizontal="center" vertical="center" wrapText="1"/>
      <protection locked="0"/>
    </xf>
    <xf numFmtId="168" fontId="0" fillId="0" borderId="0" xfId="0" applyNumberFormat="1" applyProtection="1">
      <protection locked="0"/>
    </xf>
    <xf numFmtId="0" fontId="0" fillId="0" borderId="5" xfId="0" applyBorder="1" applyProtection="1">
      <protection locked="0"/>
    </xf>
    <xf numFmtId="166" fontId="0" fillId="0" borderId="0" xfId="0" applyNumberFormat="1"/>
    <xf numFmtId="14" fontId="0" fillId="0" borderId="0" xfId="0" applyNumberFormat="1"/>
    <xf numFmtId="164" fontId="0" fillId="0" borderId="0" xfId="2" applyNumberFormat="1" applyFont="1" applyProtection="1"/>
    <xf numFmtId="165" fontId="0" fillId="0" borderId="0" xfId="0" applyNumberFormat="1"/>
    <xf numFmtId="0" fontId="0" fillId="0" borderId="0" xfId="0" applyProtection="1">
      <protection locked="0" hidden="1"/>
    </xf>
    <xf numFmtId="44" fontId="0" fillId="0" borderId="0" xfId="1" applyFont="1" applyProtection="1">
      <protection locked="0" hidden="1"/>
    </xf>
    <xf numFmtId="43" fontId="0" fillId="0" borderId="0" xfId="3" applyFont="1" applyProtection="1">
      <protection locked="0"/>
    </xf>
    <xf numFmtId="169" fontId="0" fillId="0" borderId="0" xfId="2" applyNumberFormat="1" applyFont="1" applyProtection="1">
      <protection locked="0"/>
    </xf>
    <xf numFmtId="0" fontId="0" fillId="0" borderId="0" xfId="0" applyAlignment="1" applyProtection="1">
      <alignment vertical="center"/>
      <protection locked="0"/>
    </xf>
    <xf numFmtId="43" fontId="0" fillId="0" borderId="0" xfId="3" applyFont="1" applyAlignment="1" applyProtection="1">
      <alignment vertical="center"/>
      <protection locked="0"/>
    </xf>
    <xf numFmtId="166" fontId="0" fillId="0" borderId="0" xfId="0" applyNumberFormat="1" applyProtection="1">
      <protection locked="0"/>
    </xf>
    <xf numFmtId="44" fontId="0" fillId="0" borderId="0" xfId="1" applyFont="1" applyAlignment="1" applyProtection="1">
      <alignment vertical="center"/>
      <protection locked="0"/>
    </xf>
    <xf numFmtId="167" fontId="0" fillId="0" borderId="0" xfId="0" applyNumberFormat="1" applyAlignment="1" applyProtection="1">
      <alignment vertical="center"/>
      <protection locked="0"/>
    </xf>
    <xf numFmtId="44" fontId="2" fillId="2" borderId="9" xfId="1" applyFont="1" applyFill="1" applyBorder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0" fillId="4" borderId="6" xfId="0" applyFill="1" applyBorder="1" applyProtection="1">
      <protection hidden="1"/>
    </xf>
    <xf numFmtId="0" fontId="0" fillId="4" borderId="7" xfId="0" applyFill="1" applyBorder="1" applyProtection="1">
      <protection hidden="1"/>
    </xf>
    <xf numFmtId="0" fontId="2" fillId="2" borderId="8" xfId="0" applyFont="1" applyFill="1" applyBorder="1" applyAlignment="1" applyProtection="1">
      <alignment horizontal="right" vertical="center" wrapText="1"/>
      <protection hidden="1"/>
    </xf>
    <xf numFmtId="0" fontId="2" fillId="2" borderId="8" xfId="0" applyFont="1" applyFill="1" applyBorder="1" applyAlignment="1" applyProtection="1">
      <alignment horizontal="right" vertical="center"/>
      <protection hidden="1"/>
    </xf>
    <xf numFmtId="0" fontId="2" fillId="2" borderId="8" xfId="0" applyFont="1" applyFill="1" applyBorder="1" applyAlignment="1" applyProtection="1">
      <alignment horizontal="right"/>
      <protection hidden="1"/>
    </xf>
    <xf numFmtId="0" fontId="15" fillId="6" borderId="15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4" borderId="7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locked="0" hidden="1"/>
    </xf>
    <xf numFmtId="44" fontId="2" fillId="2" borderId="9" xfId="0" applyNumberFormat="1" applyFont="1" applyFill="1" applyBorder="1" applyAlignment="1" applyProtection="1">
      <alignment horizontal="center"/>
      <protection hidden="1"/>
    </xf>
    <xf numFmtId="0" fontId="2" fillId="2" borderId="15" xfId="0" applyFont="1" applyFill="1" applyBorder="1" applyAlignment="1" applyProtection="1">
      <alignment horizontal="right" vertical="center" wrapText="1"/>
      <protection hidden="1"/>
    </xf>
    <xf numFmtId="170" fontId="9" fillId="0" borderId="8" xfId="0" applyNumberFormat="1" applyFont="1" applyBorder="1" applyAlignment="1" applyProtection="1">
      <alignment horizontal="center" vertical="center"/>
      <protection hidden="1"/>
    </xf>
    <xf numFmtId="44" fontId="2" fillId="2" borderId="8" xfId="0" applyNumberFormat="1" applyFont="1" applyFill="1" applyBorder="1" applyAlignment="1" applyProtection="1">
      <alignment horizontal="center" vertical="top"/>
      <protection hidden="1"/>
    </xf>
    <xf numFmtId="0" fontId="2" fillId="6" borderId="15" xfId="0" applyFont="1" applyFill="1" applyBorder="1" applyAlignment="1" applyProtection="1">
      <alignment horizontal="center" vertical="center"/>
      <protection hidden="1"/>
    </xf>
    <xf numFmtId="0" fontId="2" fillId="6" borderId="15" xfId="0" applyFont="1" applyFill="1" applyBorder="1" applyAlignment="1" applyProtection="1">
      <alignment horizontal="center" vertical="center" wrapText="1"/>
      <protection hidden="1"/>
    </xf>
    <xf numFmtId="44" fontId="2" fillId="2" borderId="15" xfId="1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4" borderId="7" xfId="0" applyFont="1" applyFill="1" applyBorder="1" applyAlignment="1" applyProtection="1">
      <alignment horizontal="center"/>
      <protection hidden="1"/>
    </xf>
    <xf numFmtId="0" fontId="0" fillId="4" borderId="11" xfId="0" applyFill="1" applyBorder="1" applyProtection="1"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2" fillId="2" borderId="8" xfId="0" applyFont="1" applyFill="1" applyBorder="1" applyAlignment="1" applyProtection="1">
      <alignment horizontal="right" vertical="top"/>
      <protection hidden="1"/>
    </xf>
    <xf numFmtId="44" fontId="2" fillId="2" borderId="9" xfId="1" applyFont="1" applyFill="1" applyBorder="1" applyAlignment="1" applyProtection="1">
      <alignment horizontal="center" vertical="top"/>
      <protection hidden="1"/>
    </xf>
    <xf numFmtId="0" fontId="9" fillId="4" borderId="0" xfId="0" applyFont="1" applyFill="1" applyAlignment="1" applyProtection="1">
      <alignment horizontal="center" vertical="center" wrapText="1"/>
      <protection hidden="1"/>
    </xf>
    <xf numFmtId="0" fontId="12" fillId="4" borderId="0" xfId="0" applyFont="1" applyFill="1" applyAlignment="1" applyProtection="1">
      <alignment horizontal="center" vertical="center" wrapText="1"/>
      <protection hidden="1"/>
    </xf>
    <xf numFmtId="0" fontId="9" fillId="4" borderId="0" xfId="0" applyFont="1" applyFill="1" applyAlignment="1" applyProtection="1">
      <alignment horizontal="left" vertical="center" wrapText="1"/>
      <protection hidden="1"/>
    </xf>
    <xf numFmtId="0" fontId="2" fillId="4" borderId="0" xfId="0" applyFont="1" applyFill="1" applyAlignment="1" applyProtection="1">
      <alignment vertical="center" wrapText="1"/>
      <protection hidden="1"/>
    </xf>
    <xf numFmtId="0" fontId="2" fillId="4" borderId="6" xfId="0" applyFont="1" applyFill="1" applyBorder="1" applyAlignment="1" applyProtection="1">
      <alignment vertical="center" wrapText="1"/>
      <protection hidden="1"/>
    </xf>
    <xf numFmtId="2" fontId="0" fillId="4" borderId="0" xfId="0" applyNumberFormat="1" applyFill="1" applyAlignment="1" applyProtection="1">
      <alignment horizontal="center"/>
      <protection hidden="1"/>
    </xf>
    <xf numFmtId="0" fontId="9" fillId="4" borderId="1" xfId="0" applyFont="1" applyFill="1" applyBorder="1" applyAlignment="1" applyProtection="1">
      <alignment horizontal="center"/>
      <protection hidden="1"/>
    </xf>
    <xf numFmtId="0" fontId="0" fillId="4" borderId="6" xfId="0" applyFill="1" applyBorder="1" applyAlignment="1" applyProtection="1">
      <alignment horizontal="center"/>
      <protection hidden="1"/>
    </xf>
    <xf numFmtId="0" fontId="9" fillId="4" borderId="2" xfId="0" applyFont="1" applyFill="1" applyBorder="1" applyAlignment="1" applyProtection="1">
      <alignment horizontal="center"/>
      <protection hidden="1"/>
    </xf>
    <xf numFmtId="0" fontId="2" fillId="2" borderId="10" xfId="0" applyFont="1" applyFill="1" applyBorder="1" applyAlignment="1" applyProtection="1">
      <alignment horizontal="right" vertical="center" wrapText="1"/>
      <protection hidden="1"/>
    </xf>
    <xf numFmtId="0" fontId="2" fillId="2" borderId="3" xfId="0" applyFont="1" applyFill="1" applyBorder="1" applyAlignment="1" applyProtection="1">
      <alignment horizontal="right" vertical="center" wrapText="1"/>
      <protection hidden="1"/>
    </xf>
    <xf numFmtId="44" fontId="0" fillId="0" borderId="0" xfId="0" applyNumberFormat="1" applyProtection="1">
      <protection hidden="1"/>
    </xf>
    <xf numFmtId="44" fontId="0" fillId="0" borderId="0" xfId="1" applyFont="1" applyBorder="1" applyProtection="1">
      <protection hidden="1"/>
    </xf>
    <xf numFmtId="44" fontId="15" fillId="0" borderId="0" xfId="0" applyNumberFormat="1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9" fillId="4" borderId="5" xfId="0" applyFont="1" applyFill="1" applyBorder="1" applyAlignment="1" applyProtection="1">
      <alignment horizontal="right" vertical="center"/>
      <protection hidden="1"/>
    </xf>
    <xf numFmtId="0" fontId="2" fillId="4" borderId="5" xfId="0" applyFont="1" applyFill="1" applyBorder="1" applyAlignment="1" applyProtection="1">
      <alignment horizontal="right"/>
      <protection hidden="1"/>
    </xf>
    <xf numFmtId="0" fontId="10" fillId="4" borderId="12" xfId="0" applyFont="1" applyFill="1" applyBorder="1" applyAlignment="1" applyProtection="1">
      <alignment horizontal="right"/>
      <protection hidden="1"/>
    </xf>
    <xf numFmtId="0" fontId="10" fillId="4" borderId="5" xfId="0" applyFont="1" applyFill="1" applyBorder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locked="0" hidden="1"/>
    </xf>
    <xf numFmtId="44" fontId="2" fillId="2" borderId="9" xfId="0" applyNumberFormat="1" applyFont="1" applyFill="1" applyBorder="1" applyAlignment="1" applyProtection="1">
      <alignment horizontal="center" vertical="center" wrapText="1"/>
      <protection hidden="1"/>
    </xf>
    <xf numFmtId="44" fontId="13" fillId="2" borderId="8" xfId="0" applyNumberFormat="1" applyFont="1" applyFill="1" applyBorder="1" applyAlignment="1" applyProtection="1">
      <alignment horizontal="center" vertical="top"/>
      <protection hidden="1"/>
    </xf>
    <xf numFmtId="49" fontId="0" fillId="0" borderId="0" xfId="2" applyNumberFormat="1" applyFont="1" applyProtection="1"/>
    <xf numFmtId="0" fontId="13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Protection="1">
      <protection locked="0"/>
    </xf>
    <xf numFmtId="0" fontId="17" fillId="0" borderId="0" xfId="0" applyFont="1" applyProtection="1">
      <protection locked="0" hidden="1"/>
    </xf>
    <xf numFmtId="10" fontId="17" fillId="0" borderId="0" xfId="2" applyNumberFormat="1" applyFont="1" applyFill="1" applyProtection="1">
      <protection locked="0"/>
    </xf>
    <xf numFmtId="10" fontId="17" fillId="0" borderId="0" xfId="2" applyNumberFormat="1" applyFont="1" applyProtection="1">
      <protection locked="0"/>
    </xf>
    <xf numFmtId="10" fontId="17" fillId="0" borderId="0" xfId="2" applyNumberFormat="1" applyFont="1" applyProtection="1">
      <protection locked="0" hidden="1"/>
    </xf>
    <xf numFmtId="10" fontId="0" fillId="0" borderId="0" xfId="2" applyNumberFormat="1" applyFont="1" applyProtection="1">
      <protection locked="0"/>
    </xf>
    <xf numFmtId="43" fontId="17" fillId="0" borderId="0" xfId="3" applyFont="1" applyFill="1" applyProtection="1">
      <protection locked="0"/>
    </xf>
    <xf numFmtId="43" fontId="17" fillId="0" borderId="0" xfId="3" applyFont="1" applyProtection="1">
      <protection locked="0"/>
    </xf>
    <xf numFmtId="43" fontId="17" fillId="0" borderId="0" xfId="3" applyFont="1" applyProtection="1">
      <protection locked="0" hidden="1"/>
    </xf>
    <xf numFmtId="43" fontId="0" fillId="0" borderId="0" xfId="3" applyFont="1" applyFill="1" applyAlignment="1" applyProtection="1">
      <protection locked="0"/>
    </xf>
    <xf numFmtId="10" fontId="9" fillId="5" borderId="10" xfId="2" applyNumberFormat="1" applyFont="1" applyFill="1" applyBorder="1" applyAlignment="1" applyProtection="1">
      <alignment horizontal="center" vertical="center"/>
      <protection locked="0" hidden="1"/>
    </xf>
    <xf numFmtId="43" fontId="0" fillId="0" borderId="0" xfId="3" applyFont="1" applyFill="1" applyAlignment="1" applyProtection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3" fontId="0" fillId="0" borderId="0" xfId="3" applyFont="1" applyAlignment="1" applyProtection="1">
      <alignment horizontal="center"/>
      <protection locked="0"/>
    </xf>
    <xf numFmtId="171" fontId="0" fillId="0" borderId="0" xfId="2" applyNumberFormat="1" applyFont="1" applyProtection="1">
      <protection locked="0"/>
    </xf>
    <xf numFmtId="10" fontId="19" fillId="0" borderId="0" xfId="2" applyNumberFormat="1" applyFont="1" applyBorder="1" applyProtection="1">
      <protection hidden="1"/>
    </xf>
    <xf numFmtId="0" fontId="20" fillId="0" borderId="0" xfId="0" applyFont="1"/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1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5" xfId="0" applyFont="1" applyBorder="1" applyAlignment="1">
      <alignment wrapText="1"/>
    </xf>
    <xf numFmtId="10" fontId="20" fillId="0" borderId="0" xfId="0" applyNumberFormat="1" applyFont="1" applyAlignment="1">
      <alignment horizontal="center" vertical="center" wrapText="1"/>
    </xf>
    <xf numFmtId="0" fontId="20" fillId="5" borderId="0" xfId="0" applyFont="1" applyFill="1" applyAlignment="1">
      <alignment horizontal="center"/>
    </xf>
    <xf numFmtId="0" fontId="20" fillId="5" borderId="15" xfId="0" applyFont="1" applyFill="1" applyBorder="1" applyAlignment="1">
      <alignment horizontal="center" vertical="center" wrapText="1"/>
    </xf>
    <xf numFmtId="10" fontId="20" fillId="5" borderId="15" xfId="2" applyNumberFormat="1" applyFont="1" applyFill="1" applyBorder="1" applyAlignment="1">
      <alignment horizontal="center" vertical="center" wrapText="1"/>
    </xf>
    <xf numFmtId="10" fontId="20" fillId="5" borderId="0" xfId="2" applyNumberFormat="1" applyFont="1" applyFill="1" applyBorder="1" applyAlignment="1">
      <alignment horizontal="center" vertical="center" wrapText="1"/>
    </xf>
    <xf numFmtId="10" fontId="20" fillId="5" borderId="0" xfId="0" applyNumberFormat="1" applyFont="1" applyFill="1" applyAlignment="1">
      <alignment horizontal="center" vertical="center" wrapText="1"/>
    </xf>
    <xf numFmtId="43" fontId="20" fillId="0" borderId="15" xfId="3" applyFont="1" applyBorder="1" applyAlignment="1">
      <alignment horizontal="center" vertical="center" wrapText="1"/>
    </xf>
    <xf numFmtId="2" fontId="0" fillId="0" borderId="0" xfId="0" applyNumberFormat="1" applyAlignment="1" applyProtection="1">
      <alignment horizontal="center"/>
      <protection locked="0"/>
    </xf>
    <xf numFmtId="44" fontId="15" fillId="0" borderId="17" xfId="0" applyNumberFormat="1" applyFont="1" applyBorder="1" applyProtection="1">
      <protection hidden="1"/>
    </xf>
    <xf numFmtId="172" fontId="0" fillId="0" borderId="0" xfId="0" applyNumberFormat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0" fillId="7" borderId="0" xfId="0" applyFill="1" applyProtection="1">
      <protection locked="0"/>
    </xf>
    <xf numFmtId="0" fontId="0" fillId="7" borderId="0" xfId="0" applyFill="1"/>
    <xf numFmtId="14" fontId="9" fillId="5" borderId="9" xfId="0" applyNumberFormat="1" applyFont="1" applyFill="1" applyBorder="1" applyAlignment="1" applyProtection="1">
      <alignment vertical="center"/>
      <protection locked="0" hidden="1"/>
    </xf>
    <xf numFmtId="10" fontId="0" fillId="0" borderId="0" xfId="2" applyNumberFormat="1" applyFont="1" applyAlignment="1" applyProtection="1">
      <alignment vertical="center"/>
      <protection locked="0"/>
    </xf>
    <xf numFmtId="173" fontId="0" fillId="0" borderId="0" xfId="0" applyNumberFormat="1" applyProtection="1">
      <protection locked="0"/>
    </xf>
    <xf numFmtId="174" fontId="2" fillId="2" borderId="9" xfId="1" applyNumberFormat="1" applyFont="1" applyFill="1" applyBorder="1" applyAlignment="1" applyProtection="1">
      <alignment horizontal="center"/>
      <protection hidden="1"/>
    </xf>
    <xf numFmtId="0" fontId="5" fillId="4" borderId="15" xfId="0" applyFont="1" applyFill="1" applyBorder="1" applyAlignment="1" applyProtection="1">
      <alignment vertic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0" fontId="9" fillId="4" borderId="6" xfId="0" applyFont="1" applyFill="1" applyBorder="1" applyAlignment="1" applyProtection="1">
      <alignment horizontal="left" vertical="center" wrapText="1"/>
      <protection hidden="1"/>
    </xf>
    <xf numFmtId="44" fontId="15" fillId="0" borderId="20" xfId="0" applyNumberFormat="1" applyFont="1" applyBorder="1" applyProtection="1">
      <protection hidden="1"/>
    </xf>
    <xf numFmtId="0" fontId="2" fillId="2" borderId="9" xfId="0" applyFont="1" applyFill="1" applyBorder="1" applyAlignment="1" applyProtection="1">
      <alignment horizontal="right" vertical="center"/>
      <protection hidden="1"/>
    </xf>
    <xf numFmtId="0" fontId="2" fillId="2" borderId="10" xfId="0" applyFont="1" applyFill="1" applyBorder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horizontal="right" vertical="center"/>
      <protection hidden="1"/>
    </xf>
    <xf numFmtId="0" fontId="23" fillId="2" borderId="9" xfId="0" applyFont="1" applyFill="1" applyBorder="1" applyAlignment="1" applyProtection="1">
      <alignment horizontal="right" vertical="center"/>
      <protection hidden="1"/>
    </xf>
    <xf numFmtId="176" fontId="9" fillId="0" borderId="15" xfId="0" applyNumberFormat="1" applyFont="1" applyBorder="1" applyAlignment="1" applyProtection="1">
      <alignment horizontal="center" vertical="center"/>
      <protection locked="0" hidden="1"/>
    </xf>
    <xf numFmtId="44" fontId="9" fillId="2" borderId="9" xfId="0" applyNumberFormat="1" applyFont="1" applyFill="1" applyBorder="1" applyAlignment="1" applyProtection="1">
      <alignment horizontal="center" vertical="center" wrapText="1"/>
      <protection hidden="1"/>
    </xf>
    <xf numFmtId="178" fontId="2" fillId="2" borderId="9" xfId="1" applyNumberFormat="1" applyFont="1" applyFill="1" applyBorder="1" applyAlignment="1" applyProtection="1">
      <protection hidden="1"/>
    </xf>
    <xf numFmtId="177" fontId="24" fillId="5" borderId="10" xfId="2" applyNumberFormat="1" applyFont="1" applyFill="1" applyBorder="1" applyAlignment="1" applyProtection="1">
      <alignment horizontal="center" vertical="center"/>
      <protection locked="0" hidden="1"/>
    </xf>
    <xf numFmtId="43" fontId="0" fillId="0" borderId="0" xfId="0" applyNumberFormat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43" fontId="0" fillId="0" borderId="0" xfId="0" applyNumberFormat="1" applyAlignment="1" applyProtection="1">
      <alignment horizontal="center" vertical="center"/>
      <protection locked="0"/>
    </xf>
    <xf numFmtId="43" fontId="0" fillId="0" borderId="0" xfId="0" applyNumberFormat="1" applyProtection="1">
      <protection locked="0"/>
    </xf>
    <xf numFmtId="170" fontId="25" fillId="0" borderId="8" xfId="0" applyNumberFormat="1" applyFont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right" vertical="center"/>
      <protection hidden="1"/>
    </xf>
    <xf numFmtId="0" fontId="2" fillId="2" borderId="3" xfId="0" applyFont="1" applyFill="1" applyBorder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horizontal="right"/>
      <protection hidden="1"/>
    </xf>
    <xf numFmtId="0" fontId="2" fillId="2" borderId="13" xfId="0" applyFont="1" applyFill="1" applyBorder="1" applyAlignment="1" applyProtection="1">
      <alignment horizontal="right" vertical="center" wrapText="1"/>
      <protection hidden="1"/>
    </xf>
    <xf numFmtId="175" fontId="9" fillId="5" borderId="15" xfId="2" applyNumberFormat="1" applyFont="1" applyFill="1" applyBorder="1" applyAlignment="1" applyProtection="1">
      <alignment horizontal="center" vertical="center"/>
      <protection hidden="1"/>
    </xf>
    <xf numFmtId="14" fontId="9" fillId="5" borderId="15" xfId="0" applyNumberFormat="1" applyFont="1" applyFill="1" applyBorder="1" applyAlignment="1" applyProtection="1">
      <alignment horizontal="center" vertical="center"/>
      <protection locked="0" hidden="1"/>
    </xf>
    <xf numFmtId="0" fontId="23" fillId="2" borderId="10" xfId="0" applyFont="1" applyFill="1" applyBorder="1" applyAlignment="1" applyProtection="1">
      <alignment horizontal="right" vertical="top"/>
      <protection hidden="1"/>
    </xf>
    <xf numFmtId="0" fontId="13" fillId="2" borderId="9" xfId="0" applyFont="1" applyFill="1" applyBorder="1" applyAlignment="1" applyProtection="1">
      <alignment horizontal="center" vertical="top"/>
      <protection hidden="1"/>
    </xf>
    <xf numFmtId="170" fontId="9" fillId="0" borderId="15" xfId="0" applyNumberFormat="1" applyFont="1" applyBorder="1" applyAlignment="1" applyProtection="1">
      <alignment horizontal="center" vertical="center"/>
      <protection locked="0" hidden="1"/>
    </xf>
    <xf numFmtId="179" fontId="24" fillId="5" borderId="10" xfId="2" applyNumberFormat="1" applyFont="1" applyFill="1" applyBorder="1" applyAlignment="1" applyProtection="1">
      <alignment horizontal="center" vertical="center"/>
      <protection locked="0" hidden="1"/>
    </xf>
    <xf numFmtId="173" fontId="9" fillId="5" borderId="15" xfId="2" applyNumberFormat="1" applyFont="1" applyFill="1" applyBorder="1" applyAlignment="1" applyProtection="1">
      <alignment horizontal="center" vertical="center"/>
      <protection hidden="1"/>
    </xf>
    <xf numFmtId="175" fontId="9" fillId="5" borderId="15" xfId="2" applyNumberFormat="1" applyFont="1" applyFill="1" applyBorder="1" applyAlignment="1" applyProtection="1">
      <alignment horizontal="center" vertical="center"/>
      <protection locked="0" hidden="1"/>
    </xf>
    <xf numFmtId="7" fontId="2" fillId="2" borderId="15" xfId="1" applyNumberFormat="1" applyFont="1" applyFill="1" applyBorder="1" applyAlignment="1" applyProtection="1">
      <alignment horizontal="center" vertical="center"/>
      <protection hidden="1"/>
    </xf>
    <xf numFmtId="170" fontId="19" fillId="0" borderId="0" xfId="2" applyNumberFormat="1" applyFont="1" applyBorder="1" applyProtection="1">
      <protection hidden="1"/>
    </xf>
    <xf numFmtId="170" fontId="0" fillId="0" borderId="0" xfId="0" applyNumberFormat="1" applyProtection="1">
      <protection hidden="1"/>
    </xf>
    <xf numFmtId="7" fontId="0" fillId="0" borderId="0" xfId="1" applyNumberFormat="1" applyFont="1" applyBorder="1" applyProtection="1">
      <protection hidden="1"/>
    </xf>
    <xf numFmtId="7" fontId="0" fillId="0" borderId="0" xfId="0" applyNumberFormat="1" applyProtection="1">
      <protection hidden="1"/>
    </xf>
    <xf numFmtId="7" fontId="15" fillId="0" borderId="17" xfId="0" applyNumberFormat="1" applyFont="1" applyBorder="1" applyProtection="1">
      <protection hidden="1"/>
    </xf>
    <xf numFmtId="7" fontId="15" fillId="0" borderId="0" xfId="0" applyNumberFormat="1" applyFont="1" applyProtection="1">
      <protection hidden="1"/>
    </xf>
    <xf numFmtId="170" fontId="19" fillId="0" borderId="0" xfId="0" applyNumberFormat="1" applyFont="1" applyProtection="1">
      <protection hidden="1"/>
    </xf>
    <xf numFmtId="170" fontId="0" fillId="0" borderId="0" xfId="1" applyNumberFormat="1" applyFont="1" applyBorder="1" applyProtection="1">
      <protection hidden="1"/>
    </xf>
    <xf numFmtId="170" fontId="0" fillId="0" borderId="17" xfId="0" applyNumberFormat="1" applyBorder="1" applyProtection="1">
      <protection hidden="1"/>
    </xf>
    <xf numFmtId="7" fontId="22" fillId="2" borderId="9" xfId="0" applyNumberFormat="1" applyFont="1" applyFill="1" applyBorder="1" applyAlignment="1" applyProtection="1">
      <alignment horizontal="center" vertical="center" wrapText="1"/>
      <protection hidden="1"/>
    </xf>
    <xf numFmtId="7" fontId="2" fillId="2" borderId="9" xfId="0" applyNumberFormat="1" applyFont="1" applyFill="1" applyBorder="1" applyAlignment="1" applyProtection="1">
      <alignment horizontal="center" vertical="center" wrapText="1"/>
      <protection hidden="1"/>
    </xf>
    <xf numFmtId="170" fontId="19" fillId="0" borderId="0" xfId="2" applyNumberFormat="1" applyFont="1" applyProtection="1">
      <protection hidden="1"/>
    </xf>
    <xf numFmtId="7" fontId="2" fillId="2" borderId="16" xfId="1" applyNumberFormat="1" applyFont="1" applyFill="1" applyBorder="1" applyAlignment="1" applyProtection="1">
      <alignment horizontal="center" vertical="center"/>
      <protection hidden="1"/>
    </xf>
    <xf numFmtId="7" fontId="2" fillId="2" borderId="16" xfId="1" applyNumberFormat="1" applyFont="1" applyFill="1" applyBorder="1" applyAlignment="1" applyProtection="1">
      <alignment horizontal="right" vertical="center"/>
      <protection hidden="1"/>
    </xf>
    <xf numFmtId="7" fontId="2" fillId="2" borderId="15" xfId="1" applyNumberFormat="1" applyFont="1" applyFill="1" applyBorder="1" applyAlignment="1" applyProtection="1">
      <alignment horizontal="right" vertical="center"/>
      <protection hidden="1"/>
    </xf>
    <xf numFmtId="170" fontId="15" fillId="0" borderId="17" xfId="0" applyNumberFormat="1" applyFont="1" applyBorder="1" applyProtection="1">
      <protection hidden="1"/>
    </xf>
    <xf numFmtId="170" fontId="15" fillId="0" borderId="0" xfId="0" applyNumberFormat="1" applyFont="1" applyProtection="1">
      <protection hidden="1"/>
    </xf>
    <xf numFmtId="170" fontId="0" fillId="0" borderId="0" xfId="0" applyNumberFormat="1" applyProtection="1">
      <protection locked="0" hidden="1"/>
    </xf>
    <xf numFmtId="170" fontId="2" fillId="2" borderId="15" xfId="1" applyNumberFormat="1" applyFont="1" applyFill="1" applyBorder="1" applyAlignment="1" applyProtection="1">
      <alignment horizontal="right" vertical="center"/>
      <protection hidden="1"/>
    </xf>
    <xf numFmtId="44" fontId="2" fillId="2" borderId="15" xfId="1" applyFont="1" applyFill="1" applyBorder="1" applyAlignment="1" applyProtection="1">
      <alignment horizontal="right" vertical="center"/>
      <protection hidden="1"/>
    </xf>
    <xf numFmtId="7" fontId="9" fillId="2" borderId="9" xfId="0" applyNumberFormat="1" applyFont="1" applyFill="1" applyBorder="1" applyAlignment="1" applyProtection="1">
      <alignment horizontal="center" vertical="center" wrapText="1"/>
      <protection hidden="1"/>
    </xf>
    <xf numFmtId="180" fontId="2" fillId="2" borderId="9" xfId="1" applyNumberFormat="1" applyFont="1" applyFill="1" applyBorder="1" applyAlignment="1" applyProtection="1">
      <alignment horizontal="center"/>
      <protection hidden="1"/>
    </xf>
    <xf numFmtId="181" fontId="2" fillId="2" borderId="9" xfId="1" applyNumberFormat="1" applyFont="1" applyFill="1" applyBorder="1" applyAlignment="1" applyProtection="1">
      <alignment horizontal="center"/>
      <protection hidden="1"/>
    </xf>
    <xf numFmtId="182" fontId="2" fillId="2" borderId="9" xfId="0" applyNumberFormat="1" applyFont="1" applyFill="1" applyBorder="1" applyAlignment="1" applyProtection="1">
      <alignment horizontal="center"/>
      <protection hidden="1"/>
    </xf>
    <xf numFmtId="7" fontId="2" fillId="2" borderId="9" xfId="0" applyNumberFormat="1" applyFont="1" applyFill="1" applyBorder="1" applyProtection="1">
      <protection hidden="1"/>
    </xf>
    <xf numFmtId="43" fontId="2" fillId="2" borderId="9" xfId="3" applyFont="1" applyFill="1" applyBorder="1" applyProtection="1">
      <protection hidden="1"/>
    </xf>
    <xf numFmtId="183" fontId="2" fillId="2" borderId="9" xfId="3" applyNumberFormat="1" applyFont="1" applyFill="1" applyBorder="1" applyAlignment="1" applyProtection="1">
      <alignment horizontal="center"/>
      <protection hidden="1"/>
    </xf>
    <xf numFmtId="170" fontId="26" fillId="0" borderId="8" xfId="0" applyNumberFormat="1" applyFont="1" applyBorder="1" applyAlignment="1" applyProtection="1">
      <alignment horizontal="center" vertical="center"/>
      <protection hidden="1"/>
    </xf>
    <xf numFmtId="10" fontId="0" fillId="0" borderId="0" xfId="0" applyNumberFormat="1" applyProtection="1">
      <protection locked="0"/>
    </xf>
    <xf numFmtId="10" fontId="19" fillId="0" borderId="0" xfId="2" applyNumberFormat="1" applyFont="1" applyProtection="1">
      <protection hidden="1"/>
    </xf>
    <xf numFmtId="7" fontId="0" fillId="0" borderId="0" xfId="0" applyNumberFormat="1"/>
    <xf numFmtId="0" fontId="0" fillId="7" borderId="0" xfId="0" applyFill="1" applyProtection="1">
      <protection locked="0" hidden="1"/>
    </xf>
    <xf numFmtId="184" fontId="2" fillId="2" borderId="9" xfId="3" applyNumberFormat="1" applyFont="1" applyFill="1" applyBorder="1" applyAlignment="1" applyProtection="1">
      <alignment horizontal="center"/>
      <protection hidden="1"/>
    </xf>
    <xf numFmtId="185" fontId="9" fillId="5" borderId="10" xfId="2" applyNumberFormat="1" applyFont="1" applyFill="1" applyBorder="1" applyAlignment="1" applyProtection="1">
      <alignment horizontal="center" vertical="center"/>
      <protection hidden="1"/>
    </xf>
    <xf numFmtId="43" fontId="0" fillId="0" borderId="0" xfId="3" applyFont="1"/>
    <xf numFmtId="170" fontId="0" fillId="0" borderId="0" xfId="0" applyNumberFormat="1" applyProtection="1">
      <protection locked="0"/>
    </xf>
    <xf numFmtId="43" fontId="0" fillId="0" borderId="0" xfId="3" applyFont="1" applyAlignment="1">
      <alignment horizontal="center"/>
    </xf>
    <xf numFmtId="0" fontId="0" fillId="0" borderId="15" xfId="0" applyBorder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10" fontId="0" fillId="0" borderId="0" xfId="2" applyNumberFormat="1" applyFont="1"/>
    <xf numFmtId="43" fontId="0" fillId="0" borderId="0" xfId="0" applyNumberFormat="1"/>
    <xf numFmtId="9" fontId="0" fillId="0" borderId="0" xfId="0" applyNumberFormat="1"/>
    <xf numFmtId="171" fontId="9" fillId="5" borderId="10" xfId="2" applyNumberFormat="1" applyFont="1" applyFill="1" applyBorder="1" applyAlignment="1" applyProtection="1">
      <alignment horizontal="center" vertical="center"/>
      <protection locked="0" hidden="1"/>
    </xf>
    <xf numFmtId="7" fontId="2" fillId="2" borderId="9" xfId="3" applyNumberFormat="1" applyFont="1" applyFill="1" applyBorder="1" applyAlignment="1" applyProtection="1">
      <alignment horizontal="center"/>
      <protection hidden="1"/>
    </xf>
    <xf numFmtId="44" fontId="0" fillId="7" borderId="0" xfId="0" applyNumberFormat="1" applyFill="1" applyProtection="1">
      <protection locked="0"/>
    </xf>
    <xf numFmtId="7" fontId="0" fillId="0" borderId="0" xfId="0" applyNumberFormat="1" applyProtection="1">
      <protection locked="0" hidden="1"/>
    </xf>
    <xf numFmtId="186" fontId="27" fillId="2" borderId="9" xfId="1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wrapText="1"/>
      <protection locked="0"/>
    </xf>
    <xf numFmtId="7" fontId="0" fillId="0" borderId="0" xfId="0" applyNumberFormat="1" applyProtection="1">
      <protection locked="0"/>
    </xf>
    <xf numFmtId="43" fontId="0" fillId="0" borderId="0" xfId="3" applyFont="1" applyProtection="1">
      <protection locked="0" hidden="1"/>
    </xf>
    <xf numFmtId="10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hidden="1"/>
    </xf>
    <xf numFmtId="9" fontId="0" fillId="0" borderId="0" xfId="2" applyFont="1" applyProtection="1">
      <protection locked="0"/>
    </xf>
    <xf numFmtId="0" fontId="0" fillId="7" borderId="0" xfId="0" applyFill="1" applyAlignment="1" applyProtection="1">
      <alignment horizontal="center"/>
      <protection locked="0"/>
    </xf>
    <xf numFmtId="10" fontId="0" fillId="0" borderId="0" xfId="0" applyNumberFormat="1"/>
    <xf numFmtId="8" fontId="0" fillId="0" borderId="0" xfId="0" applyNumberFormat="1"/>
    <xf numFmtId="176" fontId="0" fillId="0" borderId="0" xfId="0" applyNumberFormat="1"/>
    <xf numFmtId="180" fontId="0" fillId="0" borderId="0" xfId="0" applyNumberFormat="1"/>
    <xf numFmtId="180" fontId="0" fillId="0" borderId="0" xfId="0" applyNumberFormat="1" applyProtection="1">
      <protection locked="0"/>
    </xf>
    <xf numFmtId="43" fontId="0" fillId="0" borderId="0" xfId="0" applyNumberFormat="1" applyAlignment="1" applyProtection="1">
      <alignment vertical="center"/>
      <protection locked="0"/>
    </xf>
    <xf numFmtId="10" fontId="20" fillId="5" borderId="0" xfId="0" applyNumberFormat="1" applyFont="1" applyFill="1" applyAlignment="1">
      <alignment horizontal="center"/>
    </xf>
    <xf numFmtId="170" fontId="0" fillId="0" borderId="0" xfId="3" applyNumberFormat="1" applyFont="1" applyProtection="1">
      <protection locked="0"/>
    </xf>
    <xf numFmtId="0" fontId="0" fillId="0" borderId="15" xfId="0" applyBorder="1" applyProtection="1">
      <protection locked="0"/>
    </xf>
    <xf numFmtId="170" fontId="0" fillId="0" borderId="15" xfId="0" applyNumberFormat="1" applyBorder="1" applyProtection="1">
      <protection locked="0"/>
    </xf>
    <xf numFmtId="171" fontId="0" fillId="0" borderId="15" xfId="2" applyNumberFormat="1" applyFont="1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43" fontId="0" fillId="0" borderId="15" xfId="3" applyFont="1" applyBorder="1" applyProtection="1">
      <protection locked="0"/>
    </xf>
    <xf numFmtId="10" fontId="0" fillId="0" borderId="15" xfId="2" applyNumberFormat="1" applyFont="1" applyBorder="1" applyProtection="1">
      <protection locked="0"/>
    </xf>
    <xf numFmtId="0" fontId="0" fillId="0" borderId="15" xfId="0" applyBorder="1" applyAlignment="1" applyProtection="1">
      <alignment horizontal="left" vertical="center"/>
      <protection locked="0"/>
    </xf>
    <xf numFmtId="10" fontId="9" fillId="5" borderId="15" xfId="2" applyNumberFormat="1" applyFont="1" applyFill="1" applyBorder="1" applyAlignment="1" applyProtection="1">
      <alignment horizontal="center" vertical="center"/>
      <protection locked="0" hidden="1"/>
    </xf>
    <xf numFmtId="0" fontId="16" fillId="0" borderId="10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6" fillId="3" borderId="7" xfId="0" applyFont="1" applyFill="1" applyBorder="1" applyAlignment="1" applyProtection="1">
      <alignment horizontal="center" vertical="center" wrapText="1"/>
      <protection hidden="1"/>
    </xf>
    <xf numFmtId="0" fontId="6" fillId="3" borderId="11" xfId="0" applyFont="1" applyFill="1" applyBorder="1" applyAlignment="1" applyProtection="1">
      <alignment horizontal="center" vertical="center" wrapText="1"/>
      <protection hidden="1"/>
    </xf>
    <xf numFmtId="0" fontId="8" fillId="4" borderId="8" xfId="0" applyFont="1" applyFill="1" applyBorder="1" applyAlignment="1" applyProtection="1">
      <alignment horizontal="center" vertical="center"/>
      <protection hidden="1"/>
    </xf>
    <xf numFmtId="0" fontId="8" fillId="4" borderId="10" xfId="0" applyFont="1" applyFill="1" applyBorder="1" applyAlignment="1" applyProtection="1">
      <alignment horizontal="center" vertical="center"/>
      <protection hidden="1"/>
    </xf>
    <xf numFmtId="0" fontId="8" fillId="4" borderId="9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2" fillId="6" borderId="16" xfId="0" applyFont="1" applyFill="1" applyBorder="1" applyAlignment="1" applyProtection="1">
      <alignment horizontal="center" vertical="center" wrapText="1"/>
      <protection hidden="1"/>
    </xf>
    <xf numFmtId="0" fontId="2" fillId="6" borderId="2" xfId="0" applyFont="1" applyFill="1" applyBorder="1" applyAlignment="1" applyProtection="1">
      <alignment horizontal="center" vertical="center" wrapText="1"/>
      <protection hidden="1"/>
    </xf>
    <xf numFmtId="0" fontId="9" fillId="2" borderId="8" xfId="0" applyFont="1" applyFill="1" applyBorder="1" applyAlignment="1" applyProtection="1">
      <alignment horizontal="center" vertical="center"/>
      <protection hidden="1"/>
    </xf>
    <xf numFmtId="0" fontId="9" fillId="2" borderId="9" xfId="0" applyFont="1" applyFill="1" applyBorder="1" applyAlignment="1" applyProtection="1">
      <alignment horizontal="center" vertical="center"/>
      <protection hidden="1"/>
    </xf>
    <xf numFmtId="0" fontId="5" fillId="4" borderId="8" xfId="0" applyFont="1" applyFill="1" applyBorder="1" applyAlignment="1" applyProtection="1">
      <alignment horizontal="center"/>
      <protection hidden="1"/>
    </xf>
    <xf numFmtId="0" fontId="5" fillId="4" borderId="10" xfId="0" applyFont="1" applyFill="1" applyBorder="1" applyAlignment="1" applyProtection="1">
      <alignment horizontal="center"/>
      <protection hidden="1"/>
    </xf>
    <xf numFmtId="0" fontId="5" fillId="4" borderId="9" xfId="0" applyFont="1" applyFill="1" applyBorder="1" applyAlignment="1" applyProtection="1">
      <alignment horizont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5" fillId="4" borderId="8" xfId="0" applyFont="1" applyFill="1" applyBorder="1" applyAlignment="1" applyProtection="1">
      <alignment horizontal="center" vertical="center"/>
      <protection hidden="1"/>
    </xf>
    <xf numFmtId="0" fontId="5" fillId="4" borderId="9" xfId="0" applyFont="1" applyFill="1" applyBorder="1" applyAlignment="1" applyProtection="1">
      <alignment horizontal="center" vertical="center"/>
      <protection hidden="1"/>
    </xf>
    <xf numFmtId="0" fontId="16" fillId="0" borderId="19" xfId="0" applyFont="1" applyBorder="1" applyAlignment="1" applyProtection="1">
      <alignment horizontal="center" vertical="center" wrapText="1"/>
      <protection hidden="1"/>
    </xf>
    <xf numFmtId="0" fontId="6" fillId="3" borderId="18" xfId="0" applyFont="1" applyFill="1" applyBorder="1" applyAlignment="1" applyProtection="1">
      <alignment horizontal="center" vertical="center" wrapText="1"/>
      <protection hidden="1"/>
    </xf>
    <xf numFmtId="0" fontId="5" fillId="4" borderId="10" xfId="0" applyFont="1" applyFill="1" applyBorder="1" applyAlignment="1" applyProtection="1">
      <alignment horizontal="center" vertical="center"/>
      <protection hidden="1"/>
    </xf>
    <xf numFmtId="0" fontId="8" fillId="4" borderId="16" xfId="0" applyFont="1" applyFill="1" applyBorder="1" applyAlignment="1" applyProtection="1">
      <alignment horizontal="center" vertical="center"/>
      <protection hidden="1"/>
    </xf>
    <xf numFmtId="0" fontId="8" fillId="4" borderId="15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0" fontId="0" fillId="4" borderId="0" xfId="0" applyFill="1" applyAlignment="1" applyProtection="1">
      <alignment horizontal="center"/>
      <protection hidden="1"/>
    </xf>
    <xf numFmtId="0" fontId="0" fillId="4" borderId="7" xfId="0" applyFill="1" applyBorder="1" applyAlignment="1" applyProtection="1">
      <alignment horizontal="center"/>
      <protection hidden="1"/>
    </xf>
    <xf numFmtId="0" fontId="6" fillId="3" borderId="8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 wrapText="1"/>
      <protection hidden="1"/>
    </xf>
    <xf numFmtId="0" fontId="6" fillId="3" borderId="9" xfId="0" applyFont="1" applyFill="1" applyBorder="1" applyAlignment="1" applyProtection="1">
      <alignment horizontal="center" vertical="center" wrapText="1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14" xfId="0" applyFont="1" applyBorder="1" applyAlignment="1" applyProtection="1">
      <alignment horizontal="center" vertical="center" wrapText="1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9" fillId="2" borderId="13" xfId="0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2" fillId="6" borderId="16" xfId="0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14" fontId="9" fillId="5" borderId="8" xfId="0" applyNumberFormat="1" applyFont="1" applyFill="1" applyBorder="1" applyAlignment="1" applyProtection="1">
      <alignment horizontal="center" vertical="center"/>
      <protection locked="0" hidden="1"/>
    </xf>
    <xf numFmtId="14" fontId="9" fillId="5" borderId="9" xfId="0" applyNumberFormat="1" applyFont="1" applyFill="1" applyBorder="1" applyAlignment="1" applyProtection="1">
      <alignment horizontal="center" vertical="center"/>
      <protection locked="0" hidden="1"/>
    </xf>
    <xf numFmtId="0" fontId="8" fillId="4" borderId="2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5" fillId="4" borderId="16" xfId="0" applyFont="1" applyFill="1" applyBorder="1" applyAlignment="1" applyProtection="1">
      <alignment horizontal="center"/>
      <protection hidden="1"/>
    </xf>
    <xf numFmtId="0" fontId="5" fillId="4" borderId="15" xfId="0" applyFont="1" applyFill="1" applyBorder="1" applyAlignment="1" applyProtection="1">
      <alignment horizontal="center"/>
      <protection hidden="1"/>
    </xf>
    <xf numFmtId="0" fontId="5" fillId="4" borderId="15" xfId="0" applyFont="1" applyFill="1" applyBorder="1" applyAlignment="1" applyProtection="1">
      <alignment horizontal="center" vertical="center"/>
      <protection hidden="1"/>
    </xf>
    <xf numFmtId="0" fontId="5" fillId="4" borderId="2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44" fontId="2" fillId="2" borderId="10" xfId="0" applyNumberFormat="1" applyFont="1" applyFill="1" applyBorder="1" applyAlignment="1" applyProtection="1">
      <alignment horizontal="center"/>
      <protection hidden="1"/>
    </xf>
    <xf numFmtId="44" fontId="2" fillId="2" borderId="9" xfId="0" applyNumberFormat="1" applyFont="1" applyFill="1" applyBorder="1" applyAlignment="1" applyProtection="1">
      <alignment horizontal="center"/>
      <protection hidden="1"/>
    </xf>
    <xf numFmtId="10" fontId="20" fillId="5" borderId="8" xfId="2" applyNumberFormat="1" applyFont="1" applyFill="1" applyBorder="1" applyAlignment="1">
      <alignment horizontal="center" vertical="center" wrapText="1"/>
    </xf>
    <xf numFmtId="10" fontId="20" fillId="5" borderId="9" xfId="2" applyNumberFormat="1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0" fontId="20" fillId="5" borderId="13" xfId="2" applyNumberFormat="1" applyFont="1" applyFill="1" applyBorder="1" applyAlignment="1">
      <alignment horizontal="center" vertical="center" wrapText="1"/>
    </xf>
    <xf numFmtId="10" fontId="20" fillId="5" borderId="4" xfId="2" applyNumberFormat="1" applyFont="1" applyFill="1" applyBorder="1" applyAlignment="1">
      <alignment horizontal="center" vertical="center" wrapText="1"/>
    </xf>
    <xf numFmtId="10" fontId="20" fillId="5" borderId="12" xfId="2" applyNumberFormat="1" applyFont="1" applyFill="1" applyBorder="1" applyAlignment="1">
      <alignment horizontal="center" vertical="center" wrapText="1"/>
    </xf>
    <xf numFmtId="10" fontId="20" fillId="5" borderId="11" xfId="2" applyNumberFormat="1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44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theme="0"/>
      </font>
    </dxf>
    <dxf>
      <fill>
        <patternFill>
          <bgColor theme="8" tint="0.7999816888943144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2" defaultPivotStyle="PivotStyleLight16"/>
  <colors>
    <mruColors>
      <color rgb="FFB3E4EF"/>
      <color rgb="FFE8F9FE"/>
      <color rgb="FFFFFFFF"/>
      <color rgb="FFE0F0E2"/>
      <color rgb="FF80F357"/>
      <color rgb="FFFB4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$J$4" fmlaRange="$N$5:$N$12" sel="7" val="0"/>
</file>

<file path=xl/ctrlProps/ctrlProp2.xml><?xml version="1.0" encoding="utf-8"?>
<formControlPr xmlns="http://schemas.microsoft.com/office/spreadsheetml/2009/9/main" objectType="Drop" dropStyle="combo" dx="16" fmlaLink="$AA$1" fmlaRange="$AA$4:$AA$5" sel="2" val="0"/>
</file>

<file path=xl/ctrlProps/ctrlProp3.xml><?xml version="1.0" encoding="utf-8"?>
<formControlPr xmlns="http://schemas.microsoft.com/office/spreadsheetml/2009/9/main" objectType="CheckBox" fmlaLink="$AH$25" lockText="1"/>
</file>

<file path=xl/ctrlProps/ctrlProp4.xml><?xml version="1.0" encoding="utf-8"?>
<formControlPr xmlns="http://schemas.microsoft.com/office/spreadsheetml/2009/9/main" objectType="CheckBox" fmlaLink="$J$21" lockText="1"/>
</file>

<file path=xl/ctrlProps/ctrlProp5.xml><?xml version="1.0" encoding="utf-8"?>
<formControlPr xmlns="http://schemas.microsoft.com/office/spreadsheetml/2009/9/main" objectType="Drop" dropStyle="combo" dx="16" fmlaLink="$J$16" fmlaRange="$J$17:$J$18" sel="2" val="0"/>
</file>

<file path=xl/ctrlProps/ctrlProp6.xml><?xml version="1.0" encoding="utf-8"?>
<formControlPr xmlns="http://schemas.microsoft.com/office/spreadsheetml/2009/9/main" objectType="Drop" dropStyle="combo" dx="16" fmlaLink="$AB$1" fmlaRange="$AB$4:$AB$5" sel="2" val="0"/>
</file>

<file path=xl/ctrlProps/ctrlProp7.xml><?xml version="1.0" encoding="utf-8"?>
<formControlPr xmlns="http://schemas.microsoft.com/office/spreadsheetml/2009/9/main" objectType="CheckBox" checked="Checked" fmlaLink="$L$19" lockText="1"/>
</file>

<file path=xl/ctrlProps/ctrlProp8.xml><?xml version="1.0" encoding="utf-8"?>
<formControlPr xmlns="http://schemas.microsoft.com/office/spreadsheetml/2009/9/main" objectType="Drop" dropStyle="combo" dx="16" fmlaLink="$J$4" fmlaRange="$N$5:$N$11" sel="6" val="0"/>
</file>

<file path=xl/ctrlProps/ctrlProp9.xml><?xml version="1.0" encoding="utf-8"?>
<formControlPr xmlns="http://schemas.microsoft.com/office/spreadsheetml/2009/9/main" objectType="CheckBox" checked="Checked" fmlaLink="$AH$25" lockText="1"/>
</file>

<file path=xl/ctrlProps/ctrlProp10.xml><?xml version="1.0" encoding="utf-8"?>
<formControlPr xmlns="http://schemas.microsoft.com/office/spreadsheetml/2009/9/main" objectType="CheckBox" checked="Checked" fmlaLink="$L$19" lockText="1"/>
</file>

<file path=xl/ctrlProps/ctrlProp11.xml><?xml version="1.0" encoding="utf-8"?>
<formControlPr xmlns="http://schemas.microsoft.com/office/spreadsheetml/2009/9/main" objectType="Drop" dropStyle="combo" dx="16" fmlaLink="$AA$1" fmlaRange="$AA$4:$AA$5" sel="2" val="0"/>
</file>

<file path=xl/ctrlProps/ctrlProp12.xml><?xml version="1.0" encoding="utf-8"?>
<formControlPr xmlns="http://schemas.microsoft.com/office/spreadsheetml/2009/9/main" objectType="Drop" dropStyle="combo" dx="16" fmlaLink="$J$16" fmlaRange="$J$17:$J$18" sel="1" val="0"/>
</file>

<file path=xl/ctrlProps/ctrlProp13.xml><?xml version="1.0" encoding="utf-8"?>
<formControlPr xmlns="http://schemas.microsoft.com/office/spreadsheetml/2009/9/main" objectType="CheckBox" fmlaLink="$J$21" lockText="1"/>
</file>

<file path=xl/ctrlProps/ctrlProp14.xml><?xml version="1.0" encoding="utf-8"?>
<formControlPr xmlns="http://schemas.microsoft.com/office/spreadsheetml/2009/9/main" objectType="Drop" dropStyle="combo" dx="22" fmlaLink="$L$24" fmlaRange="$L$21:$L$23" noThreeD="1" sel="1" val="0"/>
</file>

<file path=xl/ctrlProps/ctrlProp15.xml><?xml version="1.0" encoding="utf-8"?>
<formControlPr xmlns="http://schemas.microsoft.com/office/spreadsheetml/2009/9/main" objectType="Drop" dropStyle="combo" dx="16" fmlaLink="$AB$1" fmlaRange="$AB$4:$AB$5" sel="2" val="0"/>
</file>

<file path=xl/ctrlProps/ctrlProp16.xml><?xml version="1.0" encoding="utf-8"?>
<formControlPr xmlns="http://schemas.microsoft.com/office/spreadsheetml/2009/9/main" objectType="Drop" dropStyle="combo" dx="16" fmlaLink="$J$4" fmlaRange="$N$5:$N$7" sel="1" val="0"/>
</file>

<file path=xl/ctrlProps/ctrlProp17.xml><?xml version="1.0" encoding="utf-8"?>
<formControlPr xmlns="http://schemas.microsoft.com/office/spreadsheetml/2009/9/main" objectType="Drop" dropStyle="combo" dx="16" fmlaLink="$AA$1" fmlaRange="$AA$4:$AA$5" sel="1" val="0"/>
</file>

<file path=xl/ctrlProps/ctrlProp18.xml><?xml version="1.0" encoding="utf-8"?>
<formControlPr xmlns="http://schemas.microsoft.com/office/spreadsheetml/2009/9/main" objectType="Drop" dropStyle="combo" dx="16" fmlaLink="$AB$1" fmlaRange="$AB$4:$AB$5" sel="1" val="0"/>
</file>

<file path=xl/ctrlProps/ctrlProp19.xml><?xml version="1.0" encoding="utf-8"?>
<formControlPr xmlns="http://schemas.microsoft.com/office/spreadsheetml/2009/9/main" objectType="CheckBox" checked="Checked" fmlaLink="$AH$25" lockText="1"/>
</file>

<file path=xl/ctrlProps/ctrlProp20.xml><?xml version="1.0" encoding="utf-8"?>
<formControlPr xmlns="http://schemas.microsoft.com/office/spreadsheetml/2009/9/main" objectType="Drop" dropStyle="combo" dx="16" fmlaLink="$J$16" fmlaRange="$J$17:$J$18" sel="1" val="0"/>
</file>

<file path=xl/ctrlProps/ctrlProp21.xml><?xml version="1.0" encoding="utf-8"?>
<formControlPr xmlns="http://schemas.microsoft.com/office/spreadsheetml/2009/9/main" objectType="CheckBox" checked="Checked" fmlaLink="$L$19" lockText="1"/>
</file>

<file path=xl/ctrlProps/ctrlProp22.xml><?xml version="1.0" encoding="utf-8"?>
<formControlPr xmlns="http://schemas.microsoft.com/office/spreadsheetml/2009/9/main" objectType="CheckBox" checked="Checked" fmlaLink="$J$21" lockText="1"/>
</file>

<file path=xl/ctrlProps/ctrlProp23.xml><?xml version="1.0" encoding="utf-8"?>
<formControlPr xmlns="http://schemas.microsoft.com/office/spreadsheetml/2009/9/main" objectType="Drop" dropStyle="combo" dx="16" fmlaLink="$J$4" fmlaRange="$N$5:$N$7" sel="1" val="0"/>
</file>

<file path=xl/ctrlProps/ctrlProp24.xml><?xml version="1.0" encoding="utf-8"?>
<formControlPr xmlns="http://schemas.microsoft.com/office/spreadsheetml/2009/9/main" objectType="Drop" dropStyle="combo" dx="16" fmlaLink="$AA$1" fmlaRange="$AA$4:$AA$5" sel="1" val="0"/>
</file>

<file path=xl/ctrlProps/ctrlProp25.xml><?xml version="1.0" encoding="utf-8"?>
<formControlPr xmlns="http://schemas.microsoft.com/office/spreadsheetml/2009/9/main" objectType="Drop" dropStyle="combo" dx="16" fmlaLink="$AB$1" fmlaRange="$AB$4:$AB$5" sel="1" val="0"/>
</file>

<file path=xl/ctrlProps/ctrlProp26.xml><?xml version="1.0" encoding="utf-8"?>
<formControlPr xmlns="http://schemas.microsoft.com/office/spreadsheetml/2009/9/main" objectType="CheckBox" checked="Checked" fmlaLink="$AH$25" lockText="1"/>
</file>

<file path=xl/ctrlProps/ctrlProp27.xml><?xml version="1.0" encoding="utf-8"?>
<formControlPr xmlns="http://schemas.microsoft.com/office/spreadsheetml/2009/9/main" objectType="Drop" dropStyle="combo" dx="16" fmlaLink="$J$16" fmlaRange="$J$17:$J$18" sel="1" val="0"/>
</file>

<file path=xl/ctrlProps/ctrlProp28.xml><?xml version="1.0" encoding="utf-8"?>
<formControlPr xmlns="http://schemas.microsoft.com/office/spreadsheetml/2009/9/main" objectType="CheckBox" checked="Checked" fmlaLink="$L$19" lockText="1"/>
</file>

<file path=xl/ctrlProps/ctrlProp29.xml><?xml version="1.0" encoding="utf-8"?>
<formControlPr xmlns="http://schemas.microsoft.com/office/spreadsheetml/2009/9/main" objectType="CheckBox" checked="Checked" fmlaLink="$J$21" lockText="1"/>
</file>

<file path=xl/ctrlProps/ctrlProp30.xml><?xml version="1.0" encoding="utf-8"?>
<formControlPr xmlns="http://schemas.microsoft.com/office/spreadsheetml/2009/9/main" objectType="Drop" dropStyle="combo" dx="16" fmlaLink="$J$4" fmlaRange="$N$5:$N$9" sel="1" val="0"/>
</file>

<file path=xl/ctrlProps/ctrlProp31.xml><?xml version="1.0" encoding="utf-8"?>
<formControlPr xmlns="http://schemas.microsoft.com/office/spreadsheetml/2009/9/main" objectType="CheckBox" checked="Checked" fmlaLink="$AH$25" lockText="1"/>
</file>

<file path=xl/ctrlProps/ctrlProp32.xml><?xml version="1.0" encoding="utf-8"?>
<formControlPr xmlns="http://schemas.microsoft.com/office/spreadsheetml/2009/9/main" objectType="CheckBox" checked="Checked" fmlaLink="$L$19" lockText="1"/>
</file>

<file path=xl/ctrlProps/ctrlProp33.xml><?xml version="1.0" encoding="utf-8"?>
<formControlPr xmlns="http://schemas.microsoft.com/office/spreadsheetml/2009/9/main" objectType="CheckBox" fmlaLink="$J$21" lockText="1"/>
</file>

<file path=xl/ctrlProps/ctrlProp34.xml><?xml version="1.0" encoding="utf-8"?>
<formControlPr xmlns="http://schemas.microsoft.com/office/spreadsheetml/2009/9/main" objectType="Drop" dropStyle="combo" dx="16" fmlaLink="$AA$1" fmlaRange="$AA$4:$AA$5" sel="2" val="0"/>
</file>

<file path=xl/ctrlProps/ctrlProp35.xml><?xml version="1.0" encoding="utf-8"?>
<formControlPr xmlns="http://schemas.microsoft.com/office/spreadsheetml/2009/9/main" objectType="Drop" dropStyle="combo" dx="16" fmlaLink="$AB$1" fmlaRange="$AB$4:$AB$5" sel="2" val="0"/>
</file>

<file path=xl/ctrlProps/ctrlProp36.xml><?xml version="1.0" encoding="utf-8"?>
<formControlPr xmlns="http://schemas.microsoft.com/office/spreadsheetml/2009/9/main" objectType="Drop" dropStyle="combo" dx="16" fmlaLink="$J$16" fmlaRange="$J$17:$J$18" sel="2" val="0"/>
</file>

<file path=xl/ctrlProps/ctrlProp37.xml><?xml version="1.0" encoding="utf-8"?>
<formControlPr xmlns="http://schemas.microsoft.com/office/spreadsheetml/2009/9/main" objectType="Drop" dropStyle="combo" dx="16" fmlaLink="$J$3" fmlaRange="$N$4:$N$7" sel="4" val="0"/>
</file>

<file path=xl/ctrlProps/ctrlProp38.xml><?xml version="1.0" encoding="utf-8"?>
<formControlPr xmlns="http://schemas.microsoft.com/office/spreadsheetml/2009/9/main" objectType="Drop" dropStyle="combo" dx="16" fmlaLink="$V$5" fmlaRange="$V$2:$V$4" sel="2" val="0"/>
</file>

<file path=xl/ctrlProps/ctrlProp39.xml><?xml version="1.0" encoding="utf-8"?>
<formControlPr xmlns="http://schemas.microsoft.com/office/spreadsheetml/2009/9/main" objectType="Drop" dropStyle="combo" dx="16" fmlaLink="$K$4" fmlaRange="$U$6:$U$7" sel="2" val="0"/>
</file>

<file path=xl/ctrlProps/ctrlProp40.xml><?xml version="1.0" encoding="utf-8"?>
<formControlPr xmlns="http://schemas.microsoft.com/office/spreadsheetml/2009/9/main" objectType="Drop" dropStyle="combo" dx="16" fmlaLink="$T$5" fmlaRange="$T$3:$T$4" sel="2" val="0"/>
</file>

<file path=xl/ctrlProps/ctrlProp41.xml><?xml version="1.0" encoding="utf-8"?>
<formControlPr xmlns="http://schemas.microsoft.com/office/spreadsheetml/2009/9/main" objectType="Drop" dropStyle="combo" dx="16" fmlaLink="$J$3" fmlaRange="$N$4:$N$6" sel="1" val="0"/>
</file>

<file path=xl/ctrlProps/ctrlProp42.xml><?xml version="1.0" encoding="utf-8"?>
<formControlPr xmlns="http://schemas.microsoft.com/office/spreadsheetml/2009/9/main" objectType="Drop" dropStyle="combo" dx="16" fmlaLink="$W$5" fmlaRange="$W$2:$W$4" sel="2" val="0"/>
</file>

<file path=xl/ctrlProps/ctrlProp43.xml><?xml version="1.0" encoding="utf-8"?>
<formControlPr xmlns="http://schemas.microsoft.com/office/spreadsheetml/2009/9/main" objectType="Drop" dropStyle="combo" dx="16" fmlaLink="$K$4" fmlaRange="$V$6:$V$7" sel="2" val="0"/>
</file>

<file path=xl/ctrlProps/ctrlProp44.xml><?xml version="1.0" encoding="utf-8"?>
<formControlPr xmlns="http://schemas.microsoft.com/office/spreadsheetml/2009/9/main" objectType="Drop" dropStyle="combo" dx="22" fmlaLink="$I$15" fmlaRange="$I$16:$I$18" sel="3" val="0"/>
</file>

<file path=xl/ctrlProps/ctrlProp45.xml><?xml version="1.0" encoding="utf-8"?>
<formControlPr xmlns="http://schemas.microsoft.com/office/spreadsheetml/2009/9/main" objectType="Drop" dropStyle="combo" dx="16" fmlaLink="$U$5" fmlaRange="$U$3:$U$4" sel="1" val="0"/>
</file>

<file path=xl/ctrlProps/ctrlProp46.xml><?xml version="1.0" encoding="utf-8"?>
<formControlPr xmlns="http://schemas.microsoft.com/office/spreadsheetml/2009/9/main" objectType="Drop" dropStyle="combo" dx="16" fmlaLink="$J$4" fmlaRange="$N$5:$N$10" sel="2" val="0"/>
</file>

<file path=xl/ctrlProps/ctrlProp47.xml><?xml version="1.0" encoding="utf-8"?>
<formControlPr xmlns="http://schemas.microsoft.com/office/spreadsheetml/2009/9/main" objectType="Drop" dropStyle="combo" dx="22" fmlaLink="$I$11" fmlaRange="$J$11:$J$12" sel="1" val="0"/>
</file>

<file path=xl/ctrlProps/ctrlProp48.xml><?xml version="1.0" encoding="utf-8"?>
<formControlPr xmlns="http://schemas.microsoft.com/office/spreadsheetml/2009/9/main" objectType="Drop" dropStyle="combo" dx="22" fmlaLink="$AN$17" fmlaRange="$AM$14:$AM$18" sel="1" val="0"/>
</file>

<file path=xl/ctrlProps/ctrlProp49.xml><?xml version="1.0" encoding="utf-8"?>
<formControlPr xmlns="http://schemas.microsoft.com/office/spreadsheetml/2009/9/main" objectType="CheckBox" checked="Checked" fmlaLink="$AN$18" lockText="1"/>
</file>

<file path=xl/ctrlProps/ctrlProp50.xml><?xml version="1.0" encoding="utf-8"?>
<formControlPr xmlns="http://schemas.microsoft.com/office/spreadsheetml/2009/9/main" objectType="Drop" dropStyle="combo" dx="16" fmlaLink="$AA$1" fmlaRange="$AA$4:$AA$5" sel="2" val="0"/>
</file>

<file path=xl/ctrlProps/ctrlProp51.xml><?xml version="1.0" encoding="utf-8"?>
<formControlPr xmlns="http://schemas.microsoft.com/office/spreadsheetml/2009/9/main" objectType="Drop" dropStyle="combo" dx="16" fmlaLink="$J$4" fmlaRange="$N$5:$N$6" sel="1" val="0"/>
</file>

<file path=xl/ctrlProps/ctrlProp52.xml><?xml version="1.0" encoding="utf-8"?>
<formControlPr xmlns="http://schemas.microsoft.com/office/spreadsheetml/2009/9/main" objectType="Drop" dropStyle="combo" dx="16" fmlaLink="$AA$1" fmlaRange="$AA$4:$AA$5" sel="1" val="0"/>
</file>

<file path=xl/ctrlProps/ctrlProp53.xml><?xml version="1.0" encoding="utf-8"?>
<formControlPr xmlns="http://schemas.microsoft.com/office/spreadsheetml/2009/9/main" objectType="Drop" dropStyle="combo" dx="22" fmlaLink="$AN$17" fmlaRange="$AM$14:$AM$18" sel="5" val="0"/>
</file>

<file path=xl/ctrlProps/ctrlProp54.xml><?xml version="1.0" encoding="utf-8"?>
<formControlPr xmlns="http://schemas.microsoft.com/office/spreadsheetml/2009/9/main" objectType="CheckBox" checked="Checked" fmlaLink="$AN$18" lockText="1"/>
</file>

<file path=xl/ctrlProps/ctrlProp55.xml><?xml version="1.0" encoding="utf-8"?>
<formControlPr xmlns="http://schemas.microsoft.com/office/spreadsheetml/2009/9/main" objectType="Drop" dropStyle="combo" dx="22" fmlaLink="$AV$17" fmlaRange="$AM$14:$AM$18" sel="1" val="0"/>
</file>

<file path=xl/ctrlProps/ctrlProp56.xml><?xml version="1.0" encoding="utf-8"?>
<formControlPr xmlns="http://schemas.microsoft.com/office/spreadsheetml/2009/9/main" objectType="Drop" dropStyle="combo" dx="16" fmlaLink="$J$4" fmlaRange="$N$5:$N$6" sel="2" val="0"/>
</file>

<file path=xl/ctrlProps/ctrlProp57.xml><?xml version="1.0" encoding="utf-8"?>
<formControlPr xmlns="http://schemas.microsoft.com/office/spreadsheetml/2009/9/main" objectType="Drop" dropStyle="combo" dx="22" fmlaLink="$AN$17" fmlaRange="$AM$14:$AM$18" sel="1" val="0"/>
</file>

<file path=xl/ctrlProps/ctrlProp58.xml><?xml version="1.0" encoding="utf-8"?>
<formControlPr xmlns="http://schemas.microsoft.com/office/spreadsheetml/2009/9/main" objectType="CheckBox" fmlaLink="$AN$18" lockText="1"/>
</file>

<file path=xl/ctrlProps/ctrlProp59.xml><?xml version="1.0" encoding="utf-8"?>
<formControlPr xmlns="http://schemas.microsoft.com/office/spreadsheetml/2009/9/main" objectType="Drop" dropStyle="combo" dx="22" fmlaLink="$AV$17" fmlaRange="$AM$14:$AM$18" sel="1" val="0"/>
</file>

<file path=xl/ctrlProps/ctrlProp60.xml><?xml version="1.0" encoding="utf-8"?>
<formControlPr xmlns="http://schemas.microsoft.com/office/spreadsheetml/2009/9/main" objectType="Drop" dropStyle="combo" dx="22" fmlaLink="$BF$15" fmlaRange="$BD$14:$BD$15" sel="1" val="0"/>
</file>

<file path=xl/ctrlProps/ctrlProp61.xml><?xml version="1.0" encoding="utf-8"?>
<formControlPr xmlns="http://schemas.microsoft.com/office/spreadsheetml/2009/9/main" objectType="Drop" dropStyle="combo" dx="16" fmlaLink="$AA$1" fmlaRange="$AA$4:$AA$5" sel="1" val="0"/>
</file>

<file path=xl/ctrlProps/ctrlProp62.xml><?xml version="1.0" encoding="utf-8"?>
<formControlPr xmlns="http://schemas.microsoft.com/office/spreadsheetml/2009/9/main" objectType="Drop" dropStyle="combo" dx="22" fmlaLink="$I$14" fmlaRange="$J$17:$J$18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895350</xdr:colOff>
          <xdr:row>2</xdr:row>
          <xdr:rowOff>314325</xdr:rowOff>
        </xdr:from>
        <xdr:to>
          <xdr:col>5</xdr:col>
          <xdr:colOff>1123950</xdr:colOff>
          <xdr:row>3</xdr:row>
          <xdr:rowOff>200025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14</xdr:row>
          <xdr:rowOff>38100</xdr:rowOff>
        </xdr:from>
        <xdr:to>
          <xdr:col>5</xdr:col>
          <xdr:colOff>1057275</xdr:colOff>
          <xdr:row>14</xdr:row>
          <xdr:rowOff>228600</xdr:rowOff>
        </xdr:to>
        <xdr:sp macro="" textlink="">
          <xdr:nvSpPr>
            <xdr:cNvPr id="12291" name="Drop Dow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15</xdr:row>
          <xdr:rowOff>47625</xdr:rowOff>
        </xdr:from>
        <xdr:to>
          <xdr:col>5</xdr:col>
          <xdr:colOff>1066800</xdr:colOff>
          <xdr:row>15</xdr:row>
          <xdr:rowOff>238125</xdr:rowOff>
        </xdr:to>
        <xdr:sp macro="" textlink="">
          <xdr:nvSpPr>
            <xdr:cNvPr id="12292" name="Drop Dow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0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15</xdr:row>
          <xdr:rowOff>209550</xdr:rowOff>
        </xdr:from>
        <xdr:to>
          <xdr:col>4</xdr:col>
          <xdr:colOff>1057275</xdr:colOff>
          <xdr:row>15</xdr:row>
          <xdr:rowOff>428625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0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IOF Simples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0</xdr:col>
      <xdr:colOff>77210</xdr:colOff>
      <xdr:row>0</xdr:row>
      <xdr:rowOff>0</xdr:rowOff>
    </xdr:from>
    <xdr:to>
      <xdr:col>1</xdr:col>
      <xdr:colOff>815346</xdr:colOff>
      <xdr:row>0</xdr:row>
      <xdr:rowOff>812181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0"/>
          <a:ext cx="1650949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16</xdr:row>
          <xdr:rowOff>66675</xdr:rowOff>
        </xdr:from>
        <xdr:to>
          <xdr:col>5</xdr:col>
          <xdr:colOff>1076325</xdr:colOff>
          <xdr:row>16</xdr:row>
          <xdr:rowOff>257175</xdr:rowOff>
        </xdr:to>
        <xdr:sp macro="" textlink="">
          <xdr:nvSpPr>
            <xdr:cNvPr id="12294" name="Drop Down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0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15</xdr:row>
          <xdr:rowOff>0</xdr:rowOff>
        </xdr:from>
        <xdr:to>
          <xdr:col>5</xdr:col>
          <xdr:colOff>38100</xdr:colOff>
          <xdr:row>15</xdr:row>
          <xdr:rowOff>219075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0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CALCULAR IOF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16</xdr:row>
          <xdr:rowOff>123825</xdr:rowOff>
        </xdr:from>
        <xdr:to>
          <xdr:col>4</xdr:col>
          <xdr:colOff>1143000</xdr:colOff>
          <xdr:row>16</xdr:row>
          <xdr:rowOff>342900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0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FAMPE</a:t>
              </a:r>
            </a:p>
          </xdr:txBody>
        </xdr:sp>
        <xdr:clientData fLocksWithSheet="0"/>
      </xdr:twoCellAnchor>
    </mc:Choice>
    <mc:Fallback/>
  </mc:AlternateContent>
  <xdr:twoCellAnchor>
    <xdr:from>
      <xdr:col>5</xdr:col>
      <xdr:colOff>1</xdr:colOff>
      <xdr:row>17</xdr:row>
      <xdr:rowOff>79375</xdr:rowOff>
    </xdr:from>
    <xdr:to>
      <xdr:col>5</xdr:col>
      <xdr:colOff>1063625</xdr:colOff>
      <xdr:row>18</xdr:row>
      <xdr:rowOff>63498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199314" y="3460750"/>
          <a:ext cx="1063624" cy="277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FAMPE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2</xdr:row>
          <xdr:rowOff>314325</xdr:rowOff>
        </xdr:from>
        <xdr:to>
          <xdr:col>5</xdr:col>
          <xdr:colOff>990600</xdr:colOff>
          <xdr:row>3</xdr:row>
          <xdr:rowOff>200025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14</xdr:row>
          <xdr:rowOff>57150</xdr:rowOff>
        </xdr:from>
        <xdr:to>
          <xdr:col>5</xdr:col>
          <xdr:colOff>1133475</xdr:colOff>
          <xdr:row>14</xdr:row>
          <xdr:rowOff>247650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15</xdr:row>
          <xdr:rowOff>47625</xdr:rowOff>
        </xdr:from>
        <xdr:to>
          <xdr:col>5</xdr:col>
          <xdr:colOff>1114425</xdr:colOff>
          <xdr:row>15</xdr:row>
          <xdr:rowOff>238125</xdr:rowOff>
        </xdr:to>
        <xdr:sp macro="" textlink="">
          <xdr:nvSpPr>
            <xdr:cNvPr id="3082" name="Drop Dow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15</xdr:row>
          <xdr:rowOff>228600</xdr:rowOff>
        </xdr:from>
        <xdr:to>
          <xdr:col>4</xdr:col>
          <xdr:colOff>1028700</xdr:colOff>
          <xdr:row>16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IOF Simples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0</xdr:col>
      <xdr:colOff>37522</xdr:colOff>
      <xdr:row>0</xdr:row>
      <xdr:rowOff>15155</xdr:rowOff>
    </xdr:from>
    <xdr:to>
      <xdr:col>1</xdr:col>
      <xdr:colOff>775658</xdr:colOff>
      <xdr:row>1</xdr:row>
      <xdr:rowOff>9773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" y="15155"/>
          <a:ext cx="1650949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16</xdr:row>
          <xdr:rowOff>19050</xdr:rowOff>
        </xdr:from>
        <xdr:to>
          <xdr:col>5</xdr:col>
          <xdr:colOff>1095375</xdr:colOff>
          <xdr:row>16</xdr:row>
          <xdr:rowOff>209550</xdr:rowOff>
        </xdr:to>
        <xdr:sp macro="" textlink="">
          <xdr:nvSpPr>
            <xdr:cNvPr id="3091" name="Drop Dow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15</xdr:row>
          <xdr:rowOff>38100</xdr:rowOff>
        </xdr:from>
        <xdr:to>
          <xdr:col>4</xdr:col>
          <xdr:colOff>1209675</xdr:colOff>
          <xdr:row>15</xdr:row>
          <xdr:rowOff>257175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CALCULAR IOF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16</xdr:row>
          <xdr:rowOff>19050</xdr:rowOff>
        </xdr:from>
        <xdr:to>
          <xdr:col>4</xdr:col>
          <xdr:colOff>1209675</xdr:colOff>
          <xdr:row>16</xdr:row>
          <xdr:rowOff>219075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Fundo de Aval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16</xdr:row>
          <xdr:rowOff>247650</xdr:rowOff>
        </xdr:from>
        <xdr:to>
          <xdr:col>4</xdr:col>
          <xdr:colOff>1228725</xdr:colOff>
          <xdr:row>16</xdr:row>
          <xdr:rowOff>428625</xdr:rowOff>
        </xdr:to>
        <xdr:sp macro="" textlink="">
          <xdr:nvSpPr>
            <xdr:cNvPr id="3095" name="Drop Down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312436</xdr:colOff>
      <xdr:row>3</xdr:row>
      <xdr:rowOff>161925</xdr:rowOff>
    </xdr:from>
    <xdr:to>
      <xdr:col>21</xdr:col>
      <xdr:colOff>220584</xdr:colOff>
      <xdr:row>23</xdr:row>
      <xdr:rowOff>86664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2086" y="733425"/>
          <a:ext cx="6127973" cy="37347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2</xdr:row>
          <xdr:rowOff>314325</xdr:rowOff>
        </xdr:from>
        <xdr:to>
          <xdr:col>5</xdr:col>
          <xdr:colOff>1104900</xdr:colOff>
          <xdr:row>3</xdr:row>
          <xdr:rowOff>200025</xdr:rowOff>
        </xdr:to>
        <xdr:sp macro="" textlink="">
          <xdr:nvSpPr>
            <xdr:cNvPr id="40961" name="Drop Down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3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14</xdr:row>
          <xdr:rowOff>57150</xdr:rowOff>
        </xdr:from>
        <xdr:to>
          <xdr:col>5</xdr:col>
          <xdr:colOff>1076325</xdr:colOff>
          <xdr:row>14</xdr:row>
          <xdr:rowOff>247650</xdr:rowOff>
        </xdr:to>
        <xdr:sp macro="" textlink="">
          <xdr:nvSpPr>
            <xdr:cNvPr id="40962" name="Drop Down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3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15</xdr:row>
          <xdr:rowOff>47625</xdr:rowOff>
        </xdr:from>
        <xdr:to>
          <xdr:col>5</xdr:col>
          <xdr:colOff>1104900</xdr:colOff>
          <xdr:row>15</xdr:row>
          <xdr:rowOff>238125</xdr:rowOff>
        </xdr:to>
        <xdr:sp macro="" textlink="">
          <xdr:nvSpPr>
            <xdr:cNvPr id="40963" name="Drop Down 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3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15</xdr:row>
          <xdr:rowOff>228600</xdr:rowOff>
        </xdr:from>
        <xdr:to>
          <xdr:col>4</xdr:col>
          <xdr:colOff>1028700</xdr:colOff>
          <xdr:row>16</xdr:row>
          <xdr:rowOff>9525</xdr:rowOff>
        </xdr:to>
        <xdr:sp macro="" textlink="">
          <xdr:nvSpPr>
            <xdr:cNvPr id="40964" name="Check Box 4" hidden="1">
              <a:extLst>
                <a:ext uri="{63B3BB69-23CF-44E3-9099-C40C66FF867C}">
                  <a14:compatExt spid="_x0000_s40964"/>
                </a:ext>
                <a:ext uri="{FF2B5EF4-FFF2-40B4-BE49-F238E27FC236}">
                  <a16:creationId xmlns:a16="http://schemas.microsoft.com/office/drawing/2014/main" id="{00000000-0008-0000-0300-000004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IOF Simples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0</xdr:col>
      <xdr:colOff>37522</xdr:colOff>
      <xdr:row>0</xdr:row>
      <xdr:rowOff>15155</xdr:rowOff>
    </xdr:from>
    <xdr:to>
      <xdr:col>1</xdr:col>
      <xdr:colOff>775658</xdr:colOff>
      <xdr:row>1</xdr:row>
      <xdr:rowOff>9773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" y="15155"/>
          <a:ext cx="1652536" cy="81376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16</xdr:row>
          <xdr:rowOff>19050</xdr:rowOff>
        </xdr:from>
        <xdr:to>
          <xdr:col>5</xdr:col>
          <xdr:colOff>1085850</xdr:colOff>
          <xdr:row>16</xdr:row>
          <xdr:rowOff>209550</xdr:rowOff>
        </xdr:to>
        <xdr:sp macro="" textlink="">
          <xdr:nvSpPr>
            <xdr:cNvPr id="40965" name="Drop Down 5" hidden="1">
              <a:extLst>
                <a:ext uri="{63B3BB69-23CF-44E3-9099-C40C66FF867C}">
                  <a14:compatExt spid="_x0000_s40965"/>
                </a:ext>
                <a:ext uri="{FF2B5EF4-FFF2-40B4-BE49-F238E27FC236}">
                  <a16:creationId xmlns:a16="http://schemas.microsoft.com/office/drawing/2014/main" id="{00000000-0008-0000-0300-000005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15</xdr:row>
          <xdr:rowOff>38100</xdr:rowOff>
        </xdr:from>
        <xdr:to>
          <xdr:col>4</xdr:col>
          <xdr:colOff>1209675</xdr:colOff>
          <xdr:row>15</xdr:row>
          <xdr:rowOff>257175</xdr:rowOff>
        </xdr:to>
        <xdr:sp macro="" textlink="">
          <xdr:nvSpPr>
            <xdr:cNvPr id="40966" name="Check Box 6" hidden="1">
              <a:extLst>
                <a:ext uri="{63B3BB69-23CF-44E3-9099-C40C66FF867C}">
                  <a14:compatExt spid="_x0000_s40966"/>
                </a:ext>
                <a:ext uri="{FF2B5EF4-FFF2-40B4-BE49-F238E27FC236}">
                  <a16:creationId xmlns:a16="http://schemas.microsoft.com/office/drawing/2014/main" id="{00000000-0008-0000-0300-00000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CALCULAR IOF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1276350</xdr:colOff>
          <xdr:row>16</xdr:row>
          <xdr:rowOff>38100</xdr:rowOff>
        </xdr:from>
        <xdr:to>
          <xdr:col>4</xdr:col>
          <xdr:colOff>1181100</xdr:colOff>
          <xdr:row>16</xdr:row>
          <xdr:rowOff>228600</xdr:rowOff>
        </xdr:to>
        <xdr:sp macro="" textlink="">
          <xdr:nvSpPr>
            <xdr:cNvPr id="40967" name="Check Box 7" hidden="1">
              <a:extLst>
                <a:ext uri="{63B3BB69-23CF-44E3-9099-C40C66FF867C}">
                  <a14:compatExt spid="_x0000_s40967"/>
                </a:ext>
                <a:ext uri="{FF2B5EF4-FFF2-40B4-BE49-F238E27FC236}">
                  <a16:creationId xmlns:a16="http://schemas.microsoft.com/office/drawing/2014/main" id="{00000000-0008-0000-0300-000007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Aval do FUNDEQ</a:t>
              </a:r>
            </a:p>
          </xdr:txBody>
        </xdr:sp>
        <xdr:clientData fLocksWithSheet="0"/>
      </xdr:twoCellAnchor>
    </mc:Choice>
    <mc:Fallback/>
  </mc:AlternateContent>
  <xdr:twoCellAnchor>
    <xdr:from>
      <xdr:col>5</xdr:col>
      <xdr:colOff>0</xdr:colOff>
      <xdr:row>17</xdr:row>
      <xdr:rowOff>3175</xdr:rowOff>
    </xdr:from>
    <xdr:to>
      <xdr:col>5</xdr:col>
      <xdr:colOff>1142999</xdr:colOff>
      <xdr:row>17</xdr:row>
      <xdr:rowOff>282573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019800" y="3594100"/>
          <a:ext cx="1142999" cy="279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FUNDEQ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2</xdr:row>
          <xdr:rowOff>314325</xdr:rowOff>
        </xdr:from>
        <xdr:to>
          <xdr:col>5</xdr:col>
          <xdr:colOff>1104900</xdr:colOff>
          <xdr:row>3</xdr:row>
          <xdr:rowOff>200025</xdr:rowOff>
        </xdr:to>
        <xdr:sp macro="" textlink="">
          <xdr:nvSpPr>
            <xdr:cNvPr id="49153" name="Drop Down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4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14</xdr:row>
          <xdr:rowOff>57150</xdr:rowOff>
        </xdr:from>
        <xdr:to>
          <xdr:col>5</xdr:col>
          <xdr:colOff>1076325</xdr:colOff>
          <xdr:row>14</xdr:row>
          <xdr:rowOff>247650</xdr:rowOff>
        </xdr:to>
        <xdr:sp macro="" textlink="">
          <xdr:nvSpPr>
            <xdr:cNvPr id="49154" name="Drop Down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4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15</xdr:row>
          <xdr:rowOff>47625</xdr:rowOff>
        </xdr:from>
        <xdr:to>
          <xdr:col>5</xdr:col>
          <xdr:colOff>1104900</xdr:colOff>
          <xdr:row>15</xdr:row>
          <xdr:rowOff>238125</xdr:rowOff>
        </xdr:to>
        <xdr:sp macro="" textlink="">
          <xdr:nvSpPr>
            <xdr:cNvPr id="49155" name="Drop Down 3" hidden="1">
              <a:extLst>
                <a:ext uri="{63B3BB69-23CF-44E3-9099-C40C66FF867C}">
                  <a14:compatExt spid="_x0000_s49155"/>
                </a:ext>
                <a:ext uri="{FF2B5EF4-FFF2-40B4-BE49-F238E27FC236}">
                  <a16:creationId xmlns:a16="http://schemas.microsoft.com/office/drawing/2014/main" id="{00000000-0008-0000-0400-00000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15</xdr:row>
          <xdr:rowOff>228600</xdr:rowOff>
        </xdr:from>
        <xdr:to>
          <xdr:col>4</xdr:col>
          <xdr:colOff>1028700</xdr:colOff>
          <xdr:row>16</xdr:row>
          <xdr:rowOff>9525</xdr:rowOff>
        </xdr:to>
        <xdr:sp macro="" textlink="">
          <xdr:nvSpPr>
            <xdr:cNvPr id="49156" name="Check Box 4" hidden="1">
              <a:extLst>
                <a:ext uri="{63B3BB69-23CF-44E3-9099-C40C66FF867C}">
                  <a14:compatExt spid="_x0000_s49156"/>
                </a:ext>
                <a:ext uri="{FF2B5EF4-FFF2-40B4-BE49-F238E27FC236}">
                  <a16:creationId xmlns:a16="http://schemas.microsoft.com/office/drawing/2014/main" id="{00000000-0008-0000-0400-00000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IOF Simples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0</xdr:col>
      <xdr:colOff>37522</xdr:colOff>
      <xdr:row>0</xdr:row>
      <xdr:rowOff>15155</xdr:rowOff>
    </xdr:from>
    <xdr:to>
      <xdr:col>1</xdr:col>
      <xdr:colOff>775658</xdr:colOff>
      <xdr:row>1</xdr:row>
      <xdr:rowOff>9773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2" y="15155"/>
          <a:ext cx="1652536" cy="81376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16</xdr:row>
          <xdr:rowOff>19050</xdr:rowOff>
        </xdr:from>
        <xdr:to>
          <xdr:col>5</xdr:col>
          <xdr:colOff>1085850</xdr:colOff>
          <xdr:row>16</xdr:row>
          <xdr:rowOff>209550</xdr:rowOff>
        </xdr:to>
        <xdr:sp macro="" textlink="">
          <xdr:nvSpPr>
            <xdr:cNvPr id="49157" name="Drop Down 5" hidden="1">
              <a:extLst>
                <a:ext uri="{63B3BB69-23CF-44E3-9099-C40C66FF867C}">
                  <a14:compatExt spid="_x0000_s49157"/>
                </a:ext>
                <a:ext uri="{FF2B5EF4-FFF2-40B4-BE49-F238E27FC236}">
                  <a16:creationId xmlns:a16="http://schemas.microsoft.com/office/drawing/2014/main" id="{00000000-0008-0000-0400-00000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15</xdr:row>
          <xdr:rowOff>38100</xdr:rowOff>
        </xdr:from>
        <xdr:to>
          <xdr:col>4</xdr:col>
          <xdr:colOff>1209675</xdr:colOff>
          <xdr:row>15</xdr:row>
          <xdr:rowOff>257175</xdr:rowOff>
        </xdr:to>
        <xdr:sp macro="" textlink="">
          <xdr:nvSpPr>
            <xdr:cNvPr id="49158" name="Check Box 6" hidden="1">
              <a:extLst>
                <a:ext uri="{63B3BB69-23CF-44E3-9099-C40C66FF867C}">
                  <a14:compatExt spid="_x0000_s49158"/>
                </a:ext>
                <a:ext uri="{FF2B5EF4-FFF2-40B4-BE49-F238E27FC236}">
                  <a16:creationId xmlns:a16="http://schemas.microsoft.com/office/drawing/2014/main" id="{00000000-0008-0000-0400-00000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CALCULAR IOF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1276350</xdr:colOff>
          <xdr:row>16</xdr:row>
          <xdr:rowOff>38100</xdr:rowOff>
        </xdr:from>
        <xdr:to>
          <xdr:col>4</xdr:col>
          <xdr:colOff>1181100</xdr:colOff>
          <xdr:row>16</xdr:row>
          <xdr:rowOff>228600</xdr:rowOff>
        </xdr:to>
        <xdr:sp macro="" textlink="">
          <xdr:nvSpPr>
            <xdr:cNvPr id="49159" name="Check Box 7" hidden="1">
              <a:extLst>
                <a:ext uri="{63B3BB69-23CF-44E3-9099-C40C66FF867C}">
                  <a14:compatExt spid="_x0000_s49159"/>
                </a:ext>
                <a:ext uri="{FF2B5EF4-FFF2-40B4-BE49-F238E27FC236}">
                  <a16:creationId xmlns:a16="http://schemas.microsoft.com/office/drawing/2014/main" id="{00000000-0008-0000-0400-00000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Aval do FUNDEQ</a:t>
              </a:r>
            </a:p>
          </xdr:txBody>
        </xdr:sp>
        <xdr:clientData fLocksWithSheet="0"/>
      </xdr:twoCellAnchor>
    </mc:Choice>
    <mc:Fallback/>
  </mc:AlternateContent>
  <xdr:twoCellAnchor>
    <xdr:from>
      <xdr:col>5</xdr:col>
      <xdr:colOff>0</xdr:colOff>
      <xdr:row>17</xdr:row>
      <xdr:rowOff>3175</xdr:rowOff>
    </xdr:from>
    <xdr:to>
      <xdr:col>5</xdr:col>
      <xdr:colOff>1142999</xdr:colOff>
      <xdr:row>17</xdr:row>
      <xdr:rowOff>282573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019800" y="3594100"/>
          <a:ext cx="1142999" cy="279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FUNDEQ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819150</xdr:colOff>
          <xdr:row>2</xdr:row>
          <xdr:rowOff>304800</xdr:rowOff>
        </xdr:from>
        <xdr:to>
          <xdr:col>5</xdr:col>
          <xdr:colOff>1114425</xdr:colOff>
          <xdr:row>3</xdr:row>
          <xdr:rowOff>209550</xdr:rowOff>
        </xdr:to>
        <xdr:sp macro="" textlink="">
          <xdr:nvSpPr>
            <xdr:cNvPr id="22529" name="Drop Dow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14</xdr:row>
          <xdr:rowOff>57150</xdr:rowOff>
        </xdr:from>
        <xdr:to>
          <xdr:col>5</xdr:col>
          <xdr:colOff>1057275</xdr:colOff>
          <xdr:row>14</xdr:row>
          <xdr:rowOff>247650</xdr:rowOff>
        </xdr:to>
        <xdr:sp macro="" textlink="">
          <xdr:nvSpPr>
            <xdr:cNvPr id="22530" name="Drop Dow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15</xdr:row>
          <xdr:rowOff>57150</xdr:rowOff>
        </xdr:from>
        <xdr:to>
          <xdr:col>5</xdr:col>
          <xdr:colOff>1076325</xdr:colOff>
          <xdr:row>15</xdr:row>
          <xdr:rowOff>247650</xdr:rowOff>
        </xdr:to>
        <xdr:sp macro="" textlink="">
          <xdr:nvSpPr>
            <xdr:cNvPr id="22531" name="Drop Down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15</xdr:row>
          <xdr:rowOff>209550</xdr:rowOff>
        </xdr:from>
        <xdr:to>
          <xdr:col>4</xdr:col>
          <xdr:colOff>1066800</xdr:colOff>
          <xdr:row>15</xdr:row>
          <xdr:rowOff>428625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IOF Simples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0</xdr:col>
      <xdr:colOff>77210</xdr:colOff>
      <xdr:row>0</xdr:row>
      <xdr:rowOff>0</xdr:rowOff>
    </xdr:from>
    <xdr:to>
      <xdr:col>1</xdr:col>
      <xdr:colOff>815346</xdr:colOff>
      <xdr:row>0</xdr:row>
      <xdr:rowOff>812181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0"/>
          <a:ext cx="1652536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16</xdr:row>
          <xdr:rowOff>47625</xdr:rowOff>
        </xdr:from>
        <xdr:to>
          <xdr:col>5</xdr:col>
          <xdr:colOff>1057275</xdr:colOff>
          <xdr:row>16</xdr:row>
          <xdr:rowOff>238125</xdr:rowOff>
        </xdr:to>
        <xdr:sp macro="" textlink="">
          <xdr:nvSpPr>
            <xdr:cNvPr id="22533" name="Drop Down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5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15</xdr:row>
          <xdr:rowOff>9525</xdr:rowOff>
        </xdr:from>
        <xdr:to>
          <xdr:col>4</xdr:col>
          <xdr:colOff>1266825</xdr:colOff>
          <xdr:row>15</xdr:row>
          <xdr:rowOff>228600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5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CALCULAR IOF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16</xdr:row>
          <xdr:rowOff>28575</xdr:rowOff>
        </xdr:from>
        <xdr:to>
          <xdr:col>4</xdr:col>
          <xdr:colOff>1228725</xdr:colOff>
          <xdr:row>16</xdr:row>
          <xdr:rowOff>247650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05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FAMPE</a:t>
              </a:r>
            </a:p>
          </xdr:txBody>
        </xdr:sp>
        <xdr:clientData fLocksWithSheet="0"/>
      </xdr:twoCellAnchor>
    </mc:Choice>
    <mc:Fallback/>
  </mc:AlternateContent>
  <xdr:twoCellAnchor>
    <xdr:from>
      <xdr:col>5</xdr:col>
      <xdr:colOff>1</xdr:colOff>
      <xdr:row>17</xdr:row>
      <xdr:rowOff>79375</xdr:rowOff>
    </xdr:from>
    <xdr:to>
      <xdr:col>5</xdr:col>
      <xdr:colOff>1063625</xdr:colOff>
      <xdr:row>18</xdr:row>
      <xdr:rowOff>63498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200901" y="3641725"/>
          <a:ext cx="1063624" cy="279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FAMPE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3</xdr:row>
          <xdr:rowOff>0</xdr:rowOff>
        </xdr:from>
        <xdr:to>
          <xdr:col>6</xdr:col>
          <xdr:colOff>752475</xdr:colOff>
          <xdr:row>3</xdr:row>
          <xdr:rowOff>219075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6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14</xdr:row>
          <xdr:rowOff>38100</xdr:rowOff>
        </xdr:from>
        <xdr:to>
          <xdr:col>6</xdr:col>
          <xdr:colOff>1104900</xdr:colOff>
          <xdr:row>14</xdr:row>
          <xdr:rowOff>238125</xdr:rowOff>
        </xdr:to>
        <xdr:sp macro="" textlink="">
          <xdr:nvSpPr>
            <xdr:cNvPr id="6150" name="Drop Dow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6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15</xdr:row>
          <xdr:rowOff>38100</xdr:rowOff>
        </xdr:from>
        <xdr:to>
          <xdr:col>6</xdr:col>
          <xdr:colOff>1095375</xdr:colOff>
          <xdr:row>15</xdr:row>
          <xdr:rowOff>238125</xdr:rowOff>
        </xdr:to>
        <xdr:sp macro="" textlink="">
          <xdr:nvSpPr>
            <xdr:cNvPr id="6153" name="Drop Dow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6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25978</xdr:colOff>
      <xdr:row>0</xdr:row>
      <xdr:rowOff>43295</xdr:rowOff>
    </xdr:from>
    <xdr:to>
      <xdr:col>1</xdr:col>
      <xdr:colOff>744681</xdr:colOff>
      <xdr:row>0</xdr:row>
      <xdr:rowOff>871295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8" y="43295"/>
          <a:ext cx="1636567" cy="828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219075</xdr:rowOff>
        </xdr:from>
        <xdr:to>
          <xdr:col>4</xdr:col>
          <xdr:colOff>1104900</xdr:colOff>
          <xdr:row>18</xdr:row>
          <xdr:rowOff>419100</xdr:rowOff>
        </xdr:to>
        <xdr:sp macro="" textlink="">
          <xdr:nvSpPr>
            <xdr:cNvPr id="6170" name="Drop Down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6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6</xdr:col>
      <xdr:colOff>77931</xdr:colOff>
      <xdr:row>17</xdr:row>
      <xdr:rowOff>242455</xdr:rowOff>
    </xdr:from>
    <xdr:to>
      <xdr:col>7</xdr:col>
      <xdr:colOff>24533</xdr:colOff>
      <xdr:row>18</xdr:row>
      <xdr:rowOff>69993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005204" y="4320887"/>
          <a:ext cx="1063624" cy="277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FAMPE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3</xdr:row>
          <xdr:rowOff>0</xdr:rowOff>
        </xdr:from>
        <xdr:to>
          <xdr:col>6</xdr:col>
          <xdr:colOff>762000</xdr:colOff>
          <xdr:row>3</xdr:row>
          <xdr:rowOff>219075</xdr:rowOff>
        </xdr:to>
        <xdr:sp macro="" textlink="">
          <xdr:nvSpPr>
            <xdr:cNvPr id="17409" name="Drop Dow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7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14</xdr:row>
          <xdr:rowOff>38100</xdr:rowOff>
        </xdr:from>
        <xdr:to>
          <xdr:col>6</xdr:col>
          <xdr:colOff>1104900</xdr:colOff>
          <xdr:row>14</xdr:row>
          <xdr:rowOff>238125</xdr:rowOff>
        </xdr:to>
        <xdr:sp macro="" textlink="">
          <xdr:nvSpPr>
            <xdr:cNvPr id="17410" name="Drop Dow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7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15</xdr:row>
          <xdr:rowOff>38100</xdr:rowOff>
        </xdr:from>
        <xdr:to>
          <xdr:col>6</xdr:col>
          <xdr:colOff>1095375</xdr:colOff>
          <xdr:row>15</xdr:row>
          <xdr:rowOff>238125</xdr:rowOff>
        </xdr:to>
        <xdr:sp macro="" textlink="">
          <xdr:nvSpPr>
            <xdr:cNvPr id="17411" name="Drop Dow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7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17319</xdr:colOff>
      <xdr:row>0</xdr:row>
      <xdr:rowOff>0</xdr:rowOff>
    </xdr:from>
    <xdr:to>
      <xdr:col>1</xdr:col>
      <xdr:colOff>736022</xdr:colOff>
      <xdr:row>0</xdr:row>
      <xdr:rowOff>828000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9" y="0"/>
          <a:ext cx="1636567" cy="828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219075</xdr:rowOff>
        </xdr:from>
        <xdr:to>
          <xdr:col>4</xdr:col>
          <xdr:colOff>1104900</xdr:colOff>
          <xdr:row>18</xdr:row>
          <xdr:rowOff>419100</xdr:rowOff>
        </xdr:to>
        <xdr:sp macro="" textlink="">
          <xdr:nvSpPr>
            <xdr:cNvPr id="17412" name="Drop Dow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7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6</xdr:col>
      <xdr:colOff>77931</xdr:colOff>
      <xdr:row>17</xdr:row>
      <xdr:rowOff>242455</xdr:rowOff>
    </xdr:from>
    <xdr:to>
      <xdr:col>7</xdr:col>
      <xdr:colOff>24533</xdr:colOff>
      <xdr:row>18</xdr:row>
      <xdr:rowOff>69993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7250256" y="4195330"/>
          <a:ext cx="1169844" cy="275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VALOR FAMPE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16</xdr:row>
          <xdr:rowOff>57150</xdr:rowOff>
        </xdr:from>
        <xdr:to>
          <xdr:col>6</xdr:col>
          <xdr:colOff>1123950</xdr:colOff>
          <xdr:row>16</xdr:row>
          <xdr:rowOff>371475</xdr:rowOff>
        </xdr:to>
        <xdr:sp macro="" textlink="">
          <xdr:nvSpPr>
            <xdr:cNvPr id="17414" name="Drop Down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7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847725</xdr:colOff>
          <xdr:row>2</xdr:row>
          <xdr:rowOff>333375</xdr:rowOff>
        </xdr:from>
        <xdr:to>
          <xdr:col>4</xdr:col>
          <xdr:colOff>295275</xdr:colOff>
          <xdr:row>3</xdr:row>
          <xdr:rowOff>190500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8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</xdr:row>
          <xdr:rowOff>47625</xdr:rowOff>
        </xdr:from>
        <xdr:to>
          <xdr:col>6</xdr:col>
          <xdr:colOff>1047750</xdr:colOff>
          <xdr:row>14</xdr:row>
          <xdr:rowOff>238125</xdr:rowOff>
        </xdr:to>
        <xdr:sp macro="" textlink="">
          <xdr:nvSpPr>
            <xdr:cNvPr id="19458" name="Drop Dow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8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77210</xdr:colOff>
      <xdr:row>0</xdr:row>
      <xdr:rowOff>63500</xdr:rowOff>
    </xdr:from>
    <xdr:to>
      <xdr:col>1</xdr:col>
      <xdr:colOff>815346</xdr:colOff>
      <xdr:row>0</xdr:row>
      <xdr:rowOff>875681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63500"/>
          <a:ext cx="1650949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16</xdr:row>
          <xdr:rowOff>47625</xdr:rowOff>
        </xdr:from>
        <xdr:to>
          <xdr:col>6</xdr:col>
          <xdr:colOff>1076325</xdr:colOff>
          <xdr:row>16</xdr:row>
          <xdr:rowOff>361950</xdr:rowOff>
        </xdr:to>
        <xdr:sp macro="" textlink="">
          <xdr:nvSpPr>
            <xdr:cNvPr id="19466" name="Drop Down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8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15</xdr:row>
          <xdr:rowOff>66675</xdr:rowOff>
        </xdr:from>
        <xdr:to>
          <xdr:col>6</xdr:col>
          <xdr:colOff>1047750</xdr:colOff>
          <xdr:row>15</xdr:row>
          <xdr:rowOff>381000</xdr:rowOff>
        </xdr:to>
        <xdr:sp macro="" textlink="">
          <xdr:nvSpPr>
            <xdr:cNvPr id="19468" name="Drop Down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8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18</xdr:row>
          <xdr:rowOff>85725</xdr:rowOff>
        </xdr:from>
        <xdr:to>
          <xdr:col>6</xdr:col>
          <xdr:colOff>971550</xdr:colOff>
          <xdr:row>18</xdr:row>
          <xdr:rowOff>314325</xdr:rowOff>
        </xdr:to>
        <xdr:sp macro="" textlink="">
          <xdr:nvSpPr>
            <xdr:cNvPr id="19469" name="Check Box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8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Pgto dos Juros mensal após a Carência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847725</xdr:colOff>
          <xdr:row>2</xdr:row>
          <xdr:rowOff>333375</xdr:rowOff>
        </xdr:from>
        <xdr:to>
          <xdr:col>4</xdr:col>
          <xdr:colOff>295275</xdr:colOff>
          <xdr:row>3</xdr:row>
          <xdr:rowOff>190500</xdr:rowOff>
        </xdr:to>
        <xdr:sp macro="" textlink="">
          <xdr:nvSpPr>
            <xdr:cNvPr id="21505" name="Drop Dow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9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14</xdr:row>
          <xdr:rowOff>47625</xdr:rowOff>
        </xdr:from>
        <xdr:to>
          <xdr:col>6</xdr:col>
          <xdr:colOff>1057275</xdr:colOff>
          <xdr:row>14</xdr:row>
          <xdr:rowOff>238125</xdr:rowOff>
        </xdr:to>
        <xdr:sp macro="" textlink="">
          <xdr:nvSpPr>
            <xdr:cNvPr id="21506" name="Drop Dow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9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77210</xdr:colOff>
      <xdr:row>0</xdr:row>
      <xdr:rowOff>63500</xdr:rowOff>
    </xdr:from>
    <xdr:to>
      <xdr:col>1</xdr:col>
      <xdr:colOff>815346</xdr:colOff>
      <xdr:row>0</xdr:row>
      <xdr:rowOff>875681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63500"/>
          <a:ext cx="1652536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15</xdr:row>
          <xdr:rowOff>123825</xdr:rowOff>
        </xdr:from>
        <xdr:to>
          <xdr:col>6</xdr:col>
          <xdr:colOff>1085850</xdr:colOff>
          <xdr:row>15</xdr:row>
          <xdr:rowOff>342900</xdr:rowOff>
        </xdr:to>
        <xdr:sp macro="" textlink="">
          <xdr:nvSpPr>
            <xdr:cNvPr id="21510" name="Drop Down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9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18</xdr:row>
          <xdr:rowOff>104775</xdr:rowOff>
        </xdr:from>
        <xdr:to>
          <xdr:col>6</xdr:col>
          <xdr:colOff>790575</xdr:colOff>
          <xdr:row>18</xdr:row>
          <xdr:rowOff>333375</xdr:rowOff>
        </xdr:to>
        <xdr:sp macro="" textlink="">
          <xdr:nvSpPr>
            <xdr:cNvPr id="21512" name="Check Box 8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09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Pagamento mensal após a Carência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16</xdr:row>
          <xdr:rowOff>123825</xdr:rowOff>
        </xdr:from>
        <xdr:to>
          <xdr:col>6</xdr:col>
          <xdr:colOff>1095375</xdr:colOff>
          <xdr:row>16</xdr:row>
          <xdr:rowOff>342900</xdr:rowOff>
        </xdr:to>
        <xdr:sp macro="" textlink="">
          <xdr:nvSpPr>
            <xdr:cNvPr id="21513" name="Drop Down 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09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847725</xdr:colOff>
          <xdr:row>2</xdr:row>
          <xdr:rowOff>333375</xdr:rowOff>
        </xdr:from>
        <xdr:to>
          <xdr:col>4</xdr:col>
          <xdr:colOff>704850</xdr:colOff>
          <xdr:row>3</xdr:row>
          <xdr:rowOff>190500</xdr:rowOff>
        </xdr:to>
        <xdr:sp macro="" textlink="">
          <xdr:nvSpPr>
            <xdr:cNvPr id="30721" name="Drop Down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A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</xdr:row>
          <xdr:rowOff>47625</xdr:rowOff>
        </xdr:from>
        <xdr:to>
          <xdr:col>6</xdr:col>
          <xdr:colOff>1047750</xdr:colOff>
          <xdr:row>14</xdr:row>
          <xdr:rowOff>238125</xdr:rowOff>
        </xdr:to>
        <xdr:sp macro="" textlink="">
          <xdr:nvSpPr>
            <xdr:cNvPr id="30722" name="Drop Down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A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77210</xdr:colOff>
      <xdr:row>0</xdr:row>
      <xdr:rowOff>63500</xdr:rowOff>
    </xdr:from>
    <xdr:to>
      <xdr:col>1</xdr:col>
      <xdr:colOff>815346</xdr:colOff>
      <xdr:row>0</xdr:row>
      <xdr:rowOff>875681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63500"/>
          <a:ext cx="1652536" cy="8121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228600</xdr:rowOff>
        </xdr:from>
        <xdr:to>
          <xdr:col>6</xdr:col>
          <xdr:colOff>1047750</xdr:colOff>
          <xdr:row>16</xdr:row>
          <xdr:rowOff>409575</xdr:rowOff>
        </xdr:to>
        <xdr:sp macro="" textlink="">
          <xdr:nvSpPr>
            <xdr:cNvPr id="30723" name="Drop Down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A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18</xdr:row>
          <xdr:rowOff>114300</xdr:rowOff>
        </xdr:from>
        <xdr:to>
          <xdr:col>119</xdr:col>
          <xdr:colOff>9525</xdr:colOff>
          <xdr:row>18</xdr:row>
          <xdr:rowOff>342900</xdr:rowOff>
        </xdr:to>
        <xdr:sp macro="" textlink="">
          <xdr:nvSpPr>
            <xdr:cNvPr id="30724" name="Check Box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A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Pagamento mensal dos juros após a Carência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16</xdr:row>
          <xdr:rowOff>209550</xdr:rowOff>
        </xdr:from>
        <xdr:to>
          <xdr:col>4</xdr:col>
          <xdr:colOff>1133475</xdr:colOff>
          <xdr:row>16</xdr:row>
          <xdr:rowOff>409575</xdr:rowOff>
        </xdr:to>
        <xdr:sp macro="" textlink="">
          <xdr:nvSpPr>
            <xdr:cNvPr id="30725" name="Drop Down 5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A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47625</xdr:rowOff>
        </xdr:from>
        <xdr:to>
          <xdr:col>6</xdr:col>
          <xdr:colOff>38100</xdr:colOff>
          <xdr:row>14</xdr:row>
          <xdr:rowOff>266700</xdr:rowOff>
        </xdr:to>
        <xdr:sp macro="" textlink="">
          <xdr:nvSpPr>
            <xdr:cNvPr id="30726" name="Drop Down 6" hidden="1">
              <a:extLst>
                <a:ext uri="{63B3BB69-23CF-44E3-9099-C40C66FF867C}">
                  <a14:compatExt spid="_x0000_s30726"/>
                </a:ext>
                <a:ext uri="{FF2B5EF4-FFF2-40B4-BE49-F238E27FC236}">
                  <a16:creationId xmlns:a16="http://schemas.microsoft.com/office/drawing/2014/main" id="{00000000-0008-0000-0A00-000006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15</xdr:row>
          <xdr:rowOff>38100</xdr:rowOff>
        </xdr:from>
        <xdr:to>
          <xdr:col>6</xdr:col>
          <xdr:colOff>1076325</xdr:colOff>
          <xdr:row>15</xdr:row>
          <xdr:rowOff>238125</xdr:rowOff>
        </xdr:to>
        <xdr:sp macro="" textlink="">
          <xdr:nvSpPr>
            <xdr:cNvPr id="30730" name="Drop Down 10" hidden="1">
              <a:extLst>
                <a:ext uri="{63B3BB69-23CF-44E3-9099-C40C66FF867C}">
                  <a14:compatExt spid="_x0000_s30730"/>
                </a:ext>
                <a:ext uri="{FF2B5EF4-FFF2-40B4-BE49-F238E27FC236}">
                  <a16:creationId xmlns:a16="http://schemas.microsoft.com/office/drawing/2014/main" id="{00000000-0008-0000-0A00-00000A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1262063</xdr:colOff>
      <xdr:row>15</xdr:row>
      <xdr:rowOff>428625</xdr:rowOff>
    </xdr:from>
    <xdr:to>
      <xdr:col>6</xdr:col>
      <xdr:colOff>1143000</xdr:colOff>
      <xdr:row>16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016626" y="3246438"/>
          <a:ext cx="1166812" cy="238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Pagamento os Juros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12" Type="http://schemas.openxmlformats.org/officeDocument/2006/relationships/comments" Target="../comments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5.xml"/><Relationship Id="rId11" Type="http://schemas.openxmlformats.org/officeDocument/2006/relationships/comments" Target="../comments4.xml"/><Relationship Id="rId5" Type="http://schemas.openxmlformats.org/officeDocument/2006/relationships/ctrlProp" Target="../ctrlProps/ctrlProp2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2.xml"/><Relationship Id="rId11" Type="http://schemas.openxmlformats.org/officeDocument/2006/relationships/comments" Target="../comments5.xml"/><Relationship Id="rId5" Type="http://schemas.openxmlformats.org/officeDocument/2006/relationships/ctrlProp" Target="../ctrlProps/ctrlProp31.xml"/><Relationship Id="rId10" Type="http://schemas.openxmlformats.org/officeDocument/2006/relationships/ctrlProp" Target="../ctrlProps/ctrlProp36.xml"/><Relationship Id="rId4" Type="http://schemas.openxmlformats.org/officeDocument/2006/relationships/ctrlProp" Target="../ctrlProps/ctrlProp30.xml"/><Relationship Id="rId9" Type="http://schemas.openxmlformats.org/officeDocument/2006/relationships/ctrlProp" Target="../ctrlProps/ctrlProp3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5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4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Relationship Id="rId9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4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8.xml"/><Relationship Id="rId5" Type="http://schemas.openxmlformats.org/officeDocument/2006/relationships/ctrlProp" Target="../ctrlProps/ctrlProp47.xml"/><Relationship Id="rId4" Type="http://schemas.openxmlformats.org/officeDocument/2006/relationships/ctrlProp" Target="../ctrlProps/ctrlProp46.xml"/><Relationship Id="rId9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5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5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Relationship Id="rId9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59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58.xml"/><Relationship Id="rId11" Type="http://schemas.openxmlformats.org/officeDocument/2006/relationships/comments" Target="../comments10.xml"/><Relationship Id="rId5" Type="http://schemas.openxmlformats.org/officeDocument/2006/relationships/ctrlProp" Target="../ctrlProps/ctrlProp57.xml"/><Relationship Id="rId10" Type="http://schemas.openxmlformats.org/officeDocument/2006/relationships/ctrlProp" Target="../ctrlProps/ctrlProp62.xml"/><Relationship Id="rId4" Type="http://schemas.openxmlformats.org/officeDocument/2006/relationships/ctrlProp" Target="../ctrlProps/ctrlProp56.xml"/><Relationship Id="rId9" Type="http://schemas.openxmlformats.org/officeDocument/2006/relationships/ctrlProp" Target="../ctrlProps/ctrlProp6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BB437"/>
  <sheetViews>
    <sheetView showGridLines="0" topLeftCell="A2" zoomScaleNormal="100" zoomScaleSheetLayoutView="115" workbookViewId="0">
      <selection activeCell="A14" sqref="A14:F14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4" width="19.28515625" style="21" customWidth="1"/>
    <col min="5" max="5" width="18.28515625" style="21" customWidth="1"/>
    <col min="6" max="6" width="17.42578125" style="21" customWidth="1"/>
    <col min="7" max="7" width="16.7109375" style="21" hidden="1" customWidth="1"/>
    <col min="8" max="9" width="9.1406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2.5703125" style="2" hidden="1" customWidth="1"/>
    <col min="31" max="31" width="15.42578125" style="2" hidden="1" customWidth="1"/>
    <col min="32" max="32" width="17.2851562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6" width="17.140625" style="2" hidden="1" customWidth="1"/>
    <col min="37" max="37" width="19.85546875" style="2" hidden="1" customWidth="1"/>
    <col min="38" max="38" width="14.85546875" style="2" hidden="1" customWidth="1"/>
    <col min="39" max="39" width="9.140625" style="2" hidden="1" customWidth="1"/>
    <col min="40" max="40" width="14.42578125" style="2" hidden="1" customWidth="1"/>
    <col min="41" max="41" width="12.140625" style="2" hidden="1" customWidth="1"/>
    <col min="42" max="54" width="9.140625" style="2" hidden="1" customWidth="1"/>
    <col min="55" max="64" width="9.140625" style="2" customWidth="1"/>
    <col min="65" max="16384" width="9.140625" style="2"/>
  </cols>
  <sheetData>
    <row r="1" spans="1:41" ht="71.25" customHeight="1" x14ac:dyDescent="0.25">
      <c r="A1" s="227" t="s">
        <v>59</v>
      </c>
      <c r="B1" s="227"/>
      <c r="C1" s="227"/>
      <c r="D1" s="227"/>
      <c r="E1" s="227"/>
      <c r="F1" s="245"/>
      <c r="G1" s="2"/>
      <c r="AA1" s="2">
        <v>2</v>
      </c>
      <c r="AB1" s="2">
        <v>2</v>
      </c>
    </row>
    <row r="2" spans="1:41" ht="39" customHeight="1" x14ac:dyDescent="0.25">
      <c r="A2" s="225" t="s">
        <v>57</v>
      </c>
      <c r="B2" s="225"/>
      <c r="C2" s="225"/>
      <c r="D2" s="225"/>
      <c r="E2" s="225"/>
      <c r="F2" s="244"/>
      <c r="G2" s="2"/>
      <c r="H2" s="11"/>
    </row>
    <row r="3" spans="1:41" ht="27.75" customHeight="1" x14ac:dyDescent="0.25">
      <c r="A3" s="240" t="s">
        <v>7</v>
      </c>
      <c r="B3" s="240"/>
      <c r="C3" s="240"/>
      <c r="D3" s="240"/>
      <c r="E3" s="240"/>
      <c r="F3" s="240"/>
      <c r="G3" s="2"/>
      <c r="AA3" s="2" t="s">
        <v>37</v>
      </c>
      <c r="AB3" s="2" t="s">
        <v>38</v>
      </c>
    </row>
    <row r="4" spans="1:41" ht="17.25" customHeight="1" x14ac:dyDescent="0.25">
      <c r="A4" s="54" t="s">
        <v>0</v>
      </c>
      <c r="B4" s="38"/>
      <c r="C4" s="55"/>
      <c r="D4" s="31"/>
      <c r="E4" s="54"/>
      <c r="F4" s="56"/>
      <c r="G4" s="2"/>
      <c r="J4" s="2">
        <v>7</v>
      </c>
      <c r="K4" s="2">
        <v>1</v>
      </c>
      <c r="N4" s="78" t="s">
        <v>0</v>
      </c>
      <c r="O4" s="78" t="s">
        <v>1</v>
      </c>
      <c r="P4" s="78" t="s">
        <v>55</v>
      </c>
      <c r="Q4" s="78" t="s">
        <v>2</v>
      </c>
      <c r="R4" s="78" t="s">
        <v>3</v>
      </c>
      <c r="S4" s="78" t="s">
        <v>5</v>
      </c>
      <c r="T4" s="78" t="s">
        <v>9</v>
      </c>
      <c r="U4" s="78" t="s">
        <v>8</v>
      </c>
      <c r="V4" s="78" t="s">
        <v>25</v>
      </c>
      <c r="AA4" s="2" t="s">
        <v>41</v>
      </c>
      <c r="AB4" s="2" t="s">
        <v>41</v>
      </c>
    </row>
    <row r="5" spans="1:41" ht="17.25" hidden="1" customHeight="1" x14ac:dyDescent="0.25">
      <c r="A5" s="31"/>
      <c r="B5" s="38"/>
      <c r="C5" s="31"/>
      <c r="D5" s="31"/>
      <c r="E5" s="31"/>
      <c r="F5" s="57"/>
      <c r="G5" s="58"/>
      <c r="N5" s="79" t="s">
        <v>24</v>
      </c>
      <c r="O5" s="81">
        <v>2.1700000000000001E-2</v>
      </c>
      <c r="P5" s="81">
        <v>1.7399999999999999E-2</v>
      </c>
      <c r="Q5" s="81">
        <f>P5</f>
        <v>1.7399999999999999E-2</v>
      </c>
      <c r="R5" s="81">
        <f>Q5</f>
        <v>1.7399999999999999E-2</v>
      </c>
      <c r="S5" s="79">
        <v>60</v>
      </c>
      <c r="T5" s="79">
        <v>12</v>
      </c>
      <c r="U5" s="85">
        <v>400000</v>
      </c>
      <c r="V5" s="79" t="s">
        <v>91</v>
      </c>
      <c r="AA5" s="2" t="s">
        <v>42</v>
      </c>
      <c r="AB5" s="2" t="s">
        <v>42</v>
      </c>
    </row>
    <row r="6" spans="1:41" ht="17.25" hidden="1" customHeight="1" x14ac:dyDescent="0.3">
      <c r="A6" s="31"/>
      <c r="B6" s="59"/>
      <c r="C6" s="60" t="str">
        <f>IF(AND(J4=1,K4=1),Q5,IF(AND(J4=1,K4=2),R5,IF(AND(J4=1,K4=3),P5,"-")))</f>
        <v>-</v>
      </c>
      <c r="D6" s="57"/>
      <c r="E6" s="57"/>
      <c r="F6" s="57"/>
      <c r="G6" s="58"/>
      <c r="N6" s="79" t="s">
        <v>23</v>
      </c>
      <c r="O6" s="82">
        <v>2.1299999999999999E-2</v>
      </c>
      <c r="P6" s="82">
        <v>1.7000000000000001E-2</v>
      </c>
      <c r="Q6" s="82">
        <f>P6</f>
        <v>1.7000000000000001E-2</v>
      </c>
      <c r="R6" s="82">
        <f>Q6</f>
        <v>1.7000000000000001E-2</v>
      </c>
      <c r="S6" s="79">
        <v>60</v>
      </c>
      <c r="T6" s="79">
        <v>12</v>
      </c>
      <c r="U6" s="86">
        <v>400000</v>
      </c>
      <c r="V6" s="79" t="s">
        <v>92</v>
      </c>
    </row>
    <row r="7" spans="1:41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79" t="s">
        <v>69</v>
      </c>
      <c r="O7" s="82">
        <v>2.0899999999999998E-2</v>
      </c>
      <c r="P7" s="82">
        <v>1.67E-2</v>
      </c>
      <c r="Q7" s="82">
        <f t="shared" ref="Q7:Q12" si="0">P7</f>
        <v>1.67E-2</v>
      </c>
      <c r="R7" s="82">
        <f t="shared" ref="R7:R9" si="1">Q7</f>
        <v>1.67E-2</v>
      </c>
      <c r="S7" s="79">
        <v>60</v>
      </c>
      <c r="T7" s="79">
        <v>12</v>
      </c>
      <c r="U7" s="86">
        <v>400000</v>
      </c>
      <c r="V7" s="79"/>
    </row>
    <row r="8" spans="1:41" ht="17.25" hidden="1" customHeight="1" x14ac:dyDescent="0.3">
      <c r="A8" s="31"/>
      <c r="B8" s="61"/>
      <c r="C8" s="60" t="str">
        <f>IF(AND(J4=3,K4=1),Q7,IF(AND(J4=3,K4=2),R7,IF(AND(J4=3,K4=3),P7,"-")))</f>
        <v>-</v>
      </c>
      <c r="D8" s="57"/>
      <c r="E8" s="57"/>
      <c r="F8" s="57"/>
      <c r="G8" s="58"/>
      <c r="N8" s="79" t="s">
        <v>70</v>
      </c>
      <c r="O8" s="82">
        <v>2.06E-2</v>
      </c>
      <c r="P8" s="82">
        <v>1.6500000000000001E-2</v>
      </c>
      <c r="Q8" s="82">
        <f t="shared" si="0"/>
        <v>1.6500000000000001E-2</v>
      </c>
      <c r="R8" s="82">
        <f t="shared" si="1"/>
        <v>1.6500000000000001E-2</v>
      </c>
      <c r="S8" s="79">
        <v>60</v>
      </c>
      <c r="T8" s="79">
        <v>12</v>
      </c>
      <c r="U8" s="86">
        <v>400000</v>
      </c>
      <c r="V8" s="79"/>
    </row>
    <row r="9" spans="1:41" ht="17.25" hidden="1" customHeight="1" x14ac:dyDescent="0.3">
      <c r="A9" s="31"/>
      <c r="B9" s="61"/>
      <c r="C9" s="60" t="str">
        <f>IF(AND(J4=4,K4=1),Q8,IF(AND(J4=4,K4=2),R8,IF(AND(J4=4,K4=3),P8,"-")))</f>
        <v>-</v>
      </c>
      <c r="D9" s="57"/>
      <c r="E9" s="57"/>
      <c r="F9" s="57"/>
      <c r="G9" s="58"/>
      <c r="N9" s="79" t="s">
        <v>125</v>
      </c>
      <c r="O9" s="82">
        <v>2.06E-2</v>
      </c>
      <c r="P9" s="82">
        <v>1.6500000000000001E-2</v>
      </c>
      <c r="Q9" s="82">
        <f t="shared" si="0"/>
        <v>1.6500000000000001E-2</v>
      </c>
      <c r="R9" s="82">
        <f t="shared" si="1"/>
        <v>1.6500000000000001E-2</v>
      </c>
      <c r="S9" s="79">
        <v>60</v>
      </c>
      <c r="T9" s="79">
        <v>6</v>
      </c>
      <c r="U9" s="86">
        <v>400000</v>
      </c>
      <c r="V9" s="79"/>
    </row>
    <row r="10" spans="1:41" ht="17.25" hidden="1" customHeight="1" x14ac:dyDescent="0.3">
      <c r="A10" s="31"/>
      <c r="B10" s="61"/>
      <c r="C10" s="60" t="str">
        <f>IF(AND(J4=5,K4=1),Q9,IF(AND(J4=5,K4=2),R9,IF(AND(J4=5,K4=3),P9,"-")))</f>
        <v>-</v>
      </c>
      <c r="D10" s="57"/>
      <c r="E10" s="57"/>
      <c r="F10" s="57"/>
      <c r="G10" s="58"/>
      <c r="N10" s="80" t="s">
        <v>126</v>
      </c>
      <c r="O10" s="82">
        <v>2.06E-2</v>
      </c>
      <c r="P10" s="82">
        <v>1.6500000000000001E-2</v>
      </c>
      <c r="Q10" s="82">
        <f t="shared" si="0"/>
        <v>1.6500000000000001E-2</v>
      </c>
      <c r="R10" s="82">
        <f>R9</f>
        <v>1.6500000000000001E-2</v>
      </c>
      <c r="S10" s="79">
        <v>60</v>
      </c>
      <c r="T10" s="79">
        <v>6</v>
      </c>
      <c r="U10" s="86">
        <v>30000</v>
      </c>
      <c r="V10" s="79"/>
    </row>
    <row r="11" spans="1:41" ht="17.25" hidden="1" customHeight="1" x14ac:dyDescent="0.3">
      <c r="A11" s="31"/>
      <c r="B11" s="61"/>
      <c r="C11" s="62" t="str">
        <f>IF(AND(J4=6,K4=1),Q10,IF(AND(J4=6,K4=2),R10,IF(AND(J4=6,K4=3),P10,"-")))</f>
        <v>-</v>
      </c>
      <c r="D11" s="57"/>
      <c r="E11" s="57"/>
      <c r="F11" s="57"/>
      <c r="G11" s="58"/>
      <c r="N11" s="80" t="s">
        <v>206</v>
      </c>
      <c r="O11" s="83">
        <v>2.06E-2</v>
      </c>
      <c r="P11" s="83">
        <v>1.6500000000000001E-2</v>
      </c>
      <c r="Q11" s="83">
        <f t="shared" si="0"/>
        <v>1.6500000000000001E-2</v>
      </c>
      <c r="R11" s="83">
        <f>Q11</f>
        <v>1.6500000000000001E-2</v>
      </c>
      <c r="S11" s="80">
        <v>60</v>
      </c>
      <c r="T11" s="80">
        <v>12</v>
      </c>
      <c r="U11" s="87">
        <v>400000</v>
      </c>
      <c r="V11" s="79"/>
    </row>
    <row r="12" spans="1:41" ht="17.25" hidden="1" customHeight="1" x14ac:dyDescent="0.3">
      <c r="A12" s="31"/>
      <c r="B12" s="61"/>
      <c r="C12" s="60">
        <f>IF(AND(J4=7,K4=1),Q11,IF(AND(J4=7,K4=2),R11,IF(AND(J4=7,K4=3),P11,"-")))</f>
        <v>1.6500000000000001E-2</v>
      </c>
      <c r="D12" s="57"/>
      <c r="E12" s="57"/>
      <c r="F12" s="57"/>
      <c r="G12" s="58"/>
      <c r="N12" s="2" t="s">
        <v>73</v>
      </c>
      <c r="O12" s="84">
        <v>2.06E-2</v>
      </c>
      <c r="P12" s="84">
        <v>1.6500000000000001E-2</v>
      </c>
      <c r="Q12" s="84">
        <f t="shared" si="0"/>
        <v>1.6500000000000001E-2</v>
      </c>
      <c r="R12" s="84">
        <f>Q12</f>
        <v>1.6500000000000001E-2</v>
      </c>
      <c r="S12" s="2">
        <v>36</v>
      </c>
      <c r="T12" s="2">
        <v>12</v>
      </c>
      <c r="U12" s="23">
        <v>21000</v>
      </c>
    </row>
    <row r="13" spans="1:41" ht="17.25" hidden="1" customHeight="1" x14ac:dyDescent="0.3">
      <c r="A13" s="31"/>
      <c r="B13" s="61"/>
      <c r="C13" s="60" t="str">
        <f>IF(AND(J4=8,K4=1),Q12,IF(AND(J4=8,K4=2),R12,IF(AND(J4=8,K4=3),P12,"-")))</f>
        <v>-</v>
      </c>
      <c r="D13" s="57"/>
      <c r="E13" s="57"/>
      <c r="F13" s="57"/>
      <c r="G13" s="58"/>
    </row>
    <row r="14" spans="1:41" ht="28.5" customHeight="1" x14ac:dyDescent="0.25">
      <c r="A14" s="242" t="s">
        <v>17</v>
      </c>
      <c r="B14" s="246"/>
      <c r="C14" s="246"/>
      <c r="D14" s="246"/>
      <c r="E14" s="246"/>
      <c r="F14" s="243"/>
      <c r="G14" s="2"/>
      <c r="AK14" s="2" t="s">
        <v>37</v>
      </c>
      <c r="AL14" s="23">
        <f>F15</f>
        <v>2000</v>
      </c>
      <c r="AM14" s="95">
        <f ca="1">AL14/AL16</f>
        <v>3.3591696495416691E-2</v>
      </c>
    </row>
    <row r="15" spans="1:41" ht="35.25" customHeight="1" x14ac:dyDescent="0.25">
      <c r="A15" s="34" t="s">
        <v>10</v>
      </c>
      <c r="B15" s="150">
        <v>100000</v>
      </c>
      <c r="C15" s="63" t="s">
        <v>49</v>
      </c>
      <c r="D15" s="152">
        <f>IF(J4=1,O5,IF(J4=2,O6,IF(J4=3,O7,IF(J4=4,O8,IF(J4=5,O9,IF(J4=6,O10,IF(J4=7,O11,IF(J4=8,O12))))))))</f>
        <v>2.06E-2</v>
      </c>
      <c r="E15" s="201">
        <f ca="1">AJ22</f>
        <v>1.7859866497962784E-2</v>
      </c>
      <c r="F15" s="135">
        <f>IF(B15&lt;=3000,50,IF(B15&lt;=21000,IF(B15*0.03&lt;=420,B15*0.03,420),IF(B15&lt;=100000,B15*0.02,2000+B15*0.005)))</f>
        <v>2000</v>
      </c>
      <c r="H15"/>
      <c r="I15"/>
      <c r="J15" s="2">
        <v>4</v>
      </c>
      <c r="K15"/>
      <c r="L15" s="7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s="2" t="s">
        <v>14</v>
      </c>
      <c r="AL15" s="23">
        <f ca="1">C22</f>
        <v>57538.5231666666</v>
      </c>
      <c r="AM15" s="95">
        <f ca="1">AL15/AL16</f>
        <v>0.96640830350458329</v>
      </c>
    </row>
    <row r="16" spans="1:41" ht="35.25" customHeight="1" x14ac:dyDescent="0.25">
      <c r="A16" s="35" t="s">
        <v>6</v>
      </c>
      <c r="B16" s="133">
        <v>6</v>
      </c>
      <c r="C16" s="64" t="s">
        <v>52</v>
      </c>
      <c r="D16" s="152">
        <f>LARGE(C6:C13,1)</f>
        <v>1.6500000000000001E-2</v>
      </c>
      <c r="E16" s="51"/>
      <c r="F16" s="123">
        <f ca="1">AF24</f>
        <v>1507.5</v>
      </c>
      <c r="H16"/>
      <c r="I16"/>
      <c r="J16" s="2">
        <v>2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s="2" t="s">
        <v>60</v>
      </c>
      <c r="AL16" s="140">
        <f ca="1">SUM(AL14:AL15)</f>
        <v>59538.5231666666</v>
      </c>
      <c r="AN16" s="121"/>
      <c r="AO16" s="23"/>
    </row>
    <row r="17" spans="1:41" ht="35.25" customHeight="1" x14ac:dyDescent="0.25">
      <c r="A17" s="35" t="s">
        <v>22</v>
      </c>
      <c r="B17" s="133">
        <v>60</v>
      </c>
      <c r="C17" s="34" t="s">
        <v>11</v>
      </c>
      <c r="D17" s="147">
        <f ca="1">TODAY()</f>
        <v>46240</v>
      </c>
      <c r="E17" s="120"/>
      <c r="F17" s="181">
        <f>IF(J21=TRUE,IF(K4=1,(B15*E19*0.001*B17),IF(K4=2,(F19*0.001*B17),IF(K4=3,0,""))),0)</f>
        <v>0</v>
      </c>
      <c r="H17"/>
      <c r="I17"/>
      <c r="J17" s="2" t="s">
        <v>41</v>
      </c>
      <c r="K17"/>
      <c r="L17" t="b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s="189">
        <v>100000</v>
      </c>
      <c r="AK17"/>
      <c r="AL17"/>
      <c r="AN17" s="122"/>
      <c r="AO17" s="23"/>
    </row>
    <row r="18" spans="1:41" ht="23.25" customHeight="1" x14ac:dyDescent="0.25">
      <c r="A18" s="242" t="s">
        <v>65</v>
      </c>
      <c r="B18" s="246"/>
      <c r="C18" s="246"/>
      <c r="D18" s="243"/>
      <c r="E18" s="117"/>
      <c r="F18" s="117"/>
      <c r="H18"/>
      <c r="I18"/>
      <c r="J18" s="2" t="s">
        <v>42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s="209">
        <f ca="1">AJ22</f>
        <v>1.7859866497962784E-2</v>
      </c>
      <c r="AK18"/>
      <c r="AL18" s="210">
        <f ca="1">PMT(AJ18,AJ19,-AJ17)</f>
        <v>2729.6846378193432</v>
      </c>
      <c r="AO18" s="23"/>
    </row>
    <row r="19" spans="1:41" ht="34.5" customHeight="1" x14ac:dyDescent="0.25">
      <c r="A19" s="34" t="s">
        <v>63</v>
      </c>
      <c r="B19" s="43">
        <f ca="1">IF(LARGE(F23:F241,1)*3&lt;2424,2424,LARGE(F23:F241,1)*3)</f>
        <v>10679.176805555555</v>
      </c>
      <c r="C19" s="42" t="s">
        <v>64</v>
      </c>
      <c r="D19" s="43">
        <f>IF(J21=TRUE,(B15-F19)*1.5/0.7,B15*1.5/0.7)</f>
        <v>214285.71428571429</v>
      </c>
      <c r="E19" s="151">
        <v>0.8</v>
      </c>
      <c r="F19" s="164">
        <f>IF(J21=TRUE,IF(K4=1,(B15*E19),IF(K4=2,B15*E19,IF(K4=3,0,""))),0)</f>
        <v>0</v>
      </c>
      <c r="H19"/>
      <c r="I19"/>
      <c r="J19" t="s">
        <v>68</v>
      </c>
      <c r="K19"/>
      <c r="L19" s="2" t="b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s="211">
        <f>B17</f>
        <v>60</v>
      </c>
      <c r="AK19"/>
      <c r="AL19"/>
    </row>
    <row r="20" spans="1:41" s="25" customFormat="1" ht="23.25" x14ac:dyDescent="0.25">
      <c r="A20" s="229" t="s">
        <v>31</v>
      </c>
      <c r="B20" s="230"/>
      <c r="C20" s="230"/>
      <c r="D20" s="230"/>
      <c r="E20" s="230"/>
      <c r="F20" s="231"/>
      <c r="G20" s="21"/>
      <c r="J20" s="25" t="s">
        <v>42</v>
      </c>
      <c r="AK20" s="26"/>
    </row>
    <row r="21" spans="1:41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56</v>
      </c>
      <c r="J21" s="2" t="b">
        <v>0</v>
      </c>
      <c r="AB21" s="232" t="s">
        <v>45</v>
      </c>
      <c r="AC21" s="232"/>
      <c r="AD21" s="232"/>
      <c r="AE21" s="232"/>
      <c r="AF21" s="232"/>
      <c r="AG21" s="232"/>
      <c r="AJ21" s="202" t="s">
        <v>179</v>
      </c>
      <c r="AK21" s="202" t="s">
        <v>180</v>
      </c>
    </row>
    <row r="22" spans="1:41" ht="18.75" x14ac:dyDescent="0.25">
      <c r="A22" s="235" t="s">
        <v>60</v>
      </c>
      <c r="B22" s="236"/>
      <c r="C22" s="169">
        <f ca="1">SUM(C23:C242)</f>
        <v>57538.5231666666</v>
      </c>
      <c r="D22" s="169">
        <f ca="1">SUM(D23:D242)</f>
        <v>103117.77777777788</v>
      </c>
      <c r="E22" s="234"/>
      <c r="F22" s="169">
        <f ca="1">SUM(F23:F242)</f>
        <v>160656.28444444441</v>
      </c>
      <c r="AB22" s="232"/>
      <c r="AC22" s="232"/>
      <c r="AD22" s="232"/>
      <c r="AE22" s="232"/>
      <c r="AF22" s="232"/>
      <c r="AG22" s="232"/>
      <c r="AJ22" s="183">
        <f ca="1">IRR(AJ23:AJ107)</f>
        <v>1.7859866497962784E-2</v>
      </c>
      <c r="AK22" s="183">
        <f ca="1">IRR(AK23:AK107)</f>
        <v>2.2073317302683249E-2</v>
      </c>
    </row>
    <row r="23" spans="1:41" x14ac:dyDescent="0.25">
      <c r="A23" s="68">
        <v>0</v>
      </c>
      <c r="B23" s="68"/>
      <c r="C23" s="161">
        <f>D16</f>
        <v>1.6500000000000001E-2</v>
      </c>
      <c r="D23" s="156"/>
      <c r="E23" s="162">
        <f ca="1">IF(AND(AA1=1,AB1=1,J16=1),B15,IF(AND(AA1=1,AB1=1,J16=2),B15+F17,IF(AND(AA1=1,AB1=2,J16=1),B15+F16,IF(AND(AA1=1,AB1=2,J16=3),B15+F16,IF(AND(AA1=2,AB1=1,J16=1),B15+F15,IF(AND(AA1=2,AB1=1,J16=2),B15+F15+F17,IF(AND(AA1=2,AB1=2,J16=2),B15+F17+F16+F15,IF(AND(AA1=2,AB1=2,J16=3),B15+F15+F16,IF(AND(AA1=2,AB1=2,J16=1),B15+F15+F16,IF(AND(AA1=1,AB1=2,J16=2),B15+F16+F17, IF(AND(AA1=1,AB1=1,J16=3),B15)))))))))))</f>
        <v>103507.5</v>
      </c>
      <c r="F23" s="163"/>
      <c r="G23" s="67"/>
      <c r="AB23" s="232"/>
      <c r="AC23" s="232"/>
      <c r="AD23" s="232"/>
      <c r="AE23" s="232"/>
      <c r="AF23" s="232"/>
      <c r="AG23" s="232"/>
      <c r="AJ23" s="190">
        <f>-B15</f>
        <v>-100000</v>
      </c>
      <c r="AK23" s="190">
        <f>AJ23</f>
        <v>-100000</v>
      </c>
    </row>
    <row r="24" spans="1:41" x14ac:dyDescent="0.25">
      <c r="A24" s="68">
        <f t="shared" ref="A24:A71" si="2">IF(A23&lt;B$17,A23+1,"")</f>
        <v>1</v>
      </c>
      <c r="B24" s="68" t="str">
        <f t="shared" ref="B24:B71" si="3">IF(A24="","",IF(A24&lt;=B$16,"carência","amortização"))</f>
        <v>carência</v>
      </c>
      <c r="C24" s="156">
        <f ca="1">IF(B24="","",E23*$C$23)</f>
        <v>1707.87375</v>
      </c>
      <c r="D24" s="156">
        <f t="shared" ref="D24:D35" ca="1" si="4">IF(C24="","",IF(A24&lt;=B$16,0,B$15/(B$17-B$16)))</f>
        <v>0</v>
      </c>
      <c r="E24" s="162">
        <f t="shared" ref="E24:E71" ca="1" si="5">IF(F24="","",E23-D24)</f>
        <v>103507.5</v>
      </c>
      <c r="F24" s="156">
        <f t="shared" ref="F24:F71" ca="1" si="6">IF(D24="","",D24+C24)</f>
        <v>1707.87375</v>
      </c>
      <c r="G24" s="67"/>
      <c r="AB24" s="2" t="s">
        <v>38</v>
      </c>
      <c r="AC24" s="6">
        <v>3.8E-3</v>
      </c>
      <c r="AE24" s="23">
        <f>AC27*AC24</f>
        <v>380</v>
      </c>
      <c r="AF24" s="23">
        <f ca="1">IF(L19=FALSE,0,IF(AND(AH25=TRUE,B15&lt;=30000),AE24+AE26,AE24+AE25))</f>
        <v>1507.5</v>
      </c>
      <c r="AJ24" s="190">
        <f ca="1">IF(A24&lt;=$B$17,F24,0)</f>
        <v>1707.87375</v>
      </c>
      <c r="AK24" s="190">
        <f ca="1">IF(A24&lt;=$B$17,E23*$D$15+D24,0)</f>
        <v>2132.2545</v>
      </c>
    </row>
    <row r="25" spans="1:41" x14ac:dyDescent="0.25">
      <c r="A25" s="68">
        <f t="shared" si="2"/>
        <v>2</v>
      </c>
      <c r="B25" s="68" t="str">
        <f t="shared" si="3"/>
        <v>carência</v>
      </c>
      <c r="C25" s="156">
        <f ca="1">IF(B25="","",E24*$C$23)</f>
        <v>1707.87375</v>
      </c>
      <c r="D25" s="156">
        <f t="shared" ca="1" si="4"/>
        <v>0</v>
      </c>
      <c r="E25" s="162">
        <f t="shared" ca="1" si="5"/>
        <v>103507.5</v>
      </c>
      <c r="F25" s="156">
        <f t="shared" ca="1" si="6"/>
        <v>1707.87375</v>
      </c>
      <c r="G25" s="67"/>
      <c r="AA25" s="3"/>
      <c r="AB25" s="2" t="s">
        <v>46</v>
      </c>
      <c r="AC25" s="6">
        <v>4.1E-5</v>
      </c>
      <c r="AE25" s="5">
        <f ca="1">SUM(AG30:AG83)</f>
        <v>1127.5</v>
      </c>
      <c r="AG25" s="13"/>
      <c r="AH25" s="14" t="b">
        <v>0</v>
      </c>
      <c r="AJ25" s="190">
        <f t="shared" ref="AJ25:AJ88" ca="1" si="7">IF(A25&lt;=$B$17,F25,0)</f>
        <v>1707.87375</v>
      </c>
      <c r="AK25" s="190">
        <f t="shared" ref="AK25:AK88" ca="1" si="8">IF(A25&lt;=$B$17,E24*$D$15+D25,0)</f>
        <v>2132.2545</v>
      </c>
    </row>
    <row r="26" spans="1:41" x14ac:dyDescent="0.25">
      <c r="A26" s="68">
        <f t="shared" si="2"/>
        <v>3</v>
      </c>
      <c r="B26" s="68" t="str">
        <f t="shared" si="3"/>
        <v>carência</v>
      </c>
      <c r="C26" s="156">
        <f t="shared" ref="C26:C86" ca="1" si="9">IF(B26="","",E25*$C$23)</f>
        <v>1707.87375</v>
      </c>
      <c r="D26" s="156">
        <f t="shared" ca="1" si="4"/>
        <v>0</v>
      </c>
      <c r="E26" s="162">
        <f t="shared" ca="1" si="5"/>
        <v>103507.5</v>
      </c>
      <c r="F26" s="156">
        <f t="shared" ca="1" si="6"/>
        <v>1707.87375</v>
      </c>
      <c r="G26" s="67"/>
      <c r="AB26" s="2" t="s">
        <v>51</v>
      </c>
      <c r="AC26" s="24">
        <f>0.00137/100</f>
        <v>1.3699999999999999E-5</v>
      </c>
      <c r="AE26" s="5">
        <f ca="1">SUM(AH30:AH308)</f>
        <v>376.75000000000017</v>
      </c>
      <c r="AJ26" s="190">
        <f t="shared" ca="1" si="7"/>
        <v>1707.87375</v>
      </c>
      <c r="AK26" s="190">
        <f t="shared" ca="1" si="8"/>
        <v>2132.2545</v>
      </c>
    </row>
    <row r="27" spans="1:41" x14ac:dyDescent="0.25">
      <c r="A27" s="68">
        <f t="shared" si="2"/>
        <v>4</v>
      </c>
      <c r="B27" s="68" t="str">
        <f t="shared" si="3"/>
        <v>carência</v>
      </c>
      <c r="C27" s="156">
        <f t="shared" ca="1" si="9"/>
        <v>1707.87375</v>
      </c>
      <c r="D27" s="156">
        <f t="shared" ca="1" si="4"/>
        <v>0</v>
      </c>
      <c r="E27" s="162">
        <f t="shared" ca="1" si="5"/>
        <v>103507.5</v>
      </c>
      <c r="F27" s="156">
        <f t="shared" ca="1" si="6"/>
        <v>1707.87375</v>
      </c>
      <c r="G27" s="67"/>
      <c r="AB27" s="2" t="s">
        <v>16</v>
      </c>
      <c r="AC27" s="5">
        <f>B15</f>
        <v>100000</v>
      </c>
      <c r="AG27" s="5"/>
      <c r="AJ27" s="190">
        <f t="shared" ca="1" si="7"/>
        <v>1707.87375</v>
      </c>
      <c r="AK27" s="190">
        <f t="shared" ca="1" si="8"/>
        <v>2132.2545</v>
      </c>
    </row>
    <row r="28" spans="1:41" x14ac:dyDescent="0.25">
      <c r="A28" s="68">
        <f t="shared" si="2"/>
        <v>5</v>
      </c>
      <c r="B28" s="68" t="str">
        <f t="shared" si="3"/>
        <v>carência</v>
      </c>
      <c r="C28" s="156">
        <f t="shared" ca="1" si="9"/>
        <v>1707.87375</v>
      </c>
      <c r="D28" s="156">
        <f t="shared" ca="1" si="4"/>
        <v>0</v>
      </c>
      <c r="E28" s="162">
        <f t="shared" ca="1" si="5"/>
        <v>103507.5</v>
      </c>
      <c r="F28" s="156">
        <f t="shared" ca="1" si="6"/>
        <v>1707.87375</v>
      </c>
      <c r="G28" s="67"/>
      <c r="AG28" s="2" t="s">
        <v>53</v>
      </c>
      <c r="AH28" s="2" t="s">
        <v>54</v>
      </c>
      <c r="AJ28" s="190">
        <f t="shared" ca="1" si="7"/>
        <v>1707.87375</v>
      </c>
      <c r="AK28" s="190">
        <f t="shared" ca="1" si="8"/>
        <v>2132.2545</v>
      </c>
    </row>
    <row r="29" spans="1:41" x14ac:dyDescent="0.25">
      <c r="A29" s="68">
        <f t="shared" si="2"/>
        <v>6</v>
      </c>
      <c r="B29" s="68" t="str">
        <f t="shared" si="3"/>
        <v>carência</v>
      </c>
      <c r="C29" s="156">
        <f t="shared" ca="1" si="9"/>
        <v>1707.87375</v>
      </c>
      <c r="D29" s="156">
        <f t="shared" ca="1" si="4"/>
        <v>0</v>
      </c>
      <c r="E29" s="162">
        <f t="shared" ca="1" si="5"/>
        <v>103507.5</v>
      </c>
      <c r="F29" s="156">
        <f t="shared" ca="1" si="6"/>
        <v>1707.87375</v>
      </c>
      <c r="G29" s="67"/>
      <c r="AA29" s="2">
        <v>0</v>
      </c>
      <c r="AB29" s="8">
        <f ca="1">D17</f>
        <v>46240</v>
      </c>
      <c r="AC29" s="9">
        <f ca="1">IF(AB29="","",AC27)</f>
        <v>100000</v>
      </c>
      <c r="AD29" s="9">
        <f>IF(AA29="","",IF(AA29&lt;=B$16,0,B$15/(B$17-B$16)))</f>
        <v>0</v>
      </c>
      <c r="AJ29" s="190">
        <f t="shared" ca="1" si="7"/>
        <v>1707.87375</v>
      </c>
      <c r="AK29" s="190">
        <f t="shared" ca="1" si="8"/>
        <v>2132.2545</v>
      </c>
    </row>
    <row r="30" spans="1:41" x14ac:dyDescent="0.25">
      <c r="A30" s="68">
        <f t="shared" si="2"/>
        <v>7</v>
      </c>
      <c r="B30" s="68" t="str">
        <f t="shared" si="3"/>
        <v>amortização</v>
      </c>
      <c r="C30" s="156">
        <f t="shared" ca="1" si="9"/>
        <v>1707.87375</v>
      </c>
      <c r="D30" s="156">
        <f t="shared" ca="1" si="4"/>
        <v>1851.851851851852</v>
      </c>
      <c r="E30" s="162">
        <f t="shared" ca="1" si="5"/>
        <v>101655.64814814815</v>
      </c>
      <c r="F30" s="156">
        <f t="shared" ca="1" si="6"/>
        <v>3559.7256018518519</v>
      </c>
      <c r="G30" s="67"/>
      <c r="AA30" s="2">
        <f>IF(AA29&lt;B$17,AA29+1,"")</f>
        <v>1</v>
      </c>
      <c r="AB30" s="8">
        <f ca="1">IF(AA30="","",AB29+30)</f>
        <v>46270</v>
      </c>
      <c r="AC30" s="9">
        <f ca="1">IF(AB30="","",IF(AA30&lt;=B$16,AC29,AC29-AD30))</f>
        <v>100000</v>
      </c>
      <c r="AD30" s="9">
        <f t="shared" ref="AD30:AD93" si="10">IF(AA30="","",IF(AA30&lt;=B$16,0,B$15/(B$17-B$16)))</f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J30" s="190">
        <f t="shared" ca="1" si="7"/>
        <v>3559.7256018518519</v>
      </c>
      <c r="AK30" s="190">
        <f t="shared" ca="1" si="8"/>
        <v>3984.1063518518522</v>
      </c>
    </row>
    <row r="31" spans="1:41" x14ac:dyDescent="0.25">
      <c r="A31" s="68">
        <f t="shared" si="2"/>
        <v>8</v>
      </c>
      <c r="B31" s="68" t="str">
        <f t="shared" si="3"/>
        <v>amortização</v>
      </c>
      <c r="C31" s="156">
        <f t="shared" ca="1" si="9"/>
        <v>1677.3181944444445</v>
      </c>
      <c r="D31" s="156">
        <f t="shared" ca="1" si="4"/>
        <v>1851.851851851852</v>
      </c>
      <c r="E31" s="162">
        <f t="shared" ca="1" si="5"/>
        <v>99803.796296296292</v>
      </c>
      <c r="F31" s="156">
        <f t="shared" ca="1" si="6"/>
        <v>3529.1700462962963</v>
      </c>
      <c r="G31" s="67"/>
      <c r="AA31" s="2">
        <f t="shared" ref="AA31:AA94" si="11">IF(AA30&lt;B$17,AA30+1,"")</f>
        <v>2</v>
      </c>
      <c r="AB31" s="8">
        <f t="shared" ref="AB31:AB77" ca="1" si="12">IF(AA31="","",AB30+30)</f>
        <v>46300</v>
      </c>
      <c r="AC31" s="9">
        <f t="shared" ref="AC31:AC94" ca="1" si="13">IF(AB31="","",IF(AA31&lt;=B$16,AC30,AC30-AD31))</f>
        <v>100000</v>
      </c>
      <c r="AD31" s="9">
        <f t="shared" si="10"/>
        <v>0</v>
      </c>
      <c r="AE31" s="2">
        <f t="shared" ref="AE31:AE77" ca="1" si="14">IF(AD31="","",AB31-AB30)</f>
        <v>30</v>
      </c>
      <c r="AF31" s="2">
        <f t="shared" ref="AF31:AF94" ca="1" si="15">IF(AE31="","",AB31-AB$29)</f>
        <v>60</v>
      </c>
      <c r="AG31" s="9">
        <f t="shared" ref="AG31:AG94" ca="1" si="16">IF(AF31="","",IF(AF31&lt;365,AF31*AC$25*AD31,365*AD31*AC$25))</f>
        <v>0</v>
      </c>
      <c r="AH31" s="9">
        <f t="shared" ref="AH31:AH94" ca="1" si="17">IF(AF31="","",IF(AF31&lt;365,AF31*AC$26*AD31,365*AD31*AC$26))</f>
        <v>0</v>
      </c>
      <c r="AJ31" s="190">
        <f t="shared" ca="1" si="7"/>
        <v>3529.1700462962963</v>
      </c>
      <c r="AK31" s="190">
        <f t="shared" ca="1" si="8"/>
        <v>3945.9582037037035</v>
      </c>
    </row>
    <row r="32" spans="1:41" x14ac:dyDescent="0.25">
      <c r="A32" s="68">
        <f t="shared" si="2"/>
        <v>9</v>
      </c>
      <c r="B32" s="68" t="str">
        <f t="shared" si="3"/>
        <v>amortização</v>
      </c>
      <c r="C32" s="156">
        <f t="shared" ca="1" si="9"/>
        <v>1646.7626388888889</v>
      </c>
      <c r="D32" s="156">
        <f t="shared" ca="1" si="4"/>
        <v>1851.851851851852</v>
      </c>
      <c r="E32" s="162">
        <f t="shared" ca="1" si="5"/>
        <v>97951.944444444438</v>
      </c>
      <c r="F32" s="156">
        <f t="shared" ca="1" si="6"/>
        <v>3498.6144907407406</v>
      </c>
      <c r="G32" s="67"/>
      <c r="AA32" s="2">
        <f t="shared" si="11"/>
        <v>3</v>
      </c>
      <c r="AB32" s="8">
        <f t="shared" ca="1" si="12"/>
        <v>46330</v>
      </c>
      <c r="AC32" s="9">
        <f t="shared" ca="1" si="13"/>
        <v>100000</v>
      </c>
      <c r="AD32" s="9">
        <f t="shared" si="10"/>
        <v>0</v>
      </c>
      <c r="AE32" s="2">
        <f t="shared" ca="1" si="14"/>
        <v>30</v>
      </c>
      <c r="AF32" s="2">
        <f t="shared" ca="1" si="15"/>
        <v>90</v>
      </c>
      <c r="AG32" s="9">
        <f t="shared" ca="1" si="16"/>
        <v>0</v>
      </c>
      <c r="AH32" s="9">
        <f t="shared" ca="1" si="17"/>
        <v>0</v>
      </c>
      <c r="AJ32" s="190">
        <f t="shared" ca="1" si="7"/>
        <v>3498.6144907407406</v>
      </c>
      <c r="AK32" s="190">
        <f t="shared" ca="1" si="8"/>
        <v>3907.8100555555557</v>
      </c>
    </row>
    <row r="33" spans="1:37" x14ac:dyDescent="0.25">
      <c r="A33" s="68">
        <f t="shared" si="2"/>
        <v>10</v>
      </c>
      <c r="B33" s="68" t="str">
        <f t="shared" si="3"/>
        <v>amortização</v>
      </c>
      <c r="C33" s="156">
        <f t="shared" ca="1" si="9"/>
        <v>1616.2070833333332</v>
      </c>
      <c r="D33" s="156">
        <f t="shared" ca="1" si="4"/>
        <v>1851.851851851852</v>
      </c>
      <c r="E33" s="162">
        <f t="shared" ca="1" si="5"/>
        <v>96100.092592592584</v>
      </c>
      <c r="F33" s="156">
        <f t="shared" ca="1" si="6"/>
        <v>3468.058935185185</v>
      </c>
      <c r="G33" s="67"/>
      <c r="AA33" s="2">
        <f t="shared" si="11"/>
        <v>4</v>
      </c>
      <c r="AB33" s="8">
        <f t="shared" ca="1" si="12"/>
        <v>46360</v>
      </c>
      <c r="AC33" s="9">
        <f t="shared" ca="1" si="13"/>
        <v>100000</v>
      </c>
      <c r="AD33" s="9">
        <f t="shared" si="10"/>
        <v>0</v>
      </c>
      <c r="AE33" s="2">
        <f t="shared" ca="1" si="14"/>
        <v>30</v>
      </c>
      <c r="AF33" s="2">
        <f t="shared" ca="1" si="15"/>
        <v>120</v>
      </c>
      <c r="AG33" s="9">
        <f t="shared" ca="1" si="16"/>
        <v>0</v>
      </c>
      <c r="AH33" s="9">
        <f t="shared" ca="1" si="17"/>
        <v>0</v>
      </c>
      <c r="AJ33" s="190">
        <f t="shared" ca="1" si="7"/>
        <v>3468.058935185185</v>
      </c>
      <c r="AK33" s="190">
        <f t="shared" ca="1" si="8"/>
        <v>3869.6619074074074</v>
      </c>
    </row>
    <row r="34" spans="1:37" x14ac:dyDescent="0.25">
      <c r="A34" s="68">
        <f t="shared" si="2"/>
        <v>11</v>
      </c>
      <c r="B34" s="68" t="str">
        <f t="shared" si="3"/>
        <v>amortização</v>
      </c>
      <c r="C34" s="156">
        <f t="shared" ca="1" si="9"/>
        <v>1585.6515277777778</v>
      </c>
      <c r="D34" s="156">
        <f t="shared" ca="1" si="4"/>
        <v>1851.851851851852</v>
      </c>
      <c r="E34" s="162">
        <f t="shared" ca="1" si="5"/>
        <v>94248.24074074073</v>
      </c>
      <c r="F34" s="156">
        <f t="shared" ca="1" si="6"/>
        <v>3437.5033796296298</v>
      </c>
      <c r="G34" s="67"/>
      <c r="AA34" s="2">
        <f t="shared" si="11"/>
        <v>5</v>
      </c>
      <c r="AB34" s="8">
        <f t="shared" ca="1" si="12"/>
        <v>46390</v>
      </c>
      <c r="AC34" s="9">
        <f t="shared" ca="1" si="13"/>
        <v>100000</v>
      </c>
      <c r="AD34" s="9">
        <f t="shared" si="10"/>
        <v>0</v>
      </c>
      <c r="AE34" s="2">
        <f t="shared" ca="1" si="14"/>
        <v>30</v>
      </c>
      <c r="AF34" s="2">
        <f t="shared" ca="1" si="15"/>
        <v>150</v>
      </c>
      <c r="AG34" s="9">
        <f t="shared" ca="1" si="16"/>
        <v>0</v>
      </c>
      <c r="AH34" s="9">
        <f t="shared" ca="1" si="17"/>
        <v>0</v>
      </c>
      <c r="AJ34" s="190">
        <f t="shared" ca="1" si="7"/>
        <v>3437.5033796296298</v>
      </c>
      <c r="AK34" s="190">
        <f t="shared" ca="1" si="8"/>
        <v>3831.5137592592591</v>
      </c>
    </row>
    <row r="35" spans="1:37" x14ac:dyDescent="0.25">
      <c r="A35" s="68">
        <f t="shared" si="2"/>
        <v>12</v>
      </c>
      <c r="B35" s="68" t="str">
        <f t="shared" si="3"/>
        <v>amortização</v>
      </c>
      <c r="C35" s="156">
        <f t="shared" ca="1" si="9"/>
        <v>1555.0959722222221</v>
      </c>
      <c r="D35" s="156">
        <f t="shared" ca="1" si="4"/>
        <v>1851.851851851852</v>
      </c>
      <c r="E35" s="162">
        <f t="shared" ca="1" si="5"/>
        <v>92396.388888888876</v>
      </c>
      <c r="F35" s="156">
        <f t="shared" ca="1" si="6"/>
        <v>3406.9478240740741</v>
      </c>
      <c r="G35" s="67"/>
      <c r="AA35" s="2">
        <f t="shared" si="11"/>
        <v>6</v>
      </c>
      <c r="AB35" s="8">
        <f t="shared" ca="1" si="12"/>
        <v>46420</v>
      </c>
      <c r="AC35" s="9">
        <f t="shared" ca="1" si="13"/>
        <v>100000</v>
      </c>
      <c r="AD35" s="9">
        <f t="shared" si="10"/>
        <v>0</v>
      </c>
      <c r="AE35" s="2">
        <f t="shared" ca="1" si="14"/>
        <v>30</v>
      </c>
      <c r="AF35" s="2">
        <f t="shared" ca="1" si="15"/>
        <v>180</v>
      </c>
      <c r="AG35" s="9">
        <f t="shared" ca="1" si="16"/>
        <v>0</v>
      </c>
      <c r="AH35" s="9">
        <f t="shared" ca="1" si="17"/>
        <v>0</v>
      </c>
      <c r="AJ35" s="190">
        <f t="shared" ca="1" si="7"/>
        <v>3406.9478240740741</v>
      </c>
      <c r="AK35" s="190">
        <f t="shared" ca="1" si="8"/>
        <v>3793.3656111111113</v>
      </c>
    </row>
    <row r="36" spans="1:37" x14ac:dyDescent="0.25">
      <c r="A36" s="68">
        <f t="shared" si="2"/>
        <v>13</v>
      </c>
      <c r="B36" s="68" t="str">
        <f t="shared" si="3"/>
        <v>amortização</v>
      </c>
      <c r="C36" s="156">
        <f t="shared" ca="1" si="9"/>
        <v>1524.5404166666665</v>
      </c>
      <c r="D36" s="156">
        <f t="shared" ref="D36:D71" ca="1" si="18">IF(C36="","",IF(A36&lt;=B$16,0,E$23/(B$17-B$16)))</f>
        <v>1916.8055555555557</v>
      </c>
      <c r="E36" s="162">
        <f t="shared" ca="1" si="5"/>
        <v>90479.583333333314</v>
      </c>
      <c r="F36" s="156">
        <f t="shared" ca="1" si="6"/>
        <v>3441.3459722222224</v>
      </c>
      <c r="G36" s="67"/>
      <c r="AA36" s="2">
        <f t="shared" si="11"/>
        <v>7</v>
      </c>
      <c r="AB36" s="8">
        <f t="shared" ca="1" si="12"/>
        <v>46450</v>
      </c>
      <c r="AC36" s="9">
        <f t="shared" ca="1" si="13"/>
        <v>98148.148148148146</v>
      </c>
      <c r="AD36" s="9">
        <f t="shared" si="10"/>
        <v>1851.851851851852</v>
      </c>
      <c r="AE36" s="2">
        <f t="shared" ca="1" si="14"/>
        <v>30</v>
      </c>
      <c r="AF36" s="2">
        <f t="shared" ca="1" si="15"/>
        <v>210</v>
      </c>
      <c r="AG36" s="9">
        <f t="shared" ca="1" si="16"/>
        <v>15.944444444444445</v>
      </c>
      <c r="AH36" s="9">
        <f t="shared" ca="1" si="17"/>
        <v>5.3277777777777775</v>
      </c>
      <c r="AJ36" s="190">
        <f t="shared" ca="1" si="7"/>
        <v>3441.3459722222224</v>
      </c>
      <c r="AK36" s="190">
        <f t="shared" ca="1" si="8"/>
        <v>3820.1711666666665</v>
      </c>
    </row>
    <row r="37" spans="1:37" x14ac:dyDescent="0.25">
      <c r="A37" s="68">
        <f t="shared" si="2"/>
        <v>14</v>
      </c>
      <c r="B37" s="68" t="str">
        <f t="shared" si="3"/>
        <v>amortização</v>
      </c>
      <c r="C37" s="156">
        <f t="shared" ca="1" si="9"/>
        <v>1492.9131249999998</v>
      </c>
      <c r="D37" s="156">
        <f t="shared" ca="1" si="18"/>
        <v>1916.8055555555557</v>
      </c>
      <c r="E37" s="162">
        <f t="shared" ca="1" si="5"/>
        <v>88562.777777777752</v>
      </c>
      <c r="F37" s="156">
        <f t="shared" ca="1" si="6"/>
        <v>3409.7186805555557</v>
      </c>
      <c r="G37" s="67"/>
      <c r="AA37" s="2">
        <f t="shared" si="11"/>
        <v>8</v>
      </c>
      <c r="AB37" s="8">
        <f t="shared" ca="1" si="12"/>
        <v>46480</v>
      </c>
      <c r="AC37" s="9">
        <f t="shared" ca="1" si="13"/>
        <v>96296.296296296292</v>
      </c>
      <c r="AD37" s="9">
        <f t="shared" si="10"/>
        <v>1851.851851851852</v>
      </c>
      <c r="AE37" s="2">
        <f t="shared" ca="1" si="14"/>
        <v>30</v>
      </c>
      <c r="AF37" s="2">
        <f t="shared" ca="1" si="15"/>
        <v>240</v>
      </c>
      <c r="AG37" s="9">
        <f t="shared" ca="1" si="16"/>
        <v>18.222222222222221</v>
      </c>
      <c r="AH37" s="9">
        <f t="shared" ca="1" si="17"/>
        <v>6.0888888888888886</v>
      </c>
      <c r="AJ37" s="190">
        <f t="shared" ca="1" si="7"/>
        <v>3409.7186805555557</v>
      </c>
      <c r="AK37" s="190">
        <f t="shared" ca="1" si="8"/>
        <v>3780.6849722222219</v>
      </c>
    </row>
    <row r="38" spans="1:37" x14ac:dyDescent="0.25">
      <c r="A38" s="68">
        <f t="shared" si="2"/>
        <v>15</v>
      </c>
      <c r="B38" s="68" t="str">
        <f t="shared" si="3"/>
        <v>amortização</v>
      </c>
      <c r="C38" s="156">
        <f t="shared" ca="1" si="9"/>
        <v>1461.2858333333329</v>
      </c>
      <c r="D38" s="156">
        <f t="shared" ca="1" si="18"/>
        <v>1916.8055555555557</v>
      </c>
      <c r="E38" s="162">
        <f t="shared" ca="1" si="5"/>
        <v>86645.97222222219</v>
      </c>
      <c r="F38" s="156">
        <f t="shared" ca="1" si="6"/>
        <v>3378.0913888888886</v>
      </c>
      <c r="G38" s="67"/>
      <c r="AA38" s="2">
        <f t="shared" si="11"/>
        <v>9</v>
      </c>
      <c r="AB38" s="8">
        <f t="shared" ca="1" si="12"/>
        <v>46510</v>
      </c>
      <c r="AC38" s="9">
        <f t="shared" ca="1" si="13"/>
        <v>94444.444444444438</v>
      </c>
      <c r="AD38" s="9">
        <f t="shared" si="10"/>
        <v>1851.851851851852</v>
      </c>
      <c r="AE38" s="2">
        <f t="shared" ca="1" si="14"/>
        <v>30</v>
      </c>
      <c r="AF38" s="2">
        <f t="shared" ca="1" si="15"/>
        <v>270</v>
      </c>
      <c r="AG38" s="9">
        <f t="shared" ca="1" si="16"/>
        <v>20.5</v>
      </c>
      <c r="AH38" s="9">
        <f t="shared" ca="1" si="17"/>
        <v>6.85</v>
      </c>
      <c r="AJ38" s="190">
        <f t="shared" ca="1" si="7"/>
        <v>3378.0913888888886</v>
      </c>
      <c r="AK38" s="190">
        <f t="shared" ca="1" si="8"/>
        <v>3741.1987777777777</v>
      </c>
    </row>
    <row r="39" spans="1:37" x14ac:dyDescent="0.25">
      <c r="A39" s="68">
        <f t="shared" si="2"/>
        <v>16</v>
      </c>
      <c r="B39" s="68" t="str">
        <f t="shared" si="3"/>
        <v>amortização</v>
      </c>
      <c r="C39" s="156">
        <f t="shared" ca="1" si="9"/>
        <v>1429.6585416666662</v>
      </c>
      <c r="D39" s="156">
        <f t="shared" ca="1" si="18"/>
        <v>1916.8055555555557</v>
      </c>
      <c r="E39" s="162">
        <f t="shared" ca="1" si="5"/>
        <v>84729.166666666628</v>
      </c>
      <c r="F39" s="156">
        <f t="shared" ca="1" si="6"/>
        <v>3346.4640972222219</v>
      </c>
      <c r="G39" s="67"/>
      <c r="AA39" s="2">
        <f t="shared" si="11"/>
        <v>10</v>
      </c>
      <c r="AB39" s="8">
        <f t="shared" ca="1" si="12"/>
        <v>46540</v>
      </c>
      <c r="AC39" s="9">
        <f t="shared" ca="1" si="13"/>
        <v>92592.592592592584</v>
      </c>
      <c r="AD39" s="9">
        <f t="shared" si="10"/>
        <v>1851.851851851852</v>
      </c>
      <c r="AE39" s="2">
        <f t="shared" ca="1" si="14"/>
        <v>30</v>
      </c>
      <c r="AF39" s="2">
        <f t="shared" ca="1" si="15"/>
        <v>300</v>
      </c>
      <c r="AG39" s="9">
        <f t="shared" ca="1" si="16"/>
        <v>22.777777777777779</v>
      </c>
      <c r="AH39" s="9">
        <f t="shared" ca="1" si="17"/>
        <v>7.6111111111111116</v>
      </c>
      <c r="AJ39" s="190">
        <f t="shared" ca="1" si="7"/>
        <v>3346.4640972222219</v>
      </c>
      <c r="AK39" s="190">
        <f t="shared" ca="1" si="8"/>
        <v>3701.712583333333</v>
      </c>
    </row>
    <row r="40" spans="1:37" x14ac:dyDescent="0.25">
      <c r="A40" s="68">
        <f t="shared" si="2"/>
        <v>17</v>
      </c>
      <c r="B40" s="68" t="str">
        <f t="shared" si="3"/>
        <v>amortização</v>
      </c>
      <c r="C40" s="156">
        <f t="shared" ca="1" si="9"/>
        <v>1398.0312499999993</v>
      </c>
      <c r="D40" s="156">
        <f t="shared" ca="1" si="18"/>
        <v>1916.8055555555557</v>
      </c>
      <c r="E40" s="162">
        <f t="shared" ca="1" si="5"/>
        <v>82812.361111111066</v>
      </c>
      <c r="F40" s="156">
        <f t="shared" ca="1" si="6"/>
        <v>3314.8368055555547</v>
      </c>
      <c r="G40" s="67"/>
      <c r="AA40" s="2">
        <f t="shared" si="11"/>
        <v>11</v>
      </c>
      <c r="AB40" s="8">
        <f t="shared" ca="1" si="12"/>
        <v>46570</v>
      </c>
      <c r="AC40" s="9">
        <f t="shared" ca="1" si="13"/>
        <v>90740.74074074073</v>
      </c>
      <c r="AD40" s="9">
        <f t="shared" si="10"/>
        <v>1851.851851851852</v>
      </c>
      <c r="AE40" s="2">
        <f t="shared" ca="1" si="14"/>
        <v>30</v>
      </c>
      <c r="AF40" s="2">
        <f t="shared" ca="1" si="15"/>
        <v>330</v>
      </c>
      <c r="AG40" s="9">
        <f t="shared" ca="1" si="16"/>
        <v>25.055555555555557</v>
      </c>
      <c r="AH40" s="9">
        <f t="shared" ca="1" si="17"/>
        <v>8.3722222222222218</v>
      </c>
      <c r="AJ40" s="190">
        <f t="shared" ca="1" si="7"/>
        <v>3314.8368055555547</v>
      </c>
      <c r="AK40" s="190">
        <f t="shared" ca="1" si="8"/>
        <v>3662.2263888888883</v>
      </c>
    </row>
    <row r="41" spans="1:37" x14ac:dyDescent="0.25">
      <c r="A41" s="68">
        <f t="shared" si="2"/>
        <v>18</v>
      </c>
      <c r="B41" s="68" t="str">
        <f t="shared" si="3"/>
        <v>amortização</v>
      </c>
      <c r="C41" s="156">
        <f t="shared" ca="1" si="9"/>
        <v>1366.4039583333326</v>
      </c>
      <c r="D41" s="156">
        <f t="shared" ca="1" si="18"/>
        <v>1916.8055555555557</v>
      </c>
      <c r="E41" s="162">
        <f t="shared" ca="1" si="5"/>
        <v>80895.555555555504</v>
      </c>
      <c r="F41" s="156">
        <f t="shared" ca="1" si="6"/>
        <v>3283.2095138888881</v>
      </c>
      <c r="G41" s="67"/>
      <c r="AA41" s="2">
        <f t="shared" si="11"/>
        <v>12</v>
      </c>
      <c r="AB41" s="8">
        <f t="shared" ca="1" si="12"/>
        <v>46600</v>
      </c>
      <c r="AC41" s="9">
        <f t="shared" ca="1" si="13"/>
        <v>88888.888888888876</v>
      </c>
      <c r="AD41" s="9">
        <f t="shared" si="10"/>
        <v>1851.851851851852</v>
      </c>
      <c r="AE41" s="2">
        <f t="shared" ca="1" si="14"/>
        <v>30</v>
      </c>
      <c r="AF41" s="2">
        <f t="shared" ca="1" si="15"/>
        <v>360</v>
      </c>
      <c r="AG41" s="9">
        <f t="shared" ca="1" si="16"/>
        <v>27.333333333333336</v>
      </c>
      <c r="AH41" s="9">
        <f t="shared" ca="1" si="17"/>
        <v>9.1333333333333329</v>
      </c>
      <c r="AJ41" s="190">
        <f t="shared" ca="1" si="7"/>
        <v>3283.2095138888881</v>
      </c>
      <c r="AK41" s="190">
        <f t="shared" ca="1" si="8"/>
        <v>3622.7401944444437</v>
      </c>
    </row>
    <row r="42" spans="1:37" x14ac:dyDescent="0.25">
      <c r="A42" s="68">
        <f t="shared" si="2"/>
        <v>19</v>
      </c>
      <c r="B42" s="68" t="str">
        <f t="shared" si="3"/>
        <v>amortização</v>
      </c>
      <c r="C42" s="156">
        <f t="shared" ca="1" si="9"/>
        <v>1334.776666666666</v>
      </c>
      <c r="D42" s="156">
        <f t="shared" ca="1" si="18"/>
        <v>1916.8055555555557</v>
      </c>
      <c r="E42" s="162">
        <f t="shared" ca="1" si="5"/>
        <v>78978.749999999942</v>
      </c>
      <c r="F42" s="156">
        <f t="shared" ca="1" si="6"/>
        <v>3251.5822222222214</v>
      </c>
      <c r="G42" s="67"/>
      <c r="AA42" s="2">
        <f t="shared" si="11"/>
        <v>13</v>
      </c>
      <c r="AB42" s="8">
        <f t="shared" ca="1" si="12"/>
        <v>46630</v>
      </c>
      <c r="AC42" s="9">
        <f ca="1">IF(AA42="","",IF(AB42&lt;=B$16,AC27,AC41-AD42))</f>
        <v>87037.037037037022</v>
      </c>
      <c r="AD42" s="9">
        <f t="shared" si="10"/>
        <v>1851.851851851852</v>
      </c>
      <c r="AE42" s="2">
        <f t="shared" ca="1" si="14"/>
        <v>30</v>
      </c>
      <c r="AF42" s="2">
        <f t="shared" ca="1" si="15"/>
        <v>390</v>
      </c>
      <c r="AG42" s="9">
        <f t="shared" ca="1" si="16"/>
        <v>27.712962962962965</v>
      </c>
      <c r="AH42" s="9">
        <f t="shared" ca="1" si="17"/>
        <v>9.2601851851851844</v>
      </c>
      <c r="AJ42" s="190">
        <f t="shared" ca="1" si="7"/>
        <v>3251.5822222222214</v>
      </c>
      <c r="AK42" s="190">
        <f t="shared" ca="1" si="8"/>
        <v>3583.253999999999</v>
      </c>
    </row>
    <row r="43" spans="1:37" x14ac:dyDescent="0.25">
      <c r="A43" s="68">
        <f t="shared" si="2"/>
        <v>20</v>
      </c>
      <c r="B43" s="68" t="str">
        <f t="shared" si="3"/>
        <v>amortização</v>
      </c>
      <c r="C43" s="156">
        <f t="shared" ca="1" si="9"/>
        <v>1303.1493749999991</v>
      </c>
      <c r="D43" s="156">
        <f t="shared" ca="1" si="18"/>
        <v>1916.8055555555557</v>
      </c>
      <c r="E43" s="162">
        <f t="shared" ca="1" si="5"/>
        <v>77061.94444444438</v>
      </c>
      <c r="F43" s="156">
        <f t="shared" ca="1" si="6"/>
        <v>3219.9549305555547</v>
      </c>
      <c r="G43" s="67"/>
      <c r="AA43" s="2">
        <f t="shared" si="11"/>
        <v>14</v>
      </c>
      <c r="AB43" s="8">
        <f t="shared" ca="1" si="12"/>
        <v>46660</v>
      </c>
      <c r="AC43" s="9">
        <f t="shared" ca="1" si="13"/>
        <v>85185.185185185168</v>
      </c>
      <c r="AD43" s="9">
        <f t="shared" si="10"/>
        <v>1851.851851851852</v>
      </c>
      <c r="AE43" s="2">
        <f t="shared" ca="1" si="14"/>
        <v>30</v>
      </c>
      <c r="AF43" s="2">
        <f t="shared" ca="1" si="15"/>
        <v>420</v>
      </c>
      <c r="AG43" s="9">
        <f t="shared" ca="1" si="16"/>
        <v>27.712962962962965</v>
      </c>
      <c r="AH43" s="9">
        <f t="shared" ca="1" si="17"/>
        <v>9.2601851851851844</v>
      </c>
      <c r="AJ43" s="190">
        <f t="shared" ca="1" si="7"/>
        <v>3219.9549305555547</v>
      </c>
      <c r="AK43" s="190">
        <f t="shared" ca="1" si="8"/>
        <v>3543.7678055555543</v>
      </c>
    </row>
    <row r="44" spans="1:37" x14ac:dyDescent="0.25">
      <c r="A44" s="68">
        <f t="shared" si="2"/>
        <v>21</v>
      </c>
      <c r="B44" s="68" t="str">
        <f t="shared" si="3"/>
        <v>amortização</v>
      </c>
      <c r="C44" s="156">
        <f t="shared" ca="1" si="9"/>
        <v>1271.5220833333324</v>
      </c>
      <c r="D44" s="156">
        <f t="shared" ca="1" si="18"/>
        <v>1916.8055555555557</v>
      </c>
      <c r="E44" s="162">
        <f t="shared" ca="1" si="5"/>
        <v>75145.138888888818</v>
      </c>
      <c r="F44" s="156">
        <f t="shared" ca="1" si="6"/>
        <v>3188.327638888888</v>
      </c>
      <c r="G44" s="67"/>
      <c r="AA44" s="2">
        <f t="shared" si="11"/>
        <v>15</v>
      </c>
      <c r="AB44" s="8">
        <f t="shared" ca="1" si="12"/>
        <v>46690</v>
      </c>
      <c r="AC44" s="9">
        <f t="shared" ca="1" si="13"/>
        <v>83333.333333333314</v>
      </c>
      <c r="AD44" s="9">
        <f t="shared" si="10"/>
        <v>1851.851851851852</v>
      </c>
      <c r="AE44" s="2">
        <f t="shared" ca="1" si="14"/>
        <v>30</v>
      </c>
      <c r="AF44" s="2">
        <f t="shared" ca="1" si="15"/>
        <v>450</v>
      </c>
      <c r="AG44" s="9">
        <f t="shared" ca="1" si="16"/>
        <v>27.712962962962965</v>
      </c>
      <c r="AH44" s="9">
        <f t="shared" ca="1" si="17"/>
        <v>9.2601851851851844</v>
      </c>
      <c r="AJ44" s="190">
        <f t="shared" ca="1" si="7"/>
        <v>3188.327638888888</v>
      </c>
      <c r="AK44" s="190">
        <f t="shared" ca="1" si="8"/>
        <v>3504.2816111111097</v>
      </c>
    </row>
    <row r="45" spans="1:37" x14ac:dyDescent="0.25">
      <c r="A45" s="68">
        <f t="shared" si="2"/>
        <v>22</v>
      </c>
      <c r="B45" s="68" t="str">
        <f t="shared" si="3"/>
        <v>amortização</v>
      </c>
      <c r="C45" s="156">
        <f t="shared" ca="1" si="9"/>
        <v>1239.8947916666655</v>
      </c>
      <c r="D45" s="156">
        <f t="shared" ca="1" si="18"/>
        <v>1916.8055555555557</v>
      </c>
      <c r="E45" s="162">
        <f t="shared" ca="1" si="5"/>
        <v>73228.333333333256</v>
      </c>
      <c r="F45" s="156">
        <f t="shared" ca="1" si="6"/>
        <v>3156.7003472222214</v>
      </c>
      <c r="G45" s="67"/>
      <c r="AA45" s="2">
        <f t="shared" si="11"/>
        <v>16</v>
      </c>
      <c r="AB45" s="8">
        <f t="shared" ca="1" si="12"/>
        <v>46720</v>
      </c>
      <c r="AC45" s="9">
        <f t="shared" ca="1" si="13"/>
        <v>81481.48148148146</v>
      </c>
      <c r="AD45" s="9">
        <f t="shared" si="10"/>
        <v>1851.851851851852</v>
      </c>
      <c r="AE45" s="2">
        <f t="shared" ca="1" si="14"/>
        <v>30</v>
      </c>
      <c r="AF45" s="2">
        <f t="shared" ca="1" si="15"/>
        <v>480</v>
      </c>
      <c r="AG45" s="9">
        <f t="shared" ca="1" si="16"/>
        <v>27.712962962962965</v>
      </c>
      <c r="AH45" s="9">
        <f t="shared" ca="1" si="17"/>
        <v>9.2601851851851844</v>
      </c>
      <c r="AJ45" s="190">
        <f t="shared" ca="1" si="7"/>
        <v>3156.7003472222214</v>
      </c>
      <c r="AK45" s="190">
        <f t="shared" ca="1" si="8"/>
        <v>3464.795416666665</v>
      </c>
    </row>
    <row r="46" spans="1:37" x14ac:dyDescent="0.25">
      <c r="A46" s="68">
        <f t="shared" si="2"/>
        <v>23</v>
      </c>
      <c r="B46" s="68" t="str">
        <f t="shared" si="3"/>
        <v>amortização</v>
      </c>
      <c r="C46" s="156">
        <f t="shared" ca="1" si="9"/>
        <v>1208.2674999999988</v>
      </c>
      <c r="D46" s="156">
        <f t="shared" ca="1" si="18"/>
        <v>1916.8055555555557</v>
      </c>
      <c r="E46" s="162">
        <f t="shared" ca="1" si="5"/>
        <v>71311.527777777694</v>
      </c>
      <c r="F46" s="156">
        <f t="shared" ca="1" si="6"/>
        <v>3125.0730555555547</v>
      </c>
      <c r="G46" s="67"/>
      <c r="AA46" s="2">
        <f t="shared" si="11"/>
        <v>17</v>
      </c>
      <c r="AB46" s="8">
        <f t="shared" ca="1" si="12"/>
        <v>46750</v>
      </c>
      <c r="AC46" s="9">
        <f t="shared" ca="1" si="13"/>
        <v>79629.629629629606</v>
      </c>
      <c r="AD46" s="9">
        <f t="shared" si="10"/>
        <v>1851.851851851852</v>
      </c>
      <c r="AE46" s="2">
        <f t="shared" ca="1" si="14"/>
        <v>30</v>
      </c>
      <c r="AF46" s="2">
        <f t="shared" ca="1" si="15"/>
        <v>510</v>
      </c>
      <c r="AG46" s="9">
        <f t="shared" ca="1" si="16"/>
        <v>27.712962962962965</v>
      </c>
      <c r="AH46" s="9">
        <f t="shared" ca="1" si="17"/>
        <v>9.2601851851851844</v>
      </c>
      <c r="AJ46" s="190">
        <f t="shared" ca="1" si="7"/>
        <v>3125.0730555555547</v>
      </c>
      <c r="AK46" s="190">
        <f t="shared" ca="1" si="8"/>
        <v>3425.3092222222208</v>
      </c>
    </row>
    <row r="47" spans="1:37" x14ac:dyDescent="0.25">
      <c r="A47" s="68">
        <f t="shared" si="2"/>
        <v>24</v>
      </c>
      <c r="B47" s="68" t="str">
        <f t="shared" si="3"/>
        <v>amortização</v>
      </c>
      <c r="C47" s="156">
        <f t="shared" ca="1" si="9"/>
        <v>1176.6402083333321</v>
      </c>
      <c r="D47" s="156">
        <f t="shared" ca="1" si="18"/>
        <v>1916.8055555555557</v>
      </c>
      <c r="E47" s="162">
        <f t="shared" ca="1" si="5"/>
        <v>69394.722222222132</v>
      </c>
      <c r="F47" s="156">
        <f t="shared" ca="1" si="6"/>
        <v>3093.445763888888</v>
      </c>
      <c r="G47" s="67"/>
      <c r="AA47" s="2">
        <f t="shared" si="11"/>
        <v>18</v>
      </c>
      <c r="AB47" s="8">
        <f t="shared" ca="1" si="12"/>
        <v>46780</v>
      </c>
      <c r="AC47" s="9">
        <f t="shared" ca="1" si="13"/>
        <v>77777.777777777752</v>
      </c>
      <c r="AD47" s="9">
        <f t="shared" si="10"/>
        <v>1851.851851851852</v>
      </c>
      <c r="AE47" s="2">
        <f t="shared" ca="1" si="14"/>
        <v>30</v>
      </c>
      <c r="AF47" s="2">
        <f t="shared" ca="1" si="15"/>
        <v>540</v>
      </c>
      <c r="AG47" s="9">
        <f t="shared" ca="1" si="16"/>
        <v>27.712962962962965</v>
      </c>
      <c r="AH47" s="9">
        <f t="shared" ca="1" si="17"/>
        <v>9.2601851851851844</v>
      </c>
      <c r="AJ47" s="190">
        <f t="shared" ca="1" si="7"/>
        <v>3093.445763888888</v>
      </c>
      <c r="AK47" s="190">
        <f t="shared" ca="1" si="8"/>
        <v>3385.8230277777761</v>
      </c>
    </row>
    <row r="48" spans="1:37" x14ac:dyDescent="0.25">
      <c r="A48" s="68">
        <f t="shared" si="2"/>
        <v>25</v>
      </c>
      <c r="B48" s="68" t="str">
        <f t="shared" si="3"/>
        <v>amortização</v>
      </c>
      <c r="C48" s="156">
        <f t="shared" ca="1" si="9"/>
        <v>1145.0129166666652</v>
      </c>
      <c r="D48" s="156">
        <f t="shared" ca="1" si="18"/>
        <v>1916.8055555555557</v>
      </c>
      <c r="E48" s="162">
        <f t="shared" ca="1" si="5"/>
        <v>67477.91666666657</v>
      </c>
      <c r="F48" s="156">
        <f t="shared" ca="1" si="6"/>
        <v>3061.8184722222209</v>
      </c>
      <c r="G48" s="67"/>
      <c r="AA48" s="2">
        <f t="shared" si="11"/>
        <v>19</v>
      </c>
      <c r="AB48" s="8">
        <f t="shared" ca="1" si="12"/>
        <v>46810</v>
      </c>
      <c r="AC48" s="9">
        <f t="shared" ca="1" si="13"/>
        <v>75925.925925925898</v>
      </c>
      <c r="AD48" s="9">
        <f t="shared" si="10"/>
        <v>1851.851851851852</v>
      </c>
      <c r="AE48" s="2">
        <f t="shared" ca="1" si="14"/>
        <v>30</v>
      </c>
      <c r="AF48" s="2">
        <f t="shared" ca="1" si="15"/>
        <v>570</v>
      </c>
      <c r="AG48" s="9">
        <f t="shared" ca="1" si="16"/>
        <v>27.712962962962965</v>
      </c>
      <c r="AH48" s="9">
        <f t="shared" ca="1" si="17"/>
        <v>9.2601851851851844</v>
      </c>
      <c r="AJ48" s="190">
        <f t="shared" ca="1" si="7"/>
        <v>3061.8184722222209</v>
      </c>
      <c r="AK48" s="190">
        <f t="shared" ca="1" si="8"/>
        <v>3346.3368333333319</v>
      </c>
    </row>
    <row r="49" spans="1:37" x14ac:dyDescent="0.25">
      <c r="A49" s="68">
        <f t="shared" si="2"/>
        <v>26</v>
      </c>
      <c r="B49" s="68" t="str">
        <f t="shared" si="3"/>
        <v>amortização</v>
      </c>
      <c r="C49" s="156">
        <f t="shared" ca="1" si="9"/>
        <v>1113.3856249999985</v>
      </c>
      <c r="D49" s="156">
        <f t="shared" ca="1" si="18"/>
        <v>1916.8055555555557</v>
      </c>
      <c r="E49" s="162">
        <f t="shared" ca="1" si="5"/>
        <v>65561.111111111008</v>
      </c>
      <c r="F49" s="156">
        <f t="shared" ca="1" si="6"/>
        <v>3030.1911805555542</v>
      </c>
      <c r="G49" s="67"/>
      <c r="AA49" s="2">
        <f t="shared" si="11"/>
        <v>20</v>
      </c>
      <c r="AB49" s="8">
        <f t="shared" ca="1" si="12"/>
        <v>46840</v>
      </c>
      <c r="AC49" s="9">
        <f t="shared" ca="1" si="13"/>
        <v>74074.074074074044</v>
      </c>
      <c r="AD49" s="9">
        <f t="shared" si="10"/>
        <v>1851.851851851852</v>
      </c>
      <c r="AE49" s="2">
        <f t="shared" ca="1" si="14"/>
        <v>30</v>
      </c>
      <c r="AF49" s="2">
        <f t="shared" ca="1" si="15"/>
        <v>600</v>
      </c>
      <c r="AG49" s="9">
        <f t="shared" ca="1" si="16"/>
        <v>27.712962962962965</v>
      </c>
      <c r="AH49" s="9">
        <f t="shared" ca="1" si="17"/>
        <v>9.2601851851851844</v>
      </c>
      <c r="AJ49" s="190">
        <f t="shared" ca="1" si="7"/>
        <v>3030.1911805555542</v>
      </c>
      <c r="AK49" s="190">
        <f t="shared" ca="1" si="8"/>
        <v>3306.8506388888873</v>
      </c>
    </row>
    <row r="50" spans="1:37" x14ac:dyDescent="0.25">
      <c r="A50" s="68">
        <f t="shared" si="2"/>
        <v>27</v>
      </c>
      <c r="B50" s="68" t="str">
        <f t="shared" si="3"/>
        <v>amortização</v>
      </c>
      <c r="C50" s="156">
        <f t="shared" ca="1" si="9"/>
        <v>1081.7583333333316</v>
      </c>
      <c r="D50" s="156">
        <f t="shared" ca="1" si="18"/>
        <v>1916.8055555555557</v>
      </c>
      <c r="E50" s="162">
        <f t="shared" ca="1" si="5"/>
        <v>63644.305555555453</v>
      </c>
      <c r="F50" s="156">
        <f t="shared" ca="1" si="6"/>
        <v>2998.563888888887</v>
      </c>
      <c r="G50" s="67"/>
      <c r="AA50" s="2">
        <f t="shared" si="11"/>
        <v>21</v>
      </c>
      <c r="AB50" s="8">
        <f t="shared" ca="1" si="12"/>
        <v>46870</v>
      </c>
      <c r="AC50" s="9">
        <f t="shared" ca="1" si="13"/>
        <v>72222.22222222219</v>
      </c>
      <c r="AD50" s="9">
        <f t="shared" si="10"/>
        <v>1851.851851851852</v>
      </c>
      <c r="AE50" s="2">
        <f t="shared" ca="1" si="14"/>
        <v>30</v>
      </c>
      <c r="AF50" s="2">
        <f t="shared" ca="1" si="15"/>
        <v>630</v>
      </c>
      <c r="AG50" s="9">
        <f t="shared" ca="1" si="16"/>
        <v>27.712962962962965</v>
      </c>
      <c r="AH50" s="9">
        <f t="shared" ca="1" si="17"/>
        <v>9.2601851851851844</v>
      </c>
      <c r="AJ50" s="190">
        <f t="shared" ca="1" si="7"/>
        <v>2998.563888888887</v>
      </c>
      <c r="AK50" s="190">
        <f t="shared" ca="1" si="8"/>
        <v>3267.3644444444426</v>
      </c>
    </row>
    <row r="51" spans="1:37" x14ac:dyDescent="0.25">
      <c r="A51" s="68">
        <f t="shared" si="2"/>
        <v>28</v>
      </c>
      <c r="B51" s="68" t="str">
        <f t="shared" si="3"/>
        <v>amortização</v>
      </c>
      <c r="C51" s="156">
        <f t="shared" ca="1" si="9"/>
        <v>1050.1310416666649</v>
      </c>
      <c r="D51" s="156">
        <f t="shared" ca="1" si="18"/>
        <v>1916.8055555555557</v>
      </c>
      <c r="E51" s="162">
        <f t="shared" ca="1" si="5"/>
        <v>61727.499999999898</v>
      </c>
      <c r="F51" s="156">
        <f t="shared" ca="1" si="6"/>
        <v>2966.9365972222204</v>
      </c>
      <c r="G51" s="67"/>
      <c r="AA51" s="2">
        <f t="shared" si="11"/>
        <v>22</v>
      </c>
      <c r="AB51" s="8">
        <f t="shared" ca="1" si="12"/>
        <v>46900</v>
      </c>
      <c r="AC51" s="9">
        <f t="shared" ca="1" si="13"/>
        <v>70370.370370370336</v>
      </c>
      <c r="AD51" s="9">
        <f t="shared" si="10"/>
        <v>1851.851851851852</v>
      </c>
      <c r="AE51" s="2">
        <f t="shared" ca="1" si="14"/>
        <v>30</v>
      </c>
      <c r="AF51" s="2">
        <f t="shared" ca="1" si="15"/>
        <v>660</v>
      </c>
      <c r="AG51" s="9">
        <f t="shared" ca="1" si="16"/>
        <v>27.712962962962965</v>
      </c>
      <c r="AH51" s="9">
        <f t="shared" ca="1" si="17"/>
        <v>9.2601851851851844</v>
      </c>
      <c r="AJ51" s="190">
        <f t="shared" ca="1" si="7"/>
        <v>2966.9365972222204</v>
      </c>
      <c r="AK51" s="190">
        <f t="shared" ca="1" si="8"/>
        <v>3227.8782499999979</v>
      </c>
    </row>
    <row r="52" spans="1:37" x14ac:dyDescent="0.25">
      <c r="A52" s="68">
        <f t="shared" si="2"/>
        <v>29</v>
      </c>
      <c r="B52" s="68" t="str">
        <f t="shared" si="3"/>
        <v>amortização</v>
      </c>
      <c r="C52" s="156">
        <f t="shared" ca="1" si="9"/>
        <v>1018.5037499999984</v>
      </c>
      <c r="D52" s="156">
        <f t="shared" ca="1" si="18"/>
        <v>1916.8055555555557</v>
      </c>
      <c r="E52" s="162">
        <f t="shared" ca="1" si="5"/>
        <v>59810.694444444343</v>
      </c>
      <c r="F52" s="156">
        <f t="shared" ca="1" si="6"/>
        <v>2935.3093055555541</v>
      </c>
      <c r="G52" s="67"/>
      <c r="AA52" s="2">
        <f t="shared" si="11"/>
        <v>23</v>
      </c>
      <c r="AB52" s="8">
        <f t="shared" ca="1" si="12"/>
        <v>46930</v>
      </c>
      <c r="AC52" s="9">
        <f t="shared" ca="1" si="13"/>
        <v>68518.518518518482</v>
      </c>
      <c r="AD52" s="9">
        <f t="shared" si="10"/>
        <v>1851.851851851852</v>
      </c>
      <c r="AE52" s="2">
        <f t="shared" ca="1" si="14"/>
        <v>30</v>
      </c>
      <c r="AF52" s="2">
        <f t="shared" ca="1" si="15"/>
        <v>690</v>
      </c>
      <c r="AG52" s="9">
        <f t="shared" ca="1" si="16"/>
        <v>27.712962962962965</v>
      </c>
      <c r="AH52" s="9">
        <f t="shared" ca="1" si="17"/>
        <v>9.2601851851851844</v>
      </c>
      <c r="AJ52" s="190">
        <f t="shared" ca="1" si="7"/>
        <v>2935.3093055555541</v>
      </c>
      <c r="AK52" s="190">
        <f t="shared" ca="1" si="8"/>
        <v>3188.3920555555533</v>
      </c>
    </row>
    <row r="53" spans="1:37" x14ac:dyDescent="0.25">
      <c r="A53" s="68">
        <f t="shared" si="2"/>
        <v>30</v>
      </c>
      <c r="B53" s="68" t="str">
        <f t="shared" si="3"/>
        <v>amortização</v>
      </c>
      <c r="C53" s="156">
        <f t="shared" ca="1" si="9"/>
        <v>986.8764583333317</v>
      </c>
      <c r="D53" s="156">
        <f t="shared" ca="1" si="18"/>
        <v>1916.8055555555557</v>
      </c>
      <c r="E53" s="162">
        <f t="shared" ca="1" si="5"/>
        <v>57893.888888888789</v>
      </c>
      <c r="F53" s="156">
        <f t="shared" ca="1" si="6"/>
        <v>2903.6820138888875</v>
      </c>
      <c r="G53" s="67"/>
      <c r="AA53" s="2">
        <f t="shared" si="11"/>
        <v>24</v>
      </c>
      <c r="AB53" s="8">
        <f t="shared" ca="1" si="12"/>
        <v>46960</v>
      </c>
      <c r="AC53" s="9">
        <f t="shared" ca="1" si="13"/>
        <v>66666.666666666628</v>
      </c>
      <c r="AD53" s="9">
        <f t="shared" si="10"/>
        <v>1851.851851851852</v>
      </c>
      <c r="AE53" s="2">
        <f t="shared" ca="1" si="14"/>
        <v>30</v>
      </c>
      <c r="AF53" s="2">
        <f t="shared" ca="1" si="15"/>
        <v>720</v>
      </c>
      <c r="AG53" s="9">
        <f t="shared" ca="1" si="16"/>
        <v>27.712962962962965</v>
      </c>
      <c r="AH53" s="9">
        <f t="shared" ca="1" si="17"/>
        <v>9.2601851851851844</v>
      </c>
      <c r="AJ53" s="190">
        <f t="shared" ca="1" si="7"/>
        <v>2903.6820138888875</v>
      </c>
      <c r="AK53" s="190">
        <f t="shared" ca="1" si="8"/>
        <v>3148.9058611111091</v>
      </c>
    </row>
    <row r="54" spans="1:37" x14ac:dyDescent="0.25">
      <c r="A54" s="68">
        <f t="shared" si="2"/>
        <v>31</v>
      </c>
      <c r="B54" s="68" t="str">
        <f t="shared" si="3"/>
        <v>amortização</v>
      </c>
      <c r="C54" s="156">
        <f t="shared" ca="1" si="9"/>
        <v>955.24916666666502</v>
      </c>
      <c r="D54" s="156">
        <f t="shared" ca="1" si="18"/>
        <v>1916.8055555555557</v>
      </c>
      <c r="E54" s="162">
        <f t="shared" ca="1" si="5"/>
        <v>55977.083333333234</v>
      </c>
      <c r="F54" s="156">
        <f t="shared" ca="1" si="6"/>
        <v>2872.0547222222208</v>
      </c>
      <c r="G54" s="67"/>
      <c r="AA54" s="2">
        <f t="shared" si="11"/>
        <v>25</v>
      </c>
      <c r="AB54" s="8">
        <f t="shared" ca="1" si="12"/>
        <v>46990</v>
      </c>
      <c r="AC54" s="9">
        <f t="shared" ca="1" si="13"/>
        <v>64814.814814814774</v>
      </c>
      <c r="AD54" s="9">
        <f t="shared" si="10"/>
        <v>1851.851851851852</v>
      </c>
      <c r="AE54" s="2">
        <f t="shared" ca="1" si="14"/>
        <v>30</v>
      </c>
      <c r="AF54" s="2">
        <f t="shared" ca="1" si="15"/>
        <v>750</v>
      </c>
      <c r="AG54" s="9">
        <f t="shared" ca="1" si="16"/>
        <v>27.712962962962965</v>
      </c>
      <c r="AH54" s="9">
        <f t="shared" ca="1" si="17"/>
        <v>9.2601851851851844</v>
      </c>
      <c r="AJ54" s="190">
        <f t="shared" ca="1" si="7"/>
        <v>2872.0547222222208</v>
      </c>
      <c r="AK54" s="190">
        <f t="shared" ca="1" si="8"/>
        <v>3109.4196666666649</v>
      </c>
    </row>
    <row r="55" spans="1:37" x14ac:dyDescent="0.25">
      <c r="A55" s="68">
        <f t="shared" si="2"/>
        <v>32</v>
      </c>
      <c r="B55" s="68" t="str">
        <f t="shared" si="3"/>
        <v>amortização</v>
      </c>
      <c r="C55" s="156">
        <f t="shared" ca="1" si="9"/>
        <v>923.62187499999845</v>
      </c>
      <c r="D55" s="156">
        <f t="shared" ca="1" si="18"/>
        <v>1916.8055555555557</v>
      </c>
      <c r="E55" s="162">
        <f t="shared" ca="1" si="5"/>
        <v>54060.277777777679</v>
      </c>
      <c r="F55" s="156">
        <f t="shared" ca="1" si="6"/>
        <v>2840.4274305555541</v>
      </c>
      <c r="G55" s="67"/>
      <c r="AA55" s="2">
        <f t="shared" si="11"/>
        <v>26</v>
      </c>
      <c r="AB55" s="8">
        <f t="shared" ca="1" si="12"/>
        <v>47020</v>
      </c>
      <c r="AC55" s="9">
        <f t="shared" ca="1" si="13"/>
        <v>62962.96296296292</v>
      </c>
      <c r="AD55" s="9">
        <f t="shared" si="10"/>
        <v>1851.851851851852</v>
      </c>
      <c r="AE55" s="2">
        <f t="shared" ca="1" si="14"/>
        <v>30</v>
      </c>
      <c r="AF55" s="2">
        <f t="shared" ca="1" si="15"/>
        <v>780</v>
      </c>
      <c r="AG55" s="9">
        <f t="shared" ca="1" si="16"/>
        <v>27.712962962962965</v>
      </c>
      <c r="AH55" s="9">
        <f t="shared" ca="1" si="17"/>
        <v>9.2601851851851844</v>
      </c>
      <c r="AJ55" s="190">
        <f t="shared" ca="1" si="7"/>
        <v>2840.4274305555541</v>
      </c>
      <c r="AK55" s="190">
        <f t="shared" ca="1" si="8"/>
        <v>3069.9334722222202</v>
      </c>
    </row>
    <row r="56" spans="1:37" x14ac:dyDescent="0.25">
      <c r="A56" s="68">
        <f t="shared" si="2"/>
        <v>33</v>
      </c>
      <c r="B56" s="68" t="str">
        <f t="shared" si="3"/>
        <v>amortização</v>
      </c>
      <c r="C56" s="156">
        <f t="shared" ca="1" si="9"/>
        <v>891.99458333333178</v>
      </c>
      <c r="D56" s="156">
        <f t="shared" ca="1" si="18"/>
        <v>1916.8055555555557</v>
      </c>
      <c r="E56" s="162">
        <f t="shared" ca="1" si="5"/>
        <v>52143.472222222124</v>
      </c>
      <c r="F56" s="156">
        <f t="shared" ca="1" si="6"/>
        <v>2808.8001388888874</v>
      </c>
      <c r="G56" s="67"/>
      <c r="AA56" s="2">
        <f t="shared" si="11"/>
        <v>27</v>
      </c>
      <c r="AB56" s="8">
        <f t="shared" ca="1" si="12"/>
        <v>47050</v>
      </c>
      <c r="AC56" s="9">
        <f t="shared" ca="1" si="13"/>
        <v>61111.111111111066</v>
      </c>
      <c r="AD56" s="9">
        <f t="shared" si="10"/>
        <v>1851.851851851852</v>
      </c>
      <c r="AE56" s="2">
        <f t="shared" ca="1" si="14"/>
        <v>30</v>
      </c>
      <c r="AF56" s="2">
        <f t="shared" ca="1" si="15"/>
        <v>810</v>
      </c>
      <c r="AG56" s="9">
        <f t="shared" ca="1" si="16"/>
        <v>27.712962962962965</v>
      </c>
      <c r="AH56" s="9">
        <f t="shared" ca="1" si="17"/>
        <v>9.2601851851851844</v>
      </c>
      <c r="AJ56" s="190">
        <f t="shared" ca="1" si="7"/>
        <v>2808.8001388888874</v>
      </c>
      <c r="AK56" s="190">
        <f t="shared" ca="1" si="8"/>
        <v>3030.4472777777755</v>
      </c>
    </row>
    <row r="57" spans="1:37" x14ac:dyDescent="0.25">
      <c r="A57" s="68">
        <f t="shared" si="2"/>
        <v>34</v>
      </c>
      <c r="B57" s="68" t="str">
        <f t="shared" si="3"/>
        <v>amortização</v>
      </c>
      <c r="C57" s="156">
        <f t="shared" ca="1" si="9"/>
        <v>860.3672916666651</v>
      </c>
      <c r="D57" s="156">
        <f t="shared" ca="1" si="18"/>
        <v>1916.8055555555557</v>
      </c>
      <c r="E57" s="162">
        <f t="shared" ca="1" si="5"/>
        <v>50226.66666666657</v>
      </c>
      <c r="F57" s="156">
        <f t="shared" ca="1" si="6"/>
        <v>2777.1728472222208</v>
      </c>
      <c r="G57" s="67"/>
      <c r="AA57" s="2">
        <f t="shared" si="11"/>
        <v>28</v>
      </c>
      <c r="AB57" s="8">
        <f t="shared" ca="1" si="12"/>
        <v>47080</v>
      </c>
      <c r="AC57" s="9">
        <f t="shared" ca="1" si="13"/>
        <v>59259.259259259212</v>
      </c>
      <c r="AD57" s="9">
        <f t="shared" si="10"/>
        <v>1851.851851851852</v>
      </c>
      <c r="AE57" s="2">
        <f t="shared" ca="1" si="14"/>
        <v>30</v>
      </c>
      <c r="AF57" s="2">
        <f t="shared" ca="1" si="15"/>
        <v>840</v>
      </c>
      <c r="AG57" s="9">
        <f t="shared" ca="1" si="16"/>
        <v>27.712962962962965</v>
      </c>
      <c r="AH57" s="9">
        <f t="shared" ca="1" si="17"/>
        <v>9.2601851851851844</v>
      </c>
      <c r="AJ57" s="190">
        <f t="shared" ca="1" si="7"/>
        <v>2777.1728472222208</v>
      </c>
      <c r="AK57" s="190">
        <f t="shared" ca="1" si="8"/>
        <v>2990.9610833333318</v>
      </c>
    </row>
    <row r="58" spans="1:37" x14ac:dyDescent="0.25">
      <c r="A58" s="68">
        <f t="shared" si="2"/>
        <v>35</v>
      </c>
      <c r="B58" s="68" t="str">
        <f t="shared" si="3"/>
        <v>amortização</v>
      </c>
      <c r="C58" s="156">
        <f t="shared" ca="1" si="9"/>
        <v>828.73999999999842</v>
      </c>
      <c r="D58" s="156">
        <f t="shared" ca="1" si="18"/>
        <v>1916.8055555555557</v>
      </c>
      <c r="E58" s="162">
        <f t="shared" ca="1" si="5"/>
        <v>48309.861111111015</v>
      </c>
      <c r="F58" s="156">
        <f t="shared" ca="1" si="6"/>
        <v>2745.5455555555541</v>
      </c>
      <c r="G58" s="67"/>
      <c r="AA58" s="2">
        <f t="shared" si="11"/>
        <v>29</v>
      </c>
      <c r="AB58" s="8">
        <f t="shared" ca="1" si="12"/>
        <v>47110</v>
      </c>
      <c r="AC58" s="9">
        <f t="shared" ca="1" si="13"/>
        <v>57407.407407407358</v>
      </c>
      <c r="AD58" s="9">
        <f t="shared" si="10"/>
        <v>1851.851851851852</v>
      </c>
      <c r="AE58" s="2">
        <f t="shared" ca="1" si="14"/>
        <v>30</v>
      </c>
      <c r="AF58" s="2">
        <f t="shared" ca="1" si="15"/>
        <v>870</v>
      </c>
      <c r="AG58" s="9">
        <f t="shared" ca="1" si="16"/>
        <v>27.712962962962965</v>
      </c>
      <c r="AH58" s="9">
        <f t="shared" ca="1" si="17"/>
        <v>9.2601851851851844</v>
      </c>
      <c r="AJ58" s="190">
        <f t="shared" ca="1" si="7"/>
        <v>2745.5455555555541</v>
      </c>
      <c r="AK58" s="190">
        <f t="shared" ca="1" si="8"/>
        <v>2951.4748888888871</v>
      </c>
    </row>
    <row r="59" spans="1:37" x14ac:dyDescent="0.25">
      <c r="A59" s="68">
        <f t="shared" si="2"/>
        <v>36</v>
      </c>
      <c r="B59" s="68" t="str">
        <f t="shared" si="3"/>
        <v>amortização</v>
      </c>
      <c r="C59" s="156">
        <f t="shared" ca="1" si="9"/>
        <v>797.11270833333174</v>
      </c>
      <c r="D59" s="156">
        <f t="shared" ca="1" si="18"/>
        <v>1916.8055555555557</v>
      </c>
      <c r="E59" s="162">
        <f t="shared" ca="1" si="5"/>
        <v>46393.05555555546</v>
      </c>
      <c r="F59" s="156">
        <f t="shared" ca="1" si="6"/>
        <v>2713.9182638888874</v>
      </c>
      <c r="G59" s="67"/>
      <c r="AA59" s="2">
        <f t="shared" si="11"/>
        <v>30</v>
      </c>
      <c r="AB59" s="8">
        <f t="shared" ca="1" si="12"/>
        <v>47140</v>
      </c>
      <c r="AC59" s="9">
        <f t="shared" ca="1" si="13"/>
        <v>55555.555555555504</v>
      </c>
      <c r="AD59" s="9">
        <f t="shared" si="10"/>
        <v>1851.851851851852</v>
      </c>
      <c r="AE59" s="2">
        <f t="shared" ca="1" si="14"/>
        <v>30</v>
      </c>
      <c r="AF59" s="2">
        <f t="shared" ca="1" si="15"/>
        <v>900</v>
      </c>
      <c r="AG59" s="9">
        <f t="shared" ca="1" si="16"/>
        <v>27.712962962962965</v>
      </c>
      <c r="AH59" s="9">
        <f t="shared" ca="1" si="17"/>
        <v>9.2601851851851844</v>
      </c>
      <c r="AJ59" s="190">
        <f t="shared" ca="1" si="7"/>
        <v>2713.9182638888874</v>
      </c>
      <c r="AK59" s="190">
        <f t="shared" ca="1" si="8"/>
        <v>2911.9886944444424</v>
      </c>
    </row>
    <row r="60" spans="1:37" x14ac:dyDescent="0.25">
      <c r="A60" s="68">
        <f t="shared" si="2"/>
        <v>37</v>
      </c>
      <c r="B60" s="68" t="str">
        <f t="shared" si="3"/>
        <v>amortização</v>
      </c>
      <c r="C60" s="156">
        <f t="shared" ca="1" si="9"/>
        <v>765.48541666666517</v>
      </c>
      <c r="D60" s="156">
        <f t="shared" ca="1" si="18"/>
        <v>1916.8055555555557</v>
      </c>
      <c r="E60" s="162">
        <f t="shared" ca="1" si="5"/>
        <v>44476.249999999905</v>
      </c>
      <c r="F60" s="156">
        <f t="shared" ca="1" si="6"/>
        <v>2682.2909722222207</v>
      </c>
      <c r="G60" s="67"/>
      <c r="AA60" s="2">
        <f t="shared" si="11"/>
        <v>31</v>
      </c>
      <c r="AB60" s="8">
        <f t="shared" ca="1" si="12"/>
        <v>47170</v>
      </c>
      <c r="AC60" s="9">
        <f t="shared" ca="1" si="13"/>
        <v>53703.70370370365</v>
      </c>
      <c r="AD60" s="9">
        <f t="shared" si="10"/>
        <v>1851.851851851852</v>
      </c>
      <c r="AE60" s="2">
        <f t="shared" ca="1" si="14"/>
        <v>30</v>
      </c>
      <c r="AF60" s="2">
        <f t="shared" ca="1" si="15"/>
        <v>930</v>
      </c>
      <c r="AG60" s="9">
        <f t="shared" ca="1" si="16"/>
        <v>27.712962962962965</v>
      </c>
      <c r="AH60" s="9">
        <f t="shared" ca="1" si="17"/>
        <v>9.2601851851851844</v>
      </c>
      <c r="AJ60" s="190">
        <f t="shared" ca="1" si="7"/>
        <v>2682.2909722222207</v>
      </c>
      <c r="AK60" s="190">
        <f t="shared" ca="1" si="8"/>
        <v>2872.5024999999982</v>
      </c>
    </row>
    <row r="61" spans="1:37" x14ac:dyDescent="0.25">
      <c r="A61" s="68">
        <f t="shared" si="2"/>
        <v>38</v>
      </c>
      <c r="B61" s="68" t="str">
        <f t="shared" si="3"/>
        <v>amortização</v>
      </c>
      <c r="C61" s="156">
        <f t="shared" ca="1" si="9"/>
        <v>733.85812499999849</v>
      </c>
      <c r="D61" s="156">
        <f t="shared" ca="1" si="18"/>
        <v>1916.8055555555557</v>
      </c>
      <c r="E61" s="162">
        <f t="shared" ca="1" si="5"/>
        <v>42559.444444444351</v>
      </c>
      <c r="F61" s="156">
        <f t="shared" ca="1" si="6"/>
        <v>2650.663680555554</v>
      </c>
      <c r="G61" s="67"/>
      <c r="AA61" s="2">
        <f t="shared" si="11"/>
        <v>32</v>
      </c>
      <c r="AB61" s="8">
        <f t="shared" ca="1" si="12"/>
        <v>47200</v>
      </c>
      <c r="AC61" s="9">
        <f t="shared" ca="1" si="13"/>
        <v>51851.851851851796</v>
      </c>
      <c r="AD61" s="9">
        <f t="shared" si="10"/>
        <v>1851.851851851852</v>
      </c>
      <c r="AE61" s="2">
        <f t="shared" ca="1" si="14"/>
        <v>30</v>
      </c>
      <c r="AF61" s="2">
        <f t="shared" ca="1" si="15"/>
        <v>960</v>
      </c>
      <c r="AG61" s="9">
        <f t="shared" ca="1" si="16"/>
        <v>27.712962962962965</v>
      </c>
      <c r="AH61" s="9">
        <f t="shared" ca="1" si="17"/>
        <v>9.2601851851851844</v>
      </c>
      <c r="AJ61" s="190">
        <f t="shared" ca="1" si="7"/>
        <v>2650.663680555554</v>
      </c>
      <c r="AK61" s="190">
        <f t="shared" ca="1" si="8"/>
        <v>2833.0163055555536</v>
      </c>
    </row>
    <row r="62" spans="1:37" x14ac:dyDescent="0.25">
      <c r="A62" s="68">
        <f t="shared" si="2"/>
        <v>39</v>
      </c>
      <c r="B62" s="68" t="str">
        <f t="shared" si="3"/>
        <v>amortização</v>
      </c>
      <c r="C62" s="156">
        <f t="shared" ca="1" si="9"/>
        <v>702.23083333333182</v>
      </c>
      <c r="D62" s="156">
        <f t="shared" ca="1" si="18"/>
        <v>1916.8055555555557</v>
      </c>
      <c r="E62" s="162">
        <f t="shared" ca="1" si="5"/>
        <v>40642.638888888796</v>
      </c>
      <c r="F62" s="156">
        <f t="shared" ca="1" si="6"/>
        <v>2619.0363888888874</v>
      </c>
      <c r="G62" s="67"/>
      <c r="AA62" s="2">
        <f t="shared" si="11"/>
        <v>33</v>
      </c>
      <c r="AB62" s="8">
        <f t="shared" ca="1" si="12"/>
        <v>47230</v>
      </c>
      <c r="AC62" s="9">
        <f t="shared" ca="1" si="13"/>
        <v>49999.999999999942</v>
      </c>
      <c r="AD62" s="9">
        <f t="shared" si="10"/>
        <v>1851.851851851852</v>
      </c>
      <c r="AE62" s="2">
        <f t="shared" ca="1" si="14"/>
        <v>30</v>
      </c>
      <c r="AF62" s="2">
        <f t="shared" ca="1" si="15"/>
        <v>990</v>
      </c>
      <c r="AG62" s="9">
        <f t="shared" ca="1" si="16"/>
        <v>27.712962962962965</v>
      </c>
      <c r="AH62" s="9">
        <f t="shared" ca="1" si="17"/>
        <v>9.2601851851851844</v>
      </c>
      <c r="AJ62" s="190">
        <f t="shared" ca="1" si="7"/>
        <v>2619.0363888888874</v>
      </c>
      <c r="AK62" s="190">
        <f t="shared" ca="1" si="8"/>
        <v>2793.5301111111094</v>
      </c>
    </row>
    <row r="63" spans="1:37" x14ac:dyDescent="0.25">
      <c r="A63" s="68">
        <f t="shared" si="2"/>
        <v>40</v>
      </c>
      <c r="B63" s="68" t="str">
        <f t="shared" si="3"/>
        <v>amortização</v>
      </c>
      <c r="C63" s="156">
        <f t="shared" ca="1" si="9"/>
        <v>670.60354166666514</v>
      </c>
      <c r="D63" s="156">
        <f t="shared" ca="1" si="18"/>
        <v>1916.8055555555557</v>
      </c>
      <c r="E63" s="162">
        <f t="shared" ca="1" si="5"/>
        <v>38725.833333333241</v>
      </c>
      <c r="F63" s="156">
        <f t="shared" ca="1" si="6"/>
        <v>2587.4090972222207</v>
      </c>
      <c r="G63" s="67"/>
      <c r="AA63" s="2">
        <f t="shared" si="11"/>
        <v>34</v>
      </c>
      <c r="AB63" s="8">
        <f t="shared" ca="1" si="12"/>
        <v>47260</v>
      </c>
      <c r="AC63" s="9">
        <f t="shared" ca="1" si="13"/>
        <v>48148.148148148088</v>
      </c>
      <c r="AD63" s="9">
        <f t="shared" si="10"/>
        <v>1851.851851851852</v>
      </c>
      <c r="AE63" s="2">
        <f t="shared" ca="1" si="14"/>
        <v>30</v>
      </c>
      <c r="AF63" s="2">
        <f t="shared" ca="1" si="15"/>
        <v>1020</v>
      </c>
      <c r="AG63" s="9">
        <f t="shared" ca="1" si="16"/>
        <v>27.712962962962965</v>
      </c>
      <c r="AH63" s="9">
        <f t="shared" ca="1" si="17"/>
        <v>9.2601851851851844</v>
      </c>
      <c r="AJ63" s="190">
        <f t="shared" ca="1" si="7"/>
        <v>2587.4090972222207</v>
      </c>
      <c r="AK63" s="190">
        <f t="shared" ca="1" si="8"/>
        <v>2754.0439166666647</v>
      </c>
    </row>
    <row r="64" spans="1:37" x14ac:dyDescent="0.25">
      <c r="A64" s="68">
        <f t="shared" si="2"/>
        <v>41</v>
      </c>
      <c r="B64" s="68" t="str">
        <f t="shared" si="3"/>
        <v>amortização</v>
      </c>
      <c r="C64" s="156">
        <f t="shared" ca="1" si="9"/>
        <v>638.97624999999846</v>
      </c>
      <c r="D64" s="156">
        <f t="shared" ca="1" si="18"/>
        <v>1916.8055555555557</v>
      </c>
      <c r="E64" s="162">
        <f t="shared" ca="1" si="5"/>
        <v>36809.027777777686</v>
      </c>
      <c r="F64" s="156">
        <f t="shared" ca="1" si="6"/>
        <v>2555.781805555554</v>
      </c>
      <c r="G64" s="67"/>
      <c r="AA64" s="2">
        <f t="shared" si="11"/>
        <v>35</v>
      </c>
      <c r="AB64" s="8">
        <f t="shared" ca="1" si="12"/>
        <v>47290</v>
      </c>
      <c r="AC64" s="9">
        <f t="shared" ca="1" si="13"/>
        <v>46296.296296296234</v>
      </c>
      <c r="AD64" s="9">
        <f t="shared" si="10"/>
        <v>1851.851851851852</v>
      </c>
      <c r="AE64" s="2">
        <f t="shared" ca="1" si="14"/>
        <v>30</v>
      </c>
      <c r="AF64" s="2">
        <f t="shared" ca="1" si="15"/>
        <v>1050</v>
      </c>
      <c r="AG64" s="9">
        <f t="shared" ca="1" si="16"/>
        <v>27.712962962962965</v>
      </c>
      <c r="AH64" s="9">
        <f t="shared" ca="1" si="17"/>
        <v>9.2601851851851844</v>
      </c>
      <c r="AJ64" s="190">
        <f t="shared" ca="1" si="7"/>
        <v>2555.781805555554</v>
      </c>
      <c r="AK64" s="190">
        <f t="shared" ca="1" si="8"/>
        <v>2714.5577222222205</v>
      </c>
    </row>
    <row r="65" spans="1:37" x14ac:dyDescent="0.25">
      <c r="A65" s="68">
        <f t="shared" si="2"/>
        <v>42</v>
      </c>
      <c r="B65" s="68" t="str">
        <f t="shared" si="3"/>
        <v>amortização</v>
      </c>
      <c r="C65" s="156">
        <f t="shared" ca="1" si="9"/>
        <v>607.34895833333189</v>
      </c>
      <c r="D65" s="156">
        <f t="shared" ca="1" si="18"/>
        <v>1916.8055555555557</v>
      </c>
      <c r="E65" s="162">
        <f t="shared" ca="1" si="5"/>
        <v>34892.222222222132</v>
      </c>
      <c r="F65" s="156">
        <f t="shared" ca="1" si="6"/>
        <v>2524.1545138888878</v>
      </c>
      <c r="G65" s="67"/>
      <c r="AA65" s="2">
        <f t="shared" si="11"/>
        <v>36</v>
      </c>
      <c r="AB65" s="8">
        <f t="shared" ca="1" si="12"/>
        <v>47320</v>
      </c>
      <c r="AC65" s="9">
        <f t="shared" ca="1" si="13"/>
        <v>44444.44444444438</v>
      </c>
      <c r="AD65" s="9">
        <f t="shared" si="10"/>
        <v>1851.851851851852</v>
      </c>
      <c r="AE65" s="2">
        <f t="shared" ca="1" si="14"/>
        <v>30</v>
      </c>
      <c r="AF65" s="2">
        <f t="shared" ca="1" si="15"/>
        <v>1080</v>
      </c>
      <c r="AG65" s="9">
        <f t="shared" ca="1" si="16"/>
        <v>27.712962962962965</v>
      </c>
      <c r="AH65" s="9">
        <f t="shared" ca="1" si="17"/>
        <v>9.2601851851851844</v>
      </c>
      <c r="AJ65" s="190">
        <f t="shared" ca="1" si="7"/>
        <v>2524.1545138888878</v>
      </c>
      <c r="AK65" s="190">
        <f t="shared" ca="1" si="8"/>
        <v>2675.0715277777763</v>
      </c>
    </row>
    <row r="66" spans="1:37" x14ac:dyDescent="0.25">
      <c r="A66" s="68">
        <f t="shared" si="2"/>
        <v>43</v>
      </c>
      <c r="B66" s="68" t="str">
        <f t="shared" si="3"/>
        <v>amortização</v>
      </c>
      <c r="C66" s="156">
        <f t="shared" ca="1" si="9"/>
        <v>575.72166666666521</v>
      </c>
      <c r="D66" s="156">
        <f t="shared" ca="1" si="18"/>
        <v>1916.8055555555557</v>
      </c>
      <c r="E66" s="162">
        <f t="shared" ca="1" si="5"/>
        <v>32975.416666666577</v>
      </c>
      <c r="F66" s="156">
        <f t="shared" ca="1" si="6"/>
        <v>2492.5272222222211</v>
      </c>
      <c r="G66" s="67"/>
      <c r="AA66" s="2">
        <f t="shared" si="11"/>
        <v>37</v>
      </c>
      <c r="AB66" s="8">
        <f t="shared" ca="1" si="12"/>
        <v>47350</v>
      </c>
      <c r="AC66" s="9">
        <f t="shared" ca="1" si="13"/>
        <v>42592.592592592526</v>
      </c>
      <c r="AD66" s="9">
        <f t="shared" si="10"/>
        <v>1851.851851851852</v>
      </c>
      <c r="AE66" s="2">
        <f t="shared" ca="1" si="14"/>
        <v>30</v>
      </c>
      <c r="AF66" s="2">
        <f t="shared" ca="1" si="15"/>
        <v>1110</v>
      </c>
      <c r="AG66" s="9">
        <f t="shared" ca="1" si="16"/>
        <v>27.712962962962965</v>
      </c>
      <c r="AH66" s="9">
        <f t="shared" ca="1" si="17"/>
        <v>9.2601851851851844</v>
      </c>
      <c r="AJ66" s="190">
        <f t="shared" ca="1" si="7"/>
        <v>2492.5272222222211</v>
      </c>
      <c r="AK66" s="190">
        <f t="shared" ca="1" si="8"/>
        <v>2635.5853333333316</v>
      </c>
    </row>
    <row r="67" spans="1:37" x14ac:dyDescent="0.25">
      <c r="A67" s="68">
        <f t="shared" si="2"/>
        <v>44</v>
      </c>
      <c r="B67" s="68" t="str">
        <f t="shared" si="3"/>
        <v>amortização</v>
      </c>
      <c r="C67" s="156">
        <f t="shared" ca="1" si="9"/>
        <v>544.09437499999854</v>
      </c>
      <c r="D67" s="156">
        <f t="shared" ca="1" si="18"/>
        <v>1916.8055555555557</v>
      </c>
      <c r="E67" s="162">
        <f t="shared" ca="1" si="5"/>
        <v>31058.611111111022</v>
      </c>
      <c r="F67" s="156">
        <f t="shared" ca="1" si="6"/>
        <v>2460.8999305555544</v>
      </c>
      <c r="G67" s="67"/>
      <c r="AA67" s="2">
        <f t="shared" si="11"/>
        <v>38</v>
      </c>
      <c r="AB67" s="8">
        <f t="shared" ca="1" si="12"/>
        <v>47380</v>
      </c>
      <c r="AC67" s="9">
        <f t="shared" ca="1" si="13"/>
        <v>40740.740740740672</v>
      </c>
      <c r="AD67" s="9">
        <f t="shared" si="10"/>
        <v>1851.851851851852</v>
      </c>
      <c r="AE67" s="2">
        <f t="shared" ca="1" si="14"/>
        <v>30</v>
      </c>
      <c r="AF67" s="2">
        <f t="shared" ca="1" si="15"/>
        <v>1140</v>
      </c>
      <c r="AG67" s="9">
        <f t="shared" ca="1" si="16"/>
        <v>27.712962962962965</v>
      </c>
      <c r="AH67" s="9">
        <f t="shared" ca="1" si="17"/>
        <v>9.2601851851851844</v>
      </c>
      <c r="AJ67" s="190">
        <f t="shared" ca="1" si="7"/>
        <v>2460.8999305555544</v>
      </c>
      <c r="AK67" s="190">
        <f t="shared" ca="1" si="8"/>
        <v>2596.099138888887</v>
      </c>
    </row>
    <row r="68" spans="1:37" x14ac:dyDescent="0.25">
      <c r="A68" s="68">
        <f t="shared" si="2"/>
        <v>45</v>
      </c>
      <c r="B68" s="68" t="str">
        <f t="shared" si="3"/>
        <v>amortização</v>
      </c>
      <c r="C68" s="156">
        <f t="shared" ca="1" si="9"/>
        <v>512.46708333333186</v>
      </c>
      <c r="D68" s="156">
        <f t="shared" ca="1" si="18"/>
        <v>1916.8055555555557</v>
      </c>
      <c r="E68" s="162">
        <f t="shared" ca="1" si="5"/>
        <v>29141.805555555467</v>
      </c>
      <c r="F68" s="156">
        <f t="shared" ca="1" si="6"/>
        <v>2429.2726388888877</v>
      </c>
      <c r="G68" s="67"/>
      <c r="AA68" s="2">
        <f t="shared" si="11"/>
        <v>39</v>
      </c>
      <c r="AB68" s="8">
        <f t="shared" ca="1" si="12"/>
        <v>47410</v>
      </c>
      <c r="AC68" s="9">
        <f t="shared" ca="1" si="13"/>
        <v>38888.888888888818</v>
      </c>
      <c r="AD68" s="9">
        <f t="shared" si="10"/>
        <v>1851.851851851852</v>
      </c>
      <c r="AE68" s="2">
        <f t="shared" ca="1" si="14"/>
        <v>30</v>
      </c>
      <c r="AF68" s="2">
        <f t="shared" ca="1" si="15"/>
        <v>1170</v>
      </c>
      <c r="AG68" s="9">
        <f t="shared" ca="1" si="16"/>
        <v>27.712962962962965</v>
      </c>
      <c r="AH68" s="9">
        <f t="shared" ca="1" si="17"/>
        <v>9.2601851851851844</v>
      </c>
      <c r="AJ68" s="190">
        <f t="shared" ca="1" si="7"/>
        <v>2429.2726388888877</v>
      </c>
      <c r="AK68" s="190">
        <f t="shared" ca="1" si="8"/>
        <v>2556.6129444444427</v>
      </c>
    </row>
    <row r="69" spans="1:37" x14ac:dyDescent="0.25">
      <c r="A69" s="68">
        <f t="shared" si="2"/>
        <v>46</v>
      </c>
      <c r="B69" s="68" t="str">
        <f t="shared" si="3"/>
        <v>amortização</v>
      </c>
      <c r="C69" s="156">
        <f t="shared" ca="1" si="9"/>
        <v>480.83979166666523</v>
      </c>
      <c r="D69" s="156">
        <f t="shared" ca="1" si="18"/>
        <v>1916.8055555555557</v>
      </c>
      <c r="E69" s="162">
        <f t="shared" ca="1" si="5"/>
        <v>27224.999999999913</v>
      </c>
      <c r="F69" s="156">
        <f t="shared" ca="1" si="6"/>
        <v>2397.6453472222211</v>
      </c>
      <c r="G69" s="67"/>
      <c r="AA69" s="2">
        <f t="shared" si="11"/>
        <v>40</v>
      </c>
      <c r="AB69" s="8">
        <f t="shared" ca="1" si="12"/>
        <v>47440</v>
      </c>
      <c r="AC69" s="9">
        <f t="shared" ca="1" si="13"/>
        <v>37037.037037036964</v>
      </c>
      <c r="AD69" s="9">
        <f t="shared" si="10"/>
        <v>1851.851851851852</v>
      </c>
      <c r="AE69" s="2">
        <f t="shared" ca="1" si="14"/>
        <v>30</v>
      </c>
      <c r="AF69" s="2">
        <f t="shared" ca="1" si="15"/>
        <v>1200</v>
      </c>
      <c r="AG69" s="9">
        <f t="shared" ca="1" si="16"/>
        <v>27.712962962962965</v>
      </c>
      <c r="AH69" s="9">
        <f t="shared" ca="1" si="17"/>
        <v>9.2601851851851844</v>
      </c>
      <c r="AJ69" s="190">
        <f t="shared" ca="1" si="7"/>
        <v>2397.6453472222211</v>
      </c>
      <c r="AK69" s="190">
        <f t="shared" ca="1" si="8"/>
        <v>2517.1267499999985</v>
      </c>
    </row>
    <row r="70" spans="1:37" x14ac:dyDescent="0.25">
      <c r="A70" s="68">
        <f t="shared" si="2"/>
        <v>47</v>
      </c>
      <c r="B70" s="68" t="str">
        <f t="shared" si="3"/>
        <v>amortização</v>
      </c>
      <c r="C70" s="156">
        <f t="shared" ca="1" si="9"/>
        <v>449.21249999999856</v>
      </c>
      <c r="D70" s="156">
        <f t="shared" ca="1" si="18"/>
        <v>1916.8055555555557</v>
      </c>
      <c r="E70" s="162">
        <f t="shared" ca="1" si="5"/>
        <v>25308.194444444358</v>
      </c>
      <c r="F70" s="156">
        <f t="shared" ca="1" si="6"/>
        <v>2366.0180555555544</v>
      </c>
      <c r="G70" s="67"/>
      <c r="AA70" s="2">
        <f t="shared" si="11"/>
        <v>41</v>
      </c>
      <c r="AB70" s="8">
        <f t="shared" ca="1" si="12"/>
        <v>47470</v>
      </c>
      <c r="AC70" s="9">
        <f t="shared" ca="1" si="13"/>
        <v>35185.18518518511</v>
      </c>
      <c r="AD70" s="9">
        <f t="shared" si="10"/>
        <v>1851.851851851852</v>
      </c>
      <c r="AE70" s="2">
        <f t="shared" ca="1" si="14"/>
        <v>30</v>
      </c>
      <c r="AF70" s="2">
        <f t="shared" ca="1" si="15"/>
        <v>1230</v>
      </c>
      <c r="AG70" s="9">
        <f t="shared" ca="1" si="16"/>
        <v>27.712962962962965</v>
      </c>
      <c r="AH70" s="9">
        <f t="shared" ca="1" si="17"/>
        <v>9.2601851851851844</v>
      </c>
      <c r="AJ70" s="190">
        <f t="shared" ca="1" si="7"/>
        <v>2366.0180555555544</v>
      </c>
      <c r="AK70" s="190">
        <f t="shared" ca="1" si="8"/>
        <v>2477.6405555555539</v>
      </c>
    </row>
    <row r="71" spans="1:37" x14ac:dyDescent="0.25">
      <c r="A71" s="68">
        <f t="shared" si="2"/>
        <v>48</v>
      </c>
      <c r="B71" s="68" t="str">
        <f t="shared" si="3"/>
        <v>amortização</v>
      </c>
      <c r="C71" s="156">
        <f t="shared" ca="1" si="9"/>
        <v>417.58520833333193</v>
      </c>
      <c r="D71" s="156">
        <f t="shared" ca="1" si="18"/>
        <v>1916.8055555555557</v>
      </c>
      <c r="E71" s="162">
        <f t="shared" ca="1" si="5"/>
        <v>23391.388888888803</v>
      </c>
      <c r="F71" s="156">
        <f t="shared" ca="1" si="6"/>
        <v>2334.3907638888877</v>
      </c>
      <c r="G71" s="67"/>
      <c r="AA71" s="2">
        <f t="shared" si="11"/>
        <v>42</v>
      </c>
      <c r="AB71" s="8">
        <f t="shared" ca="1" si="12"/>
        <v>47500</v>
      </c>
      <c r="AC71" s="9">
        <f t="shared" ca="1" si="13"/>
        <v>33333.333333333256</v>
      </c>
      <c r="AD71" s="9">
        <f t="shared" si="10"/>
        <v>1851.851851851852</v>
      </c>
      <c r="AE71" s="2">
        <f t="shared" ca="1" si="14"/>
        <v>30</v>
      </c>
      <c r="AF71" s="2">
        <f t="shared" ca="1" si="15"/>
        <v>1260</v>
      </c>
      <c r="AG71" s="9">
        <f t="shared" ca="1" si="16"/>
        <v>27.712962962962965</v>
      </c>
      <c r="AH71" s="9">
        <f t="shared" ca="1" si="17"/>
        <v>9.2601851851851844</v>
      </c>
      <c r="AJ71" s="190">
        <f t="shared" ca="1" si="7"/>
        <v>2334.3907638888877</v>
      </c>
      <c r="AK71" s="190">
        <f t="shared" ca="1" si="8"/>
        <v>2438.1543611111092</v>
      </c>
    </row>
    <row r="72" spans="1:37" x14ac:dyDescent="0.25">
      <c r="A72" s="68">
        <f t="shared" ref="A72:A85" si="19">IF(A71&lt;B$17,A71+1,"")</f>
        <v>49</v>
      </c>
      <c r="B72" s="68" t="str">
        <f t="shared" ref="B72:B85" si="20">IF(A72="","",IF(A72&lt;=B$16,"carência","amortização"))</f>
        <v>amortização</v>
      </c>
      <c r="C72" s="156">
        <f t="shared" ca="1" si="9"/>
        <v>385.95791666666526</v>
      </c>
      <c r="D72" s="156">
        <f t="shared" ref="D72:D85" ca="1" si="21">IF(C72="","",IF(A72&lt;=B$16,0,E$23/(B$17-B$16)))</f>
        <v>1916.8055555555557</v>
      </c>
      <c r="E72" s="162">
        <f t="shared" ref="E72:E85" ca="1" si="22">IF(F72="","",E71-D72)</f>
        <v>21474.583333333248</v>
      </c>
      <c r="F72" s="156">
        <f t="shared" ref="F72:F85" ca="1" si="23">IF(D72="","",D72+C72)</f>
        <v>2302.763472222221</v>
      </c>
      <c r="G72" s="67"/>
      <c r="AA72" s="2">
        <f t="shared" si="11"/>
        <v>43</v>
      </c>
      <c r="AB72" s="8">
        <f t="shared" ca="1" si="12"/>
        <v>47530</v>
      </c>
      <c r="AC72" s="9">
        <f t="shared" ca="1" si="13"/>
        <v>31481.481481481405</v>
      </c>
      <c r="AD72" s="9">
        <f t="shared" si="10"/>
        <v>1851.851851851852</v>
      </c>
      <c r="AE72" s="2">
        <f t="shared" ca="1" si="14"/>
        <v>30</v>
      </c>
      <c r="AF72" s="2">
        <f t="shared" ca="1" si="15"/>
        <v>1290</v>
      </c>
      <c r="AG72" s="9">
        <f t="shared" ca="1" si="16"/>
        <v>27.712962962962965</v>
      </c>
      <c r="AH72" s="9">
        <f t="shared" ca="1" si="17"/>
        <v>9.2601851851851844</v>
      </c>
      <c r="AJ72" s="190">
        <f t="shared" ca="1" si="7"/>
        <v>2302.763472222221</v>
      </c>
      <c r="AK72" s="190">
        <f ca="1">IF(A72&lt;=$B$17,E71*$D$15+D72,0)</f>
        <v>2398.668166666665</v>
      </c>
    </row>
    <row r="73" spans="1:37" x14ac:dyDescent="0.25">
      <c r="A73" s="68">
        <f t="shared" si="19"/>
        <v>50</v>
      </c>
      <c r="B73" s="68" t="str">
        <f t="shared" si="20"/>
        <v>amortização</v>
      </c>
      <c r="C73" s="156">
        <f t="shared" ca="1" si="9"/>
        <v>354.33062499999863</v>
      </c>
      <c r="D73" s="156">
        <f t="shared" ca="1" si="21"/>
        <v>1916.8055555555557</v>
      </c>
      <c r="E73" s="162">
        <f t="shared" ca="1" si="22"/>
        <v>19557.777777777694</v>
      </c>
      <c r="F73" s="156">
        <f t="shared" ca="1" si="23"/>
        <v>2271.1361805555543</v>
      </c>
      <c r="G73" s="67"/>
      <c r="AA73" s="2">
        <f t="shared" si="11"/>
        <v>44</v>
      </c>
      <c r="AB73" s="8">
        <f t="shared" ca="1" si="12"/>
        <v>47560</v>
      </c>
      <c r="AC73" s="9">
        <f t="shared" ca="1" si="13"/>
        <v>29629.629629629555</v>
      </c>
      <c r="AD73" s="9">
        <f t="shared" si="10"/>
        <v>1851.851851851852</v>
      </c>
      <c r="AE73" s="2">
        <f t="shared" ca="1" si="14"/>
        <v>30</v>
      </c>
      <c r="AF73" s="2">
        <f t="shared" ca="1" si="15"/>
        <v>1320</v>
      </c>
      <c r="AG73" s="9">
        <f t="shared" ca="1" si="16"/>
        <v>27.712962962962965</v>
      </c>
      <c r="AH73" s="9">
        <f t="shared" ca="1" si="17"/>
        <v>9.2601851851851844</v>
      </c>
      <c r="AJ73" s="190">
        <f t="shared" ca="1" si="7"/>
        <v>2271.1361805555543</v>
      </c>
      <c r="AK73" s="190">
        <f t="shared" ca="1" si="8"/>
        <v>2359.1819722222208</v>
      </c>
    </row>
    <row r="74" spans="1:37" x14ac:dyDescent="0.25">
      <c r="A74" s="68">
        <f t="shared" si="19"/>
        <v>51</v>
      </c>
      <c r="B74" s="68" t="str">
        <f t="shared" si="20"/>
        <v>amortização</v>
      </c>
      <c r="C74" s="156">
        <f t="shared" ca="1" si="9"/>
        <v>322.70333333333195</v>
      </c>
      <c r="D74" s="156">
        <f t="shared" ca="1" si="21"/>
        <v>1916.8055555555557</v>
      </c>
      <c r="E74" s="162">
        <f t="shared" ca="1" si="22"/>
        <v>17640.972222222139</v>
      </c>
      <c r="F74" s="156">
        <f t="shared" ca="1" si="23"/>
        <v>2239.5088888888877</v>
      </c>
      <c r="G74" s="67"/>
      <c r="AA74" s="2">
        <f t="shared" si="11"/>
        <v>45</v>
      </c>
      <c r="AB74" s="8">
        <f t="shared" ca="1" si="12"/>
        <v>47590</v>
      </c>
      <c r="AC74" s="9">
        <f t="shared" ca="1" si="13"/>
        <v>27777.777777777705</v>
      </c>
      <c r="AD74" s="9">
        <f t="shared" si="10"/>
        <v>1851.851851851852</v>
      </c>
      <c r="AE74" s="2">
        <f t="shared" ca="1" si="14"/>
        <v>30</v>
      </c>
      <c r="AF74" s="2">
        <f t="shared" ca="1" si="15"/>
        <v>1350</v>
      </c>
      <c r="AG74" s="9">
        <f t="shared" ca="1" si="16"/>
        <v>27.712962962962965</v>
      </c>
      <c r="AH74" s="9">
        <f t="shared" ca="1" si="17"/>
        <v>9.2601851851851844</v>
      </c>
      <c r="AJ74" s="190">
        <f t="shared" ca="1" si="7"/>
        <v>2239.5088888888877</v>
      </c>
      <c r="AK74" s="190">
        <f t="shared" ca="1" si="8"/>
        <v>2319.6957777777761</v>
      </c>
    </row>
    <row r="75" spans="1:37" x14ac:dyDescent="0.25">
      <c r="A75" s="68">
        <f t="shared" si="19"/>
        <v>52</v>
      </c>
      <c r="B75" s="68" t="str">
        <f t="shared" si="20"/>
        <v>amortização</v>
      </c>
      <c r="C75" s="156">
        <f t="shared" ca="1" si="9"/>
        <v>291.07604166666533</v>
      </c>
      <c r="D75" s="156">
        <f t="shared" ca="1" si="21"/>
        <v>1916.8055555555557</v>
      </c>
      <c r="E75" s="162">
        <f t="shared" ca="1" si="22"/>
        <v>15724.166666666584</v>
      </c>
      <c r="F75" s="156">
        <f t="shared" ca="1" si="23"/>
        <v>2207.881597222221</v>
      </c>
      <c r="G75" s="67"/>
      <c r="AA75" s="2">
        <f t="shared" si="11"/>
        <v>46</v>
      </c>
      <c r="AB75" s="8">
        <f t="shared" ca="1" si="12"/>
        <v>47620</v>
      </c>
      <c r="AC75" s="9">
        <f t="shared" ca="1" si="13"/>
        <v>25925.925925925854</v>
      </c>
      <c r="AD75" s="9">
        <f t="shared" si="10"/>
        <v>1851.851851851852</v>
      </c>
      <c r="AE75" s="2">
        <f t="shared" ca="1" si="14"/>
        <v>30</v>
      </c>
      <c r="AF75" s="2">
        <f t="shared" ca="1" si="15"/>
        <v>1380</v>
      </c>
      <c r="AG75" s="9">
        <f t="shared" ca="1" si="16"/>
        <v>27.712962962962965</v>
      </c>
      <c r="AH75" s="9">
        <f t="shared" ca="1" si="17"/>
        <v>9.2601851851851844</v>
      </c>
      <c r="AJ75" s="190">
        <f t="shared" ca="1" si="7"/>
        <v>2207.881597222221</v>
      </c>
      <c r="AK75" s="190">
        <f t="shared" ca="1" si="8"/>
        <v>2280.2095833333319</v>
      </c>
    </row>
    <row r="76" spans="1:37" x14ac:dyDescent="0.25">
      <c r="A76" s="68">
        <f t="shared" si="19"/>
        <v>53</v>
      </c>
      <c r="B76" s="68" t="str">
        <f t="shared" si="20"/>
        <v>amortização</v>
      </c>
      <c r="C76" s="156">
        <f t="shared" ca="1" si="9"/>
        <v>259.44874999999865</v>
      </c>
      <c r="D76" s="156">
        <f t="shared" ca="1" si="21"/>
        <v>1916.8055555555557</v>
      </c>
      <c r="E76" s="162">
        <f t="shared" ca="1" si="22"/>
        <v>13807.361111111029</v>
      </c>
      <c r="F76" s="156">
        <f t="shared" ca="1" si="23"/>
        <v>2176.2543055555543</v>
      </c>
      <c r="G76" s="67"/>
      <c r="AA76" s="2">
        <f t="shared" si="11"/>
        <v>47</v>
      </c>
      <c r="AB76" s="8">
        <f t="shared" ca="1" si="12"/>
        <v>47650</v>
      </c>
      <c r="AC76" s="9">
        <f t="shared" ca="1" si="13"/>
        <v>24074.074074074004</v>
      </c>
      <c r="AD76" s="9">
        <f t="shared" si="10"/>
        <v>1851.851851851852</v>
      </c>
      <c r="AE76" s="2">
        <f t="shared" ca="1" si="14"/>
        <v>30</v>
      </c>
      <c r="AF76" s="2">
        <f t="shared" ca="1" si="15"/>
        <v>1410</v>
      </c>
      <c r="AG76" s="9">
        <f t="shared" ca="1" si="16"/>
        <v>27.712962962962965</v>
      </c>
      <c r="AH76" s="9">
        <f t="shared" ca="1" si="17"/>
        <v>9.2601851851851844</v>
      </c>
      <c r="AJ76" s="190">
        <f t="shared" ca="1" si="7"/>
        <v>2176.2543055555543</v>
      </c>
      <c r="AK76" s="190">
        <f t="shared" ca="1" si="8"/>
        <v>2240.7233888888873</v>
      </c>
    </row>
    <row r="77" spans="1:37" x14ac:dyDescent="0.25">
      <c r="A77" s="68">
        <f t="shared" si="19"/>
        <v>54</v>
      </c>
      <c r="B77" s="68" t="str">
        <f t="shared" si="20"/>
        <v>amortização</v>
      </c>
      <c r="C77" s="156">
        <f t="shared" ca="1" si="9"/>
        <v>227.821458333332</v>
      </c>
      <c r="D77" s="156">
        <f t="shared" ca="1" si="21"/>
        <v>1916.8055555555557</v>
      </c>
      <c r="E77" s="162">
        <f t="shared" ca="1" si="22"/>
        <v>11890.555555555475</v>
      </c>
      <c r="F77" s="156">
        <f t="shared" ca="1" si="23"/>
        <v>2144.6270138888876</v>
      </c>
      <c r="G77" s="67"/>
      <c r="AA77" s="2">
        <f t="shared" si="11"/>
        <v>48</v>
      </c>
      <c r="AB77" s="8">
        <f t="shared" ca="1" si="12"/>
        <v>47680</v>
      </c>
      <c r="AC77" s="9">
        <f t="shared" ca="1" si="13"/>
        <v>22222.222222222154</v>
      </c>
      <c r="AD77" s="9">
        <f t="shared" si="10"/>
        <v>1851.851851851852</v>
      </c>
      <c r="AE77" s="2">
        <f t="shared" ca="1" si="14"/>
        <v>30</v>
      </c>
      <c r="AF77" s="2">
        <f t="shared" ca="1" si="15"/>
        <v>1440</v>
      </c>
      <c r="AG77" s="9">
        <f t="shared" ca="1" si="16"/>
        <v>27.712962962962965</v>
      </c>
      <c r="AH77" s="9">
        <f t="shared" ca="1" si="17"/>
        <v>9.2601851851851844</v>
      </c>
      <c r="AJ77" s="190">
        <f t="shared" ca="1" si="7"/>
        <v>2144.6270138888876</v>
      </c>
      <c r="AK77" s="190">
        <f t="shared" ca="1" si="8"/>
        <v>2201.237194444443</v>
      </c>
    </row>
    <row r="78" spans="1:37" x14ac:dyDescent="0.25">
      <c r="A78" s="68">
        <f t="shared" si="19"/>
        <v>55</v>
      </c>
      <c r="B78" s="68" t="str">
        <f t="shared" si="20"/>
        <v>amortização</v>
      </c>
      <c r="C78" s="156">
        <f t="shared" ca="1" si="9"/>
        <v>196.19416666666535</v>
      </c>
      <c r="D78" s="156">
        <f t="shared" ca="1" si="21"/>
        <v>1916.8055555555557</v>
      </c>
      <c r="E78" s="162">
        <f t="shared" ca="1" si="22"/>
        <v>9973.74999999992</v>
      </c>
      <c r="F78" s="156">
        <f t="shared" ca="1" si="23"/>
        <v>2112.999722222221</v>
      </c>
      <c r="G78" s="67"/>
      <c r="AA78" s="2">
        <f t="shared" si="11"/>
        <v>49</v>
      </c>
      <c r="AC78" s="9" t="str">
        <f t="shared" si="13"/>
        <v/>
      </c>
      <c r="AD78" s="9">
        <f t="shared" si="10"/>
        <v>1851.851851851852</v>
      </c>
      <c r="AF78" s="2" t="str">
        <f t="shared" si="15"/>
        <v/>
      </c>
      <c r="AG78" s="9" t="str">
        <f t="shared" si="16"/>
        <v/>
      </c>
      <c r="AH78" s="9" t="str">
        <f t="shared" si="17"/>
        <v/>
      </c>
      <c r="AJ78" s="190">
        <f t="shared" ca="1" si="7"/>
        <v>2112.999722222221</v>
      </c>
      <c r="AK78" s="190">
        <f t="shared" ca="1" si="8"/>
        <v>2161.7509999999984</v>
      </c>
    </row>
    <row r="79" spans="1:37" x14ac:dyDescent="0.25">
      <c r="A79" s="68">
        <f t="shared" si="19"/>
        <v>56</v>
      </c>
      <c r="B79" s="68" t="str">
        <f t="shared" si="20"/>
        <v>amortização</v>
      </c>
      <c r="C79" s="156">
        <f t="shared" ca="1" si="9"/>
        <v>164.56687499999867</v>
      </c>
      <c r="D79" s="156">
        <f t="shared" ca="1" si="21"/>
        <v>1916.8055555555557</v>
      </c>
      <c r="E79" s="162">
        <f t="shared" ca="1" si="22"/>
        <v>8056.9444444443643</v>
      </c>
      <c r="F79" s="156">
        <f t="shared" ca="1" si="23"/>
        <v>2081.3724305555543</v>
      </c>
      <c r="G79" s="67"/>
      <c r="AA79" s="2">
        <f t="shared" si="11"/>
        <v>50</v>
      </c>
      <c r="AC79" s="9" t="str">
        <f t="shared" si="13"/>
        <v/>
      </c>
      <c r="AD79" s="9">
        <f t="shared" si="10"/>
        <v>1851.851851851852</v>
      </c>
      <c r="AF79" s="2" t="str">
        <f t="shared" si="15"/>
        <v/>
      </c>
      <c r="AG79" s="9" t="str">
        <f t="shared" si="16"/>
        <v/>
      </c>
      <c r="AH79" s="9" t="str">
        <f t="shared" si="17"/>
        <v/>
      </c>
      <c r="AJ79" s="190">
        <f t="shared" ca="1" si="7"/>
        <v>2081.3724305555543</v>
      </c>
      <c r="AK79" s="190">
        <f t="shared" ca="1" si="8"/>
        <v>2122.2648055555542</v>
      </c>
    </row>
    <row r="80" spans="1:37" x14ac:dyDescent="0.25">
      <c r="A80" s="68">
        <f t="shared" si="19"/>
        <v>57</v>
      </c>
      <c r="B80" s="68" t="str">
        <f t="shared" si="20"/>
        <v>amortização</v>
      </c>
      <c r="C80" s="156">
        <f t="shared" ca="1" si="9"/>
        <v>132.93958333333202</v>
      </c>
      <c r="D80" s="156">
        <f t="shared" ca="1" si="21"/>
        <v>1916.8055555555557</v>
      </c>
      <c r="E80" s="162">
        <f t="shared" ca="1" si="22"/>
        <v>6140.1388888888087</v>
      </c>
      <c r="F80" s="156">
        <f t="shared" ca="1" si="23"/>
        <v>2049.7451388888876</v>
      </c>
      <c r="G80" s="67"/>
      <c r="AA80" s="2">
        <f t="shared" si="11"/>
        <v>51</v>
      </c>
      <c r="AC80" s="9" t="str">
        <f t="shared" si="13"/>
        <v/>
      </c>
      <c r="AD80" s="9">
        <f t="shared" si="10"/>
        <v>1851.851851851852</v>
      </c>
      <c r="AF80" s="2" t="str">
        <f t="shared" si="15"/>
        <v/>
      </c>
      <c r="AG80" s="9" t="str">
        <f t="shared" si="16"/>
        <v/>
      </c>
      <c r="AH80" s="9" t="str">
        <f t="shared" si="17"/>
        <v/>
      </c>
      <c r="AJ80" s="190">
        <f t="shared" ca="1" si="7"/>
        <v>2049.7451388888876</v>
      </c>
      <c r="AK80" s="190">
        <f t="shared" ca="1" si="8"/>
        <v>2082.7786111111095</v>
      </c>
    </row>
    <row r="81" spans="1:37" x14ac:dyDescent="0.25">
      <c r="A81" s="68">
        <f t="shared" si="19"/>
        <v>58</v>
      </c>
      <c r="B81" s="68" t="str">
        <f t="shared" si="20"/>
        <v>amortização</v>
      </c>
      <c r="C81" s="156">
        <f t="shared" ca="1" si="9"/>
        <v>101.31229166666535</v>
      </c>
      <c r="D81" s="156">
        <f t="shared" ca="1" si="21"/>
        <v>1916.8055555555557</v>
      </c>
      <c r="E81" s="162">
        <f t="shared" ca="1" si="22"/>
        <v>4223.333333333253</v>
      </c>
      <c r="F81" s="156">
        <f t="shared" ca="1" si="23"/>
        <v>2018.1178472222209</v>
      </c>
      <c r="G81" s="67"/>
      <c r="AA81" s="2">
        <f t="shared" si="11"/>
        <v>52</v>
      </c>
      <c r="AC81" s="9" t="str">
        <f t="shared" si="13"/>
        <v/>
      </c>
      <c r="AD81" s="9">
        <f t="shared" si="10"/>
        <v>1851.851851851852</v>
      </c>
      <c r="AF81" s="2" t="str">
        <f t="shared" si="15"/>
        <v/>
      </c>
      <c r="AG81" s="9" t="str">
        <f t="shared" si="16"/>
        <v/>
      </c>
      <c r="AH81" s="9" t="str">
        <f t="shared" si="17"/>
        <v/>
      </c>
      <c r="AJ81" s="190">
        <f t="shared" ca="1" si="7"/>
        <v>2018.1178472222209</v>
      </c>
      <c r="AK81" s="190">
        <f t="shared" ca="1" si="8"/>
        <v>2043.2924166666651</v>
      </c>
    </row>
    <row r="82" spans="1:37" x14ac:dyDescent="0.25">
      <c r="A82" s="68">
        <f t="shared" si="19"/>
        <v>59</v>
      </c>
      <c r="B82" s="68" t="str">
        <f t="shared" si="20"/>
        <v>amortização</v>
      </c>
      <c r="C82" s="156">
        <f t="shared" ca="1" si="9"/>
        <v>69.684999999998681</v>
      </c>
      <c r="D82" s="156">
        <f t="shared" ca="1" si="21"/>
        <v>1916.8055555555557</v>
      </c>
      <c r="E82" s="162">
        <f t="shared" ca="1" si="22"/>
        <v>2306.5277777776973</v>
      </c>
      <c r="F82" s="156">
        <f t="shared" ca="1" si="23"/>
        <v>1986.4905555555542</v>
      </c>
      <c r="G82" s="67"/>
      <c r="AA82" s="2">
        <f t="shared" si="11"/>
        <v>53</v>
      </c>
      <c r="AC82" s="9" t="str">
        <f t="shared" si="13"/>
        <v/>
      </c>
      <c r="AD82" s="9">
        <f t="shared" si="10"/>
        <v>1851.851851851852</v>
      </c>
      <c r="AF82" s="2" t="str">
        <f t="shared" si="15"/>
        <v/>
      </c>
      <c r="AG82" s="9" t="str">
        <f t="shared" si="16"/>
        <v/>
      </c>
      <c r="AH82" s="9" t="str">
        <f t="shared" si="17"/>
        <v/>
      </c>
      <c r="AJ82" s="190">
        <f t="shared" ca="1" si="7"/>
        <v>1986.4905555555542</v>
      </c>
      <c r="AK82" s="190">
        <f t="shared" ca="1" si="8"/>
        <v>2003.8062222222206</v>
      </c>
    </row>
    <row r="83" spans="1:37" x14ac:dyDescent="0.25">
      <c r="A83" s="68">
        <f t="shared" si="19"/>
        <v>60</v>
      </c>
      <c r="B83" s="68" t="str">
        <f t="shared" si="20"/>
        <v>amortização</v>
      </c>
      <c r="C83" s="156">
        <f t="shared" ca="1" si="9"/>
        <v>38.057708333332009</v>
      </c>
      <c r="D83" s="156">
        <f t="shared" ca="1" si="21"/>
        <v>1916.8055555555557</v>
      </c>
      <c r="E83" s="162">
        <f t="shared" ca="1" si="22"/>
        <v>389.72222222214168</v>
      </c>
      <c r="F83" s="156">
        <f t="shared" ca="1" si="23"/>
        <v>1954.8632638888876</v>
      </c>
      <c r="G83" s="67"/>
      <c r="AA83" s="2">
        <f t="shared" si="11"/>
        <v>54</v>
      </c>
      <c r="AC83" s="9" t="str">
        <f t="shared" si="13"/>
        <v/>
      </c>
      <c r="AD83" s="9">
        <f t="shared" si="10"/>
        <v>1851.851851851852</v>
      </c>
      <c r="AF83" s="2" t="str">
        <f t="shared" si="15"/>
        <v/>
      </c>
      <c r="AG83" s="9" t="str">
        <f t="shared" si="16"/>
        <v/>
      </c>
      <c r="AH83" s="9" t="str">
        <f t="shared" si="17"/>
        <v/>
      </c>
      <c r="AJ83" s="190">
        <f t="shared" ca="1" si="7"/>
        <v>1954.8632638888876</v>
      </c>
      <c r="AK83" s="190">
        <f t="shared" ca="1" si="8"/>
        <v>1964.3200277777762</v>
      </c>
    </row>
    <row r="84" spans="1:37" x14ac:dyDescent="0.25">
      <c r="A84" s="68" t="str">
        <f t="shared" si="19"/>
        <v/>
      </c>
      <c r="B84" s="68" t="str">
        <f t="shared" si="20"/>
        <v/>
      </c>
      <c r="C84" s="156" t="str">
        <f t="shared" si="9"/>
        <v/>
      </c>
      <c r="D84" s="156" t="str">
        <f t="shared" si="21"/>
        <v/>
      </c>
      <c r="E84" s="162" t="str">
        <f t="shared" si="22"/>
        <v/>
      </c>
      <c r="F84" s="156" t="str">
        <f t="shared" si="23"/>
        <v/>
      </c>
      <c r="G84" s="67"/>
      <c r="AA84" s="2">
        <f t="shared" si="11"/>
        <v>55</v>
      </c>
      <c r="AC84" s="9" t="str">
        <f t="shared" si="13"/>
        <v/>
      </c>
      <c r="AD84" s="9">
        <f t="shared" si="10"/>
        <v>1851.851851851852</v>
      </c>
      <c r="AF84" s="2" t="str">
        <f t="shared" si="15"/>
        <v/>
      </c>
      <c r="AG84" s="9" t="str">
        <f t="shared" si="16"/>
        <v/>
      </c>
      <c r="AH84" s="9" t="str">
        <f t="shared" si="17"/>
        <v/>
      </c>
      <c r="AJ84" s="190">
        <f t="shared" si="7"/>
        <v>0</v>
      </c>
      <c r="AK84" s="190">
        <f t="shared" si="8"/>
        <v>0</v>
      </c>
    </row>
    <row r="85" spans="1:37" x14ac:dyDescent="0.25">
      <c r="A85" s="68" t="str">
        <f t="shared" si="19"/>
        <v/>
      </c>
      <c r="B85" s="68" t="str">
        <f t="shared" si="20"/>
        <v/>
      </c>
      <c r="C85" s="156" t="str">
        <f t="shared" si="9"/>
        <v/>
      </c>
      <c r="D85" s="156" t="str">
        <f t="shared" si="21"/>
        <v/>
      </c>
      <c r="E85" s="162" t="str">
        <f t="shared" si="22"/>
        <v/>
      </c>
      <c r="F85" s="156" t="str">
        <f t="shared" si="23"/>
        <v/>
      </c>
      <c r="G85" s="67"/>
      <c r="AA85" s="2">
        <f t="shared" si="11"/>
        <v>56</v>
      </c>
      <c r="AC85" s="9" t="str">
        <f t="shared" si="13"/>
        <v/>
      </c>
      <c r="AD85" s="9">
        <f t="shared" si="10"/>
        <v>1851.851851851852</v>
      </c>
      <c r="AF85" s="2" t="str">
        <f t="shared" si="15"/>
        <v/>
      </c>
      <c r="AG85" s="9" t="str">
        <f t="shared" si="16"/>
        <v/>
      </c>
      <c r="AH85" s="9" t="str">
        <f t="shared" si="17"/>
        <v/>
      </c>
      <c r="AJ85" s="190">
        <f t="shared" si="7"/>
        <v>0</v>
      </c>
      <c r="AK85" s="190">
        <f t="shared" si="8"/>
        <v>0</v>
      </c>
    </row>
    <row r="86" spans="1:37" x14ac:dyDescent="0.25">
      <c r="A86" s="68" t="str">
        <f t="shared" ref="A86" si="24">IF(A85&lt;B$17,A85+1,"")</f>
        <v/>
      </c>
      <c r="B86" s="68" t="str">
        <f t="shared" ref="B86" si="25">IF(A86="","",IF(A86&lt;=B$16,"carência","amortização"))</f>
        <v/>
      </c>
      <c r="C86" s="156" t="str">
        <f t="shared" si="9"/>
        <v/>
      </c>
      <c r="D86" s="156" t="str">
        <f t="shared" ref="D86" si="26">IF(C86="","",IF(A86&lt;=B$16,0,E$23/(B$17-B$16)))</f>
        <v/>
      </c>
      <c r="E86" s="162" t="str">
        <f t="shared" ref="E86" si="27">IF(F86="","",E85-D86)</f>
        <v/>
      </c>
      <c r="F86" s="156" t="str">
        <f t="shared" ref="F86" si="28">IF(D86="","",D86+C86)</f>
        <v/>
      </c>
      <c r="G86" s="67"/>
      <c r="AA86" s="2">
        <f t="shared" si="11"/>
        <v>57</v>
      </c>
      <c r="AC86" s="9" t="str">
        <f t="shared" si="13"/>
        <v/>
      </c>
      <c r="AD86" s="9">
        <f t="shared" si="10"/>
        <v>1851.851851851852</v>
      </c>
      <c r="AF86" s="2" t="str">
        <f t="shared" si="15"/>
        <v/>
      </c>
      <c r="AG86" s="9" t="str">
        <f t="shared" si="16"/>
        <v/>
      </c>
      <c r="AH86" s="9" t="str">
        <f t="shared" si="17"/>
        <v/>
      </c>
      <c r="AJ86" s="190">
        <f t="shared" si="7"/>
        <v>0</v>
      </c>
      <c r="AK86" s="190">
        <f t="shared" si="8"/>
        <v>0</v>
      </c>
    </row>
    <row r="87" spans="1:37" x14ac:dyDescent="0.25">
      <c r="A87" s="68"/>
      <c r="B87" s="68"/>
      <c r="C87" s="156"/>
      <c r="D87" s="156"/>
      <c r="E87" s="162"/>
      <c r="F87" s="156"/>
      <c r="G87" s="67"/>
      <c r="AA87" s="2">
        <f t="shared" si="11"/>
        <v>58</v>
      </c>
      <c r="AC87" s="9" t="str">
        <f t="shared" si="13"/>
        <v/>
      </c>
      <c r="AD87" s="9">
        <f t="shared" si="10"/>
        <v>1851.851851851852</v>
      </c>
      <c r="AF87" s="2" t="str">
        <f t="shared" si="15"/>
        <v/>
      </c>
      <c r="AG87" s="9" t="str">
        <f t="shared" si="16"/>
        <v/>
      </c>
      <c r="AH87" s="9" t="str">
        <f t="shared" si="17"/>
        <v/>
      </c>
      <c r="AJ87" s="190">
        <f t="shared" si="7"/>
        <v>0</v>
      </c>
      <c r="AK87" s="190">
        <v>0</v>
      </c>
    </row>
    <row r="88" spans="1:37" x14ac:dyDescent="0.25">
      <c r="A88" s="68"/>
      <c r="B88" s="68"/>
      <c r="C88" s="156"/>
      <c r="D88" s="156"/>
      <c r="E88" s="162"/>
      <c r="F88" s="156"/>
      <c r="G88" s="67"/>
      <c r="AA88" s="2">
        <f t="shared" si="11"/>
        <v>59</v>
      </c>
      <c r="AC88" s="9" t="str">
        <f t="shared" si="13"/>
        <v/>
      </c>
      <c r="AD88" s="9">
        <f t="shared" si="10"/>
        <v>1851.851851851852</v>
      </c>
      <c r="AF88" s="2" t="str">
        <f t="shared" si="15"/>
        <v/>
      </c>
      <c r="AG88" s="9" t="str">
        <f t="shared" si="16"/>
        <v/>
      </c>
      <c r="AH88" s="9" t="str">
        <f t="shared" si="17"/>
        <v/>
      </c>
      <c r="AJ88" s="190">
        <f t="shared" si="7"/>
        <v>0</v>
      </c>
      <c r="AK88" s="190">
        <f t="shared" si="8"/>
        <v>0</v>
      </c>
    </row>
    <row r="89" spans="1:37" x14ac:dyDescent="0.25">
      <c r="A89" s="68"/>
      <c r="B89" s="68"/>
      <c r="C89" s="156"/>
      <c r="D89" s="156"/>
      <c r="E89" s="162"/>
      <c r="F89" s="156"/>
      <c r="G89" s="67"/>
      <c r="AA89" s="2">
        <f t="shared" si="11"/>
        <v>60</v>
      </c>
      <c r="AC89" s="9" t="str">
        <f t="shared" si="13"/>
        <v/>
      </c>
      <c r="AD89" s="9">
        <f t="shared" si="10"/>
        <v>1851.851851851852</v>
      </c>
      <c r="AF89" s="2" t="str">
        <f t="shared" si="15"/>
        <v/>
      </c>
      <c r="AG89" s="9" t="str">
        <f t="shared" si="16"/>
        <v/>
      </c>
      <c r="AH89" s="9" t="str">
        <f t="shared" si="17"/>
        <v/>
      </c>
      <c r="AJ89" s="190">
        <f t="shared" ref="AJ89:AJ107" si="29">IF(A89&lt;=$B$17,F89,0)</f>
        <v>0</v>
      </c>
      <c r="AK89" s="190">
        <f t="shared" ref="AK89:AK107" si="30">IF(A89&lt;=$B$17,E88*$D$15+D89,0)</f>
        <v>0</v>
      </c>
    </row>
    <row r="90" spans="1:37" x14ac:dyDescent="0.25">
      <c r="A90" s="68"/>
      <c r="B90" s="68"/>
      <c r="C90" s="156"/>
      <c r="D90" s="156"/>
      <c r="E90" s="162"/>
      <c r="F90" s="156"/>
      <c r="G90" s="67"/>
      <c r="AA90" s="2" t="str">
        <f t="shared" si="11"/>
        <v/>
      </c>
      <c r="AC90" s="9" t="str">
        <f t="shared" si="13"/>
        <v/>
      </c>
      <c r="AD90" s="9" t="str">
        <f t="shared" si="10"/>
        <v/>
      </c>
      <c r="AF90" s="2" t="str">
        <f t="shared" si="15"/>
        <v/>
      </c>
      <c r="AG90" s="9" t="str">
        <f t="shared" si="16"/>
        <v/>
      </c>
      <c r="AH90" s="9" t="str">
        <f t="shared" si="17"/>
        <v/>
      </c>
      <c r="AJ90" s="190">
        <f t="shared" si="29"/>
        <v>0</v>
      </c>
      <c r="AK90" s="190">
        <f t="shared" si="30"/>
        <v>0</v>
      </c>
    </row>
    <row r="91" spans="1:37" x14ac:dyDescent="0.25">
      <c r="A91" s="68"/>
      <c r="B91" s="68"/>
      <c r="C91" s="156"/>
      <c r="D91" s="156"/>
      <c r="E91" s="162"/>
      <c r="F91" s="156"/>
      <c r="G91" s="67"/>
      <c r="AA91" s="2" t="str">
        <f t="shared" si="11"/>
        <v/>
      </c>
      <c r="AC91" s="9" t="str">
        <f t="shared" si="13"/>
        <v/>
      </c>
      <c r="AD91" s="9" t="str">
        <f t="shared" si="10"/>
        <v/>
      </c>
      <c r="AF91" s="2" t="str">
        <f t="shared" si="15"/>
        <v/>
      </c>
      <c r="AG91" s="9" t="str">
        <f t="shared" si="16"/>
        <v/>
      </c>
      <c r="AH91" s="9" t="str">
        <f t="shared" si="17"/>
        <v/>
      </c>
      <c r="AJ91" s="190">
        <f t="shared" si="29"/>
        <v>0</v>
      </c>
      <c r="AK91" s="190">
        <f t="shared" si="30"/>
        <v>0</v>
      </c>
    </row>
    <row r="92" spans="1:37" x14ac:dyDescent="0.25">
      <c r="A92" s="68"/>
      <c r="B92" s="68"/>
      <c r="C92" s="156"/>
      <c r="D92" s="156"/>
      <c r="E92" s="162"/>
      <c r="F92" s="156"/>
      <c r="G92" s="67"/>
      <c r="AA92" s="2" t="str">
        <f t="shared" si="11"/>
        <v/>
      </c>
      <c r="AC92" s="9" t="str">
        <f t="shared" si="13"/>
        <v/>
      </c>
      <c r="AD92" s="9" t="str">
        <f t="shared" si="10"/>
        <v/>
      </c>
      <c r="AF92" s="2" t="str">
        <f t="shared" si="15"/>
        <v/>
      </c>
      <c r="AG92" s="9" t="str">
        <f t="shared" si="16"/>
        <v/>
      </c>
      <c r="AH92" s="9" t="str">
        <f t="shared" si="17"/>
        <v/>
      </c>
      <c r="AJ92" s="190">
        <f t="shared" si="29"/>
        <v>0</v>
      </c>
      <c r="AK92" s="190">
        <f t="shared" si="30"/>
        <v>0</v>
      </c>
    </row>
    <row r="93" spans="1:37" x14ac:dyDescent="0.25">
      <c r="A93" s="68"/>
      <c r="B93" s="68"/>
      <c r="C93" s="156"/>
      <c r="D93" s="156"/>
      <c r="E93" s="162"/>
      <c r="F93" s="156"/>
      <c r="G93" s="67"/>
      <c r="AA93" s="2" t="str">
        <f t="shared" si="11"/>
        <v/>
      </c>
      <c r="AC93" s="9" t="str">
        <f t="shared" si="13"/>
        <v/>
      </c>
      <c r="AD93" s="9" t="str">
        <f t="shared" si="10"/>
        <v/>
      </c>
      <c r="AF93" s="2" t="str">
        <f t="shared" si="15"/>
        <v/>
      </c>
      <c r="AG93" s="9" t="str">
        <f t="shared" si="16"/>
        <v/>
      </c>
      <c r="AH93" s="9" t="str">
        <f t="shared" si="17"/>
        <v/>
      </c>
      <c r="AJ93" s="190">
        <f t="shared" si="29"/>
        <v>0</v>
      </c>
      <c r="AK93" s="190">
        <f t="shared" si="30"/>
        <v>0</v>
      </c>
    </row>
    <row r="94" spans="1:37" x14ac:dyDescent="0.25">
      <c r="A94" s="68"/>
      <c r="B94" s="68"/>
      <c r="C94" s="156"/>
      <c r="D94" s="156"/>
      <c r="E94" s="162"/>
      <c r="F94" s="156"/>
      <c r="G94" s="67"/>
      <c r="AA94" s="2" t="str">
        <f t="shared" si="11"/>
        <v/>
      </c>
      <c r="AC94" s="9" t="str">
        <f t="shared" si="13"/>
        <v/>
      </c>
      <c r="AD94" s="9" t="str">
        <f t="shared" ref="AD94:AD157" si="31">IF(AA94="","",IF(AA94&lt;=B$16,0,B$15/(B$17-B$16)))</f>
        <v/>
      </c>
      <c r="AF94" s="2" t="str">
        <f t="shared" si="15"/>
        <v/>
      </c>
      <c r="AG94" s="9" t="str">
        <f t="shared" si="16"/>
        <v/>
      </c>
      <c r="AH94" s="9" t="str">
        <f t="shared" si="17"/>
        <v/>
      </c>
      <c r="AJ94" s="190">
        <f t="shared" si="29"/>
        <v>0</v>
      </c>
      <c r="AK94" s="190">
        <f t="shared" si="30"/>
        <v>0</v>
      </c>
    </row>
    <row r="95" spans="1:37" x14ac:dyDescent="0.25">
      <c r="A95" s="68"/>
      <c r="B95" s="68"/>
      <c r="C95" s="156"/>
      <c r="D95" s="156"/>
      <c r="E95" s="162"/>
      <c r="F95" s="156"/>
      <c r="G95" s="67"/>
      <c r="AA95" s="2" t="str">
        <f t="shared" ref="AA95:AA158" si="32">IF(AA94&lt;B$17,AA94+1,"")</f>
        <v/>
      </c>
      <c r="AC95" s="9" t="str">
        <f t="shared" ref="AC95:AC158" si="33">IF(AB95="","",IF(AA95&lt;=B$16,AC94,AC94-AD95))</f>
        <v/>
      </c>
      <c r="AD95" s="9" t="str">
        <f t="shared" si="31"/>
        <v/>
      </c>
      <c r="AF95" s="2" t="str">
        <f t="shared" ref="AF95:AF158" si="34">IF(AE95="","",AB95-AB$29)</f>
        <v/>
      </c>
      <c r="AG95" s="9" t="str">
        <f t="shared" ref="AG95:AG158" si="35">IF(AF95="","",IF(AF95&lt;365,AF95*AC$25*AD95,365*AD95*AC$25))</f>
        <v/>
      </c>
      <c r="AH95" s="9" t="str">
        <f t="shared" ref="AH95:AH158" si="36">IF(AF95="","",IF(AF95&lt;365,AF95*AC$26*AD95,365*AD95*AC$26))</f>
        <v/>
      </c>
      <c r="AJ95" s="190">
        <f t="shared" si="29"/>
        <v>0</v>
      </c>
      <c r="AK95" s="190">
        <f t="shared" si="30"/>
        <v>0</v>
      </c>
    </row>
    <row r="96" spans="1:37" x14ac:dyDescent="0.25">
      <c r="A96" s="68"/>
      <c r="B96" s="68"/>
      <c r="C96" s="156"/>
      <c r="D96" s="156"/>
      <c r="E96" s="162"/>
      <c r="F96" s="156"/>
      <c r="G96" s="67"/>
      <c r="AA96" s="2" t="str">
        <f t="shared" si="32"/>
        <v/>
      </c>
      <c r="AC96" s="9" t="str">
        <f t="shared" si="33"/>
        <v/>
      </c>
      <c r="AD96" s="9" t="str">
        <f t="shared" si="31"/>
        <v/>
      </c>
      <c r="AF96" s="2" t="str">
        <f t="shared" si="34"/>
        <v/>
      </c>
      <c r="AG96" s="9" t="str">
        <f t="shared" si="35"/>
        <v/>
      </c>
      <c r="AH96" s="9" t="str">
        <f t="shared" si="36"/>
        <v/>
      </c>
      <c r="AJ96" s="190">
        <f t="shared" si="29"/>
        <v>0</v>
      </c>
      <c r="AK96" s="190">
        <f t="shared" si="30"/>
        <v>0</v>
      </c>
    </row>
    <row r="97" spans="1:37" x14ac:dyDescent="0.25">
      <c r="A97" s="68"/>
      <c r="B97" s="68"/>
      <c r="C97" s="156"/>
      <c r="D97" s="156"/>
      <c r="E97" s="162"/>
      <c r="F97" s="156"/>
      <c r="G97" s="67"/>
      <c r="AA97" s="2" t="str">
        <f t="shared" si="32"/>
        <v/>
      </c>
      <c r="AC97" s="9" t="str">
        <f t="shared" si="33"/>
        <v/>
      </c>
      <c r="AD97" s="9" t="str">
        <f t="shared" si="31"/>
        <v/>
      </c>
      <c r="AF97" s="2" t="str">
        <f t="shared" si="34"/>
        <v/>
      </c>
      <c r="AG97" s="9" t="str">
        <f t="shared" si="35"/>
        <v/>
      </c>
      <c r="AH97" s="9" t="str">
        <f t="shared" si="36"/>
        <v/>
      </c>
      <c r="AJ97" s="190">
        <f t="shared" si="29"/>
        <v>0</v>
      </c>
      <c r="AK97" s="190">
        <f t="shared" si="30"/>
        <v>0</v>
      </c>
    </row>
    <row r="98" spans="1:37" x14ac:dyDescent="0.25">
      <c r="A98" s="68"/>
      <c r="B98" s="68"/>
      <c r="C98" s="156"/>
      <c r="D98" s="156"/>
      <c r="E98" s="162"/>
      <c r="F98" s="156"/>
      <c r="G98" s="67"/>
      <c r="AA98" s="2" t="str">
        <f t="shared" si="32"/>
        <v/>
      </c>
      <c r="AC98" s="9" t="str">
        <f t="shared" si="33"/>
        <v/>
      </c>
      <c r="AD98" s="9" t="str">
        <f t="shared" si="31"/>
        <v/>
      </c>
      <c r="AF98" s="2" t="str">
        <f t="shared" si="34"/>
        <v/>
      </c>
      <c r="AG98" s="9" t="str">
        <f t="shared" si="35"/>
        <v/>
      </c>
      <c r="AH98" s="9" t="str">
        <f t="shared" si="36"/>
        <v/>
      </c>
      <c r="AJ98" s="190">
        <f t="shared" si="29"/>
        <v>0</v>
      </c>
      <c r="AK98" s="190">
        <f t="shared" si="30"/>
        <v>0</v>
      </c>
    </row>
    <row r="99" spans="1:37" x14ac:dyDescent="0.25">
      <c r="A99" s="68"/>
      <c r="B99" s="68"/>
      <c r="C99" s="156"/>
      <c r="D99" s="156"/>
      <c r="E99" s="162"/>
      <c r="F99" s="156"/>
      <c r="G99" s="67"/>
      <c r="AA99" s="2" t="str">
        <f t="shared" si="32"/>
        <v/>
      </c>
      <c r="AC99" s="9" t="str">
        <f t="shared" si="33"/>
        <v/>
      </c>
      <c r="AD99" s="9" t="str">
        <f t="shared" si="31"/>
        <v/>
      </c>
      <c r="AF99" s="2" t="str">
        <f t="shared" si="34"/>
        <v/>
      </c>
      <c r="AG99" s="9" t="str">
        <f t="shared" si="35"/>
        <v/>
      </c>
      <c r="AH99" s="9" t="str">
        <f t="shared" si="36"/>
        <v/>
      </c>
      <c r="AJ99" s="190">
        <f t="shared" si="29"/>
        <v>0</v>
      </c>
      <c r="AK99" s="190">
        <f t="shared" si="30"/>
        <v>0</v>
      </c>
    </row>
    <row r="100" spans="1:37" x14ac:dyDescent="0.25">
      <c r="A100" s="68"/>
      <c r="B100" s="68"/>
      <c r="C100" s="156"/>
      <c r="D100" s="156"/>
      <c r="E100" s="162"/>
      <c r="F100" s="156"/>
      <c r="G100" s="67"/>
      <c r="AA100" s="2" t="str">
        <f t="shared" si="32"/>
        <v/>
      </c>
      <c r="AC100" s="9" t="str">
        <f t="shared" si="33"/>
        <v/>
      </c>
      <c r="AD100" s="9" t="str">
        <f t="shared" si="31"/>
        <v/>
      </c>
      <c r="AF100" s="2" t="str">
        <f t="shared" si="34"/>
        <v/>
      </c>
      <c r="AG100" s="9" t="str">
        <f t="shared" si="35"/>
        <v/>
      </c>
      <c r="AH100" s="9" t="str">
        <f t="shared" si="36"/>
        <v/>
      </c>
      <c r="AJ100" s="190">
        <f t="shared" si="29"/>
        <v>0</v>
      </c>
      <c r="AK100" s="190">
        <f t="shared" si="30"/>
        <v>0</v>
      </c>
    </row>
    <row r="101" spans="1:37" x14ac:dyDescent="0.25">
      <c r="A101" s="68"/>
      <c r="B101" s="68"/>
      <c r="C101" s="156"/>
      <c r="D101" s="156"/>
      <c r="E101" s="162"/>
      <c r="F101" s="156"/>
      <c r="G101" s="67"/>
      <c r="AA101" s="2" t="str">
        <f t="shared" si="32"/>
        <v/>
      </c>
      <c r="AC101" s="9" t="str">
        <f t="shared" si="33"/>
        <v/>
      </c>
      <c r="AD101" s="9" t="str">
        <f t="shared" si="31"/>
        <v/>
      </c>
      <c r="AF101" s="2" t="str">
        <f t="shared" si="34"/>
        <v/>
      </c>
      <c r="AG101" s="9" t="str">
        <f t="shared" si="35"/>
        <v/>
      </c>
      <c r="AH101" s="9" t="str">
        <f t="shared" si="36"/>
        <v/>
      </c>
      <c r="AJ101" s="190">
        <f t="shared" si="29"/>
        <v>0</v>
      </c>
      <c r="AK101" s="190">
        <f t="shared" si="30"/>
        <v>0</v>
      </c>
    </row>
    <row r="102" spans="1:37" x14ac:dyDescent="0.25">
      <c r="A102" s="68"/>
      <c r="B102" s="68"/>
      <c r="C102" s="156"/>
      <c r="D102" s="156"/>
      <c r="E102" s="162"/>
      <c r="F102" s="156"/>
      <c r="G102" s="67"/>
      <c r="AA102" s="2" t="str">
        <f t="shared" si="32"/>
        <v/>
      </c>
      <c r="AC102" s="9" t="str">
        <f t="shared" si="33"/>
        <v/>
      </c>
      <c r="AD102" s="9" t="str">
        <f t="shared" si="31"/>
        <v/>
      </c>
      <c r="AF102" s="2" t="str">
        <f t="shared" si="34"/>
        <v/>
      </c>
      <c r="AG102" s="9" t="str">
        <f t="shared" si="35"/>
        <v/>
      </c>
      <c r="AH102" s="9" t="str">
        <f t="shared" si="36"/>
        <v/>
      </c>
      <c r="AJ102" s="190">
        <f t="shared" si="29"/>
        <v>0</v>
      </c>
      <c r="AK102" s="190">
        <f t="shared" si="30"/>
        <v>0</v>
      </c>
    </row>
    <row r="103" spans="1:37" x14ac:dyDescent="0.25">
      <c r="A103" s="68"/>
      <c r="B103" s="68"/>
      <c r="C103" s="156"/>
      <c r="D103" s="156"/>
      <c r="E103" s="162"/>
      <c r="F103" s="156"/>
      <c r="G103" s="67"/>
      <c r="AA103" s="2" t="str">
        <f t="shared" si="32"/>
        <v/>
      </c>
      <c r="AC103" s="9" t="str">
        <f t="shared" si="33"/>
        <v/>
      </c>
      <c r="AD103" s="9" t="str">
        <f t="shared" si="31"/>
        <v/>
      </c>
      <c r="AF103" s="2" t="str">
        <f t="shared" si="34"/>
        <v/>
      </c>
      <c r="AG103" s="9" t="str">
        <f t="shared" si="35"/>
        <v/>
      </c>
      <c r="AH103" s="9" t="str">
        <f t="shared" si="36"/>
        <v/>
      </c>
      <c r="AJ103" s="190">
        <f t="shared" si="29"/>
        <v>0</v>
      </c>
      <c r="AK103" s="190">
        <f t="shared" si="30"/>
        <v>0</v>
      </c>
    </row>
    <row r="104" spans="1:37" x14ac:dyDescent="0.25">
      <c r="A104" s="68"/>
      <c r="B104" s="68"/>
      <c r="C104" s="156"/>
      <c r="D104" s="156"/>
      <c r="E104" s="162"/>
      <c r="F104" s="156"/>
      <c r="G104" s="67"/>
      <c r="AA104" s="2" t="str">
        <f t="shared" si="32"/>
        <v/>
      </c>
      <c r="AC104" s="9" t="str">
        <f t="shared" si="33"/>
        <v/>
      </c>
      <c r="AD104" s="9" t="str">
        <f t="shared" si="31"/>
        <v/>
      </c>
      <c r="AF104" s="2" t="str">
        <f t="shared" si="34"/>
        <v/>
      </c>
      <c r="AG104" s="9" t="str">
        <f t="shared" si="35"/>
        <v/>
      </c>
      <c r="AH104" s="9" t="str">
        <f t="shared" si="36"/>
        <v/>
      </c>
      <c r="AJ104" s="190">
        <f t="shared" si="29"/>
        <v>0</v>
      </c>
      <c r="AK104" s="190">
        <f t="shared" si="30"/>
        <v>0</v>
      </c>
    </row>
    <row r="105" spans="1:37" x14ac:dyDescent="0.25">
      <c r="A105" s="68"/>
      <c r="B105" s="68"/>
      <c r="C105" s="156"/>
      <c r="D105" s="156"/>
      <c r="E105" s="162"/>
      <c r="F105" s="156"/>
      <c r="G105" s="67"/>
      <c r="AA105" s="2" t="str">
        <f t="shared" si="32"/>
        <v/>
      </c>
      <c r="AC105" s="9" t="str">
        <f t="shared" si="33"/>
        <v/>
      </c>
      <c r="AD105" s="9" t="str">
        <f t="shared" si="31"/>
        <v/>
      </c>
      <c r="AF105" s="2" t="str">
        <f t="shared" si="34"/>
        <v/>
      </c>
      <c r="AG105" s="9" t="str">
        <f t="shared" si="35"/>
        <v/>
      </c>
      <c r="AH105" s="9" t="str">
        <f t="shared" si="36"/>
        <v/>
      </c>
      <c r="AJ105" s="190">
        <f t="shared" si="29"/>
        <v>0</v>
      </c>
      <c r="AK105" s="190">
        <f t="shared" si="30"/>
        <v>0</v>
      </c>
    </row>
    <row r="106" spans="1:37" x14ac:dyDescent="0.25">
      <c r="A106" s="68"/>
      <c r="B106" s="68"/>
      <c r="C106" s="156"/>
      <c r="D106" s="156"/>
      <c r="E106" s="162"/>
      <c r="F106" s="156"/>
      <c r="G106" s="67"/>
      <c r="AA106" s="2" t="str">
        <f t="shared" si="32"/>
        <v/>
      </c>
      <c r="AC106" s="9" t="str">
        <f t="shared" si="33"/>
        <v/>
      </c>
      <c r="AD106" s="9" t="str">
        <f t="shared" si="31"/>
        <v/>
      </c>
      <c r="AF106" s="2" t="str">
        <f t="shared" si="34"/>
        <v/>
      </c>
      <c r="AG106" s="9" t="str">
        <f t="shared" si="35"/>
        <v/>
      </c>
      <c r="AH106" s="9" t="str">
        <f t="shared" si="36"/>
        <v/>
      </c>
      <c r="AJ106" s="190">
        <f t="shared" si="29"/>
        <v>0</v>
      </c>
      <c r="AK106" s="190">
        <f t="shared" si="30"/>
        <v>0</v>
      </c>
    </row>
    <row r="107" spans="1:37" x14ac:dyDescent="0.25">
      <c r="A107" s="68"/>
      <c r="B107" s="68"/>
      <c r="C107" s="156"/>
      <c r="D107" s="156"/>
      <c r="E107" s="162"/>
      <c r="F107" s="156"/>
      <c r="G107" s="67"/>
      <c r="AA107" s="2" t="str">
        <f t="shared" si="32"/>
        <v/>
      </c>
      <c r="AC107" s="9" t="str">
        <f t="shared" si="33"/>
        <v/>
      </c>
      <c r="AD107" s="9" t="str">
        <f t="shared" si="31"/>
        <v/>
      </c>
      <c r="AF107" s="2" t="str">
        <f t="shared" si="34"/>
        <v/>
      </c>
      <c r="AG107" s="9" t="str">
        <f t="shared" si="35"/>
        <v/>
      </c>
      <c r="AH107" s="9" t="str">
        <f t="shared" si="36"/>
        <v/>
      </c>
      <c r="AJ107" s="190">
        <f t="shared" si="29"/>
        <v>0</v>
      </c>
      <c r="AK107" s="190">
        <f t="shared" si="30"/>
        <v>0</v>
      </c>
    </row>
    <row r="108" spans="1:37" x14ac:dyDescent="0.25">
      <c r="A108" s="68"/>
      <c r="B108" s="68"/>
      <c r="C108" s="156"/>
      <c r="D108" s="156"/>
      <c r="E108" s="162"/>
      <c r="F108" s="156"/>
      <c r="G108" s="67"/>
      <c r="AA108" s="2" t="str">
        <f t="shared" si="32"/>
        <v/>
      </c>
      <c r="AC108" s="9" t="str">
        <f t="shared" si="33"/>
        <v/>
      </c>
      <c r="AD108" s="9" t="str">
        <f t="shared" si="31"/>
        <v/>
      </c>
      <c r="AF108" s="2" t="str">
        <f t="shared" si="34"/>
        <v/>
      </c>
      <c r="AG108" s="9" t="str">
        <f t="shared" si="35"/>
        <v/>
      </c>
      <c r="AH108" s="9" t="str">
        <f t="shared" si="36"/>
        <v/>
      </c>
    </row>
    <row r="109" spans="1:37" x14ac:dyDescent="0.25">
      <c r="A109" s="68"/>
      <c r="B109" s="68"/>
      <c r="C109" s="156"/>
      <c r="D109" s="156"/>
      <c r="E109" s="162"/>
      <c r="F109" s="156"/>
      <c r="G109" s="67"/>
      <c r="AA109" s="2" t="str">
        <f t="shared" si="32"/>
        <v/>
      </c>
      <c r="AC109" s="9" t="str">
        <f t="shared" si="33"/>
        <v/>
      </c>
      <c r="AD109" s="9" t="str">
        <f t="shared" si="31"/>
        <v/>
      </c>
      <c r="AF109" s="2" t="str">
        <f t="shared" si="34"/>
        <v/>
      </c>
      <c r="AG109" s="9" t="str">
        <f t="shared" si="35"/>
        <v/>
      </c>
      <c r="AH109" s="9" t="str">
        <f t="shared" si="36"/>
        <v/>
      </c>
    </row>
    <row r="110" spans="1:37" x14ac:dyDescent="0.25">
      <c r="A110" s="68"/>
      <c r="B110" s="68"/>
      <c r="C110" s="156"/>
      <c r="D110" s="156"/>
      <c r="E110" s="162"/>
      <c r="F110" s="156"/>
      <c r="G110" s="67"/>
      <c r="AA110" s="2" t="str">
        <f t="shared" si="32"/>
        <v/>
      </c>
      <c r="AC110" s="9" t="str">
        <f t="shared" si="33"/>
        <v/>
      </c>
      <c r="AD110" s="9" t="str">
        <f t="shared" si="31"/>
        <v/>
      </c>
      <c r="AF110" s="2" t="str">
        <f t="shared" si="34"/>
        <v/>
      </c>
      <c r="AG110" s="9" t="str">
        <f t="shared" si="35"/>
        <v/>
      </c>
      <c r="AH110" s="9" t="str">
        <f t="shared" si="36"/>
        <v/>
      </c>
    </row>
    <row r="111" spans="1:37" x14ac:dyDescent="0.25">
      <c r="A111" s="68"/>
      <c r="B111" s="68"/>
      <c r="C111" s="156"/>
      <c r="D111" s="156"/>
      <c r="E111" s="162"/>
      <c r="F111" s="156"/>
      <c r="G111" s="67"/>
      <c r="AA111" s="2" t="str">
        <f t="shared" si="32"/>
        <v/>
      </c>
      <c r="AC111" s="9" t="str">
        <f t="shared" si="33"/>
        <v/>
      </c>
      <c r="AD111" s="9" t="str">
        <f t="shared" si="31"/>
        <v/>
      </c>
      <c r="AF111" s="2" t="str">
        <f t="shared" si="34"/>
        <v/>
      </c>
      <c r="AG111" s="9" t="str">
        <f t="shared" si="35"/>
        <v/>
      </c>
      <c r="AH111" s="9" t="str">
        <f t="shared" si="36"/>
        <v/>
      </c>
    </row>
    <row r="112" spans="1:37" x14ac:dyDescent="0.25">
      <c r="A112" s="68"/>
      <c r="B112" s="68"/>
      <c r="C112" s="156"/>
      <c r="D112" s="156"/>
      <c r="E112" s="162"/>
      <c r="F112" s="156"/>
      <c r="G112" s="67"/>
      <c r="AA112" s="2" t="str">
        <f t="shared" si="32"/>
        <v/>
      </c>
      <c r="AC112" s="9" t="str">
        <f t="shared" si="33"/>
        <v/>
      </c>
      <c r="AD112" s="9" t="str">
        <f t="shared" si="31"/>
        <v/>
      </c>
      <c r="AF112" s="2" t="str">
        <f t="shared" si="34"/>
        <v/>
      </c>
      <c r="AG112" s="9" t="str">
        <f t="shared" si="35"/>
        <v/>
      </c>
      <c r="AH112" s="9" t="str">
        <f t="shared" si="36"/>
        <v/>
      </c>
    </row>
    <row r="113" spans="1:34" x14ac:dyDescent="0.25">
      <c r="A113" s="68"/>
      <c r="B113" s="68"/>
      <c r="C113" s="156"/>
      <c r="D113" s="156"/>
      <c r="E113" s="162"/>
      <c r="F113" s="156"/>
      <c r="G113" s="67"/>
      <c r="AA113" s="2" t="str">
        <f t="shared" si="32"/>
        <v/>
      </c>
      <c r="AC113" s="9" t="str">
        <f t="shared" si="33"/>
        <v/>
      </c>
      <c r="AD113" s="9" t="str">
        <f t="shared" si="31"/>
        <v/>
      </c>
      <c r="AF113" s="2" t="str">
        <f t="shared" si="34"/>
        <v/>
      </c>
      <c r="AG113" s="9" t="str">
        <f t="shared" si="35"/>
        <v/>
      </c>
      <c r="AH113" s="9" t="str">
        <f t="shared" si="36"/>
        <v/>
      </c>
    </row>
    <row r="114" spans="1:34" x14ac:dyDescent="0.25">
      <c r="A114" s="68"/>
      <c r="B114" s="68"/>
      <c r="C114" s="156"/>
      <c r="D114" s="156"/>
      <c r="E114" s="162"/>
      <c r="F114" s="156"/>
      <c r="G114" s="67"/>
      <c r="AA114" s="2" t="str">
        <f t="shared" si="32"/>
        <v/>
      </c>
      <c r="AC114" s="9" t="str">
        <f t="shared" si="33"/>
        <v/>
      </c>
      <c r="AD114" s="9" t="str">
        <f t="shared" si="31"/>
        <v/>
      </c>
      <c r="AF114" s="2" t="str">
        <f t="shared" si="34"/>
        <v/>
      </c>
      <c r="AG114" s="9" t="str">
        <f t="shared" si="35"/>
        <v/>
      </c>
      <c r="AH114" s="9" t="str">
        <f t="shared" si="36"/>
        <v/>
      </c>
    </row>
    <row r="115" spans="1:34" x14ac:dyDescent="0.25">
      <c r="A115" s="68"/>
      <c r="B115" s="68"/>
      <c r="C115" s="156"/>
      <c r="D115" s="156"/>
      <c r="E115" s="162"/>
      <c r="F115" s="156"/>
      <c r="G115" s="67"/>
      <c r="AA115" s="2" t="str">
        <f t="shared" si="32"/>
        <v/>
      </c>
      <c r="AC115" s="9" t="str">
        <f t="shared" si="33"/>
        <v/>
      </c>
      <c r="AD115" s="9" t="str">
        <f t="shared" si="31"/>
        <v/>
      </c>
      <c r="AF115" s="2" t="str">
        <f t="shared" si="34"/>
        <v/>
      </c>
      <c r="AG115" s="9" t="str">
        <f t="shared" si="35"/>
        <v/>
      </c>
      <c r="AH115" s="9" t="str">
        <f t="shared" si="36"/>
        <v/>
      </c>
    </row>
    <row r="116" spans="1:34" x14ac:dyDescent="0.25">
      <c r="A116" s="68"/>
      <c r="B116" s="68"/>
      <c r="C116" s="156"/>
      <c r="D116" s="156"/>
      <c r="E116" s="162"/>
      <c r="F116" s="156"/>
      <c r="G116" s="67"/>
      <c r="AA116" s="2" t="str">
        <f t="shared" si="32"/>
        <v/>
      </c>
      <c r="AC116" s="9" t="str">
        <f t="shared" si="33"/>
        <v/>
      </c>
      <c r="AD116" s="9" t="str">
        <f t="shared" si="31"/>
        <v/>
      </c>
      <c r="AF116" s="2" t="str">
        <f t="shared" si="34"/>
        <v/>
      </c>
      <c r="AG116" s="9" t="str">
        <f t="shared" si="35"/>
        <v/>
      </c>
      <c r="AH116" s="9" t="str">
        <f t="shared" si="36"/>
        <v/>
      </c>
    </row>
    <row r="117" spans="1:34" x14ac:dyDescent="0.25">
      <c r="A117" s="68"/>
      <c r="B117" s="68"/>
      <c r="C117" s="156"/>
      <c r="D117" s="156"/>
      <c r="E117" s="162"/>
      <c r="F117" s="156"/>
      <c r="G117" s="67"/>
      <c r="AA117" s="2" t="str">
        <f t="shared" si="32"/>
        <v/>
      </c>
      <c r="AC117" s="9" t="str">
        <f t="shared" si="33"/>
        <v/>
      </c>
      <c r="AD117" s="9" t="str">
        <f t="shared" si="31"/>
        <v/>
      </c>
      <c r="AF117" s="2" t="str">
        <f t="shared" si="34"/>
        <v/>
      </c>
      <c r="AG117" s="9" t="str">
        <f t="shared" si="35"/>
        <v/>
      </c>
      <c r="AH117" s="9" t="str">
        <f t="shared" si="36"/>
        <v/>
      </c>
    </row>
    <row r="118" spans="1:34" x14ac:dyDescent="0.25">
      <c r="A118" s="68"/>
      <c r="B118" s="68"/>
      <c r="C118" s="156"/>
      <c r="D118" s="156"/>
      <c r="E118" s="162"/>
      <c r="F118" s="156"/>
      <c r="G118" s="67"/>
      <c r="AA118" s="2" t="str">
        <f t="shared" si="32"/>
        <v/>
      </c>
      <c r="AC118" s="9" t="str">
        <f t="shared" si="33"/>
        <v/>
      </c>
      <c r="AD118" s="9" t="str">
        <f t="shared" si="31"/>
        <v/>
      </c>
      <c r="AF118" s="2" t="str">
        <f t="shared" si="34"/>
        <v/>
      </c>
      <c r="AG118" s="9" t="str">
        <f t="shared" si="35"/>
        <v/>
      </c>
      <c r="AH118" s="9" t="str">
        <f t="shared" si="36"/>
        <v/>
      </c>
    </row>
    <row r="119" spans="1:34" x14ac:dyDescent="0.25">
      <c r="A119" s="68"/>
      <c r="B119" s="68"/>
      <c r="C119" s="156"/>
      <c r="D119" s="156"/>
      <c r="E119" s="162"/>
      <c r="F119" s="156"/>
      <c r="G119" s="67"/>
      <c r="AA119" s="2" t="str">
        <f t="shared" si="32"/>
        <v/>
      </c>
      <c r="AC119" s="9" t="str">
        <f t="shared" si="33"/>
        <v/>
      </c>
      <c r="AD119" s="9" t="str">
        <f t="shared" si="31"/>
        <v/>
      </c>
      <c r="AF119" s="2" t="str">
        <f t="shared" si="34"/>
        <v/>
      </c>
      <c r="AG119" s="9" t="str">
        <f t="shared" si="35"/>
        <v/>
      </c>
      <c r="AH119" s="9" t="str">
        <f t="shared" si="36"/>
        <v/>
      </c>
    </row>
    <row r="120" spans="1:34" x14ac:dyDescent="0.25">
      <c r="A120" s="68"/>
      <c r="B120" s="68"/>
      <c r="C120" s="156"/>
      <c r="D120" s="156"/>
      <c r="E120" s="162"/>
      <c r="F120" s="156"/>
      <c r="G120" s="67"/>
      <c r="AA120" s="2" t="str">
        <f t="shared" si="32"/>
        <v/>
      </c>
      <c r="AC120" s="9" t="str">
        <f t="shared" si="33"/>
        <v/>
      </c>
      <c r="AD120" s="9" t="str">
        <f t="shared" si="31"/>
        <v/>
      </c>
      <c r="AF120" s="2" t="str">
        <f t="shared" si="34"/>
        <v/>
      </c>
      <c r="AG120" s="9" t="str">
        <f t="shared" si="35"/>
        <v/>
      </c>
      <c r="AH120" s="9" t="str">
        <f t="shared" si="36"/>
        <v/>
      </c>
    </row>
    <row r="121" spans="1:34" x14ac:dyDescent="0.25">
      <c r="A121" s="68"/>
      <c r="B121" s="68"/>
      <c r="C121" s="156"/>
      <c r="D121" s="156"/>
      <c r="E121" s="162"/>
      <c r="F121" s="156"/>
      <c r="G121" s="67"/>
      <c r="AA121" s="2" t="str">
        <f t="shared" si="32"/>
        <v/>
      </c>
      <c r="AC121" s="9" t="str">
        <f t="shared" si="33"/>
        <v/>
      </c>
      <c r="AD121" s="9" t="str">
        <f t="shared" si="31"/>
        <v/>
      </c>
      <c r="AF121" s="2" t="str">
        <f t="shared" si="34"/>
        <v/>
      </c>
      <c r="AG121" s="9" t="str">
        <f t="shared" si="35"/>
        <v/>
      </c>
      <c r="AH121" s="9" t="str">
        <f t="shared" si="36"/>
        <v/>
      </c>
    </row>
    <row r="122" spans="1:34" x14ac:dyDescent="0.25">
      <c r="A122" s="68"/>
      <c r="B122" s="68"/>
      <c r="C122" s="156"/>
      <c r="D122" s="156"/>
      <c r="E122" s="162"/>
      <c r="F122" s="156"/>
      <c r="G122" s="67"/>
      <c r="AA122" s="2" t="str">
        <f t="shared" si="32"/>
        <v/>
      </c>
      <c r="AC122" s="9" t="str">
        <f t="shared" si="33"/>
        <v/>
      </c>
      <c r="AD122" s="9" t="str">
        <f t="shared" si="31"/>
        <v/>
      </c>
      <c r="AF122" s="2" t="str">
        <f t="shared" si="34"/>
        <v/>
      </c>
      <c r="AG122" s="9" t="str">
        <f t="shared" si="35"/>
        <v/>
      </c>
      <c r="AH122" s="9" t="str">
        <f t="shared" si="36"/>
        <v/>
      </c>
    </row>
    <row r="123" spans="1:34" x14ac:dyDescent="0.25">
      <c r="A123" s="68"/>
      <c r="B123" s="68"/>
      <c r="C123" s="156"/>
      <c r="D123" s="156"/>
      <c r="E123" s="162"/>
      <c r="F123" s="156"/>
      <c r="G123" s="67"/>
      <c r="AA123" s="2" t="str">
        <f t="shared" si="32"/>
        <v/>
      </c>
      <c r="AC123" s="9" t="str">
        <f t="shared" si="33"/>
        <v/>
      </c>
      <c r="AD123" s="9" t="str">
        <f t="shared" si="31"/>
        <v/>
      </c>
      <c r="AF123" s="2" t="str">
        <f t="shared" si="34"/>
        <v/>
      </c>
      <c r="AG123" s="9" t="str">
        <f t="shared" si="35"/>
        <v/>
      </c>
      <c r="AH123" s="9" t="str">
        <f t="shared" si="36"/>
        <v/>
      </c>
    </row>
    <row r="124" spans="1:34" x14ac:dyDescent="0.25">
      <c r="A124" s="68"/>
      <c r="B124" s="68"/>
      <c r="C124" s="156"/>
      <c r="D124" s="156"/>
      <c r="E124" s="162"/>
      <c r="F124" s="156"/>
      <c r="G124" s="67"/>
      <c r="AA124" s="2" t="str">
        <f t="shared" si="32"/>
        <v/>
      </c>
      <c r="AC124" s="9" t="str">
        <f t="shared" si="33"/>
        <v/>
      </c>
      <c r="AD124" s="9" t="str">
        <f t="shared" si="31"/>
        <v/>
      </c>
      <c r="AF124" s="2" t="str">
        <f t="shared" si="34"/>
        <v/>
      </c>
      <c r="AG124" s="9" t="str">
        <f t="shared" si="35"/>
        <v/>
      </c>
      <c r="AH124" s="9" t="str">
        <f t="shared" si="36"/>
        <v/>
      </c>
    </row>
    <row r="125" spans="1:34" x14ac:dyDescent="0.25">
      <c r="A125" s="68"/>
      <c r="B125" s="68"/>
      <c r="C125" s="156"/>
      <c r="D125" s="156"/>
      <c r="E125" s="162"/>
      <c r="F125" s="156"/>
      <c r="G125" s="67"/>
      <c r="AA125" s="2" t="str">
        <f t="shared" si="32"/>
        <v/>
      </c>
      <c r="AC125" s="9" t="str">
        <f t="shared" si="33"/>
        <v/>
      </c>
      <c r="AD125" s="9" t="str">
        <f t="shared" si="31"/>
        <v/>
      </c>
      <c r="AF125" s="2" t="str">
        <f t="shared" si="34"/>
        <v/>
      </c>
      <c r="AG125" s="9" t="str">
        <f t="shared" si="35"/>
        <v/>
      </c>
      <c r="AH125" s="9" t="str">
        <f t="shared" si="36"/>
        <v/>
      </c>
    </row>
    <row r="126" spans="1:34" x14ac:dyDescent="0.25">
      <c r="A126" s="68"/>
      <c r="B126" s="68"/>
      <c r="C126" s="156"/>
      <c r="D126" s="156"/>
      <c r="E126" s="162"/>
      <c r="F126" s="156"/>
      <c r="G126" s="67"/>
      <c r="AA126" s="2" t="str">
        <f t="shared" si="32"/>
        <v/>
      </c>
      <c r="AC126" s="9" t="str">
        <f t="shared" si="33"/>
        <v/>
      </c>
      <c r="AD126" s="9" t="str">
        <f t="shared" si="31"/>
        <v/>
      </c>
      <c r="AF126" s="2" t="str">
        <f t="shared" si="34"/>
        <v/>
      </c>
      <c r="AG126" s="9" t="str">
        <f t="shared" si="35"/>
        <v/>
      </c>
      <c r="AH126" s="9" t="str">
        <f t="shared" si="36"/>
        <v/>
      </c>
    </row>
    <row r="127" spans="1:34" x14ac:dyDescent="0.25">
      <c r="A127" s="68"/>
      <c r="B127" s="68"/>
      <c r="C127" s="156"/>
      <c r="D127" s="156"/>
      <c r="E127" s="162"/>
      <c r="F127" s="156"/>
      <c r="G127" s="67"/>
      <c r="AA127" s="2" t="str">
        <f t="shared" si="32"/>
        <v/>
      </c>
      <c r="AC127" s="9" t="str">
        <f t="shared" si="33"/>
        <v/>
      </c>
      <c r="AD127" s="9" t="str">
        <f t="shared" si="31"/>
        <v/>
      </c>
      <c r="AF127" s="2" t="str">
        <f t="shared" si="34"/>
        <v/>
      </c>
      <c r="AG127" s="9" t="str">
        <f t="shared" si="35"/>
        <v/>
      </c>
      <c r="AH127" s="9" t="str">
        <f t="shared" si="36"/>
        <v/>
      </c>
    </row>
    <row r="128" spans="1:34" x14ac:dyDescent="0.25">
      <c r="A128" s="68"/>
      <c r="B128" s="68"/>
      <c r="C128" s="156"/>
      <c r="D128" s="156"/>
      <c r="E128" s="162"/>
      <c r="F128" s="156"/>
      <c r="G128" s="67"/>
      <c r="AA128" s="2" t="str">
        <f t="shared" si="32"/>
        <v/>
      </c>
      <c r="AC128" s="9" t="str">
        <f t="shared" si="33"/>
        <v/>
      </c>
      <c r="AD128" s="9" t="str">
        <f t="shared" si="31"/>
        <v/>
      </c>
      <c r="AF128" s="2" t="str">
        <f t="shared" si="34"/>
        <v/>
      </c>
      <c r="AG128" s="9" t="str">
        <f t="shared" si="35"/>
        <v/>
      </c>
      <c r="AH128" s="9" t="str">
        <f t="shared" si="36"/>
        <v/>
      </c>
    </row>
    <row r="129" spans="1:34" x14ac:dyDescent="0.25">
      <c r="A129" s="68"/>
      <c r="B129" s="68"/>
      <c r="C129" s="156"/>
      <c r="D129" s="156"/>
      <c r="E129" s="162"/>
      <c r="F129" s="156"/>
      <c r="G129" s="67"/>
      <c r="AA129" s="2" t="str">
        <f t="shared" si="32"/>
        <v/>
      </c>
      <c r="AC129" s="9" t="str">
        <f t="shared" si="33"/>
        <v/>
      </c>
      <c r="AD129" s="9" t="str">
        <f t="shared" si="31"/>
        <v/>
      </c>
      <c r="AF129" s="2" t="str">
        <f t="shared" si="34"/>
        <v/>
      </c>
      <c r="AG129" s="9" t="str">
        <f t="shared" si="35"/>
        <v/>
      </c>
      <c r="AH129" s="9" t="str">
        <f t="shared" si="36"/>
        <v/>
      </c>
    </row>
    <row r="130" spans="1:34" x14ac:dyDescent="0.25">
      <c r="A130" s="68"/>
      <c r="B130" s="68"/>
      <c r="C130" s="156"/>
      <c r="D130" s="156"/>
      <c r="E130" s="162"/>
      <c r="F130" s="156"/>
      <c r="G130" s="67"/>
      <c r="AA130" s="2" t="str">
        <f t="shared" si="32"/>
        <v/>
      </c>
      <c r="AC130" s="9" t="str">
        <f t="shared" si="33"/>
        <v/>
      </c>
      <c r="AD130" s="9" t="str">
        <f t="shared" si="31"/>
        <v/>
      </c>
      <c r="AF130" s="2" t="str">
        <f t="shared" si="34"/>
        <v/>
      </c>
      <c r="AG130" s="9" t="str">
        <f t="shared" si="35"/>
        <v/>
      </c>
      <c r="AH130" s="9" t="str">
        <f t="shared" si="36"/>
        <v/>
      </c>
    </row>
    <row r="131" spans="1:34" x14ac:dyDescent="0.25">
      <c r="A131" s="68"/>
      <c r="B131" s="68"/>
      <c r="C131" s="156"/>
      <c r="D131" s="156"/>
      <c r="E131" s="162"/>
      <c r="F131" s="156"/>
      <c r="G131" s="67"/>
      <c r="AA131" s="2" t="str">
        <f t="shared" si="32"/>
        <v/>
      </c>
      <c r="AC131" s="9" t="str">
        <f t="shared" si="33"/>
        <v/>
      </c>
      <c r="AD131" s="9" t="str">
        <f t="shared" si="31"/>
        <v/>
      </c>
      <c r="AF131" s="2" t="str">
        <f t="shared" si="34"/>
        <v/>
      </c>
      <c r="AG131" s="9" t="str">
        <f t="shared" si="35"/>
        <v/>
      </c>
      <c r="AH131" s="9" t="str">
        <f t="shared" si="36"/>
        <v/>
      </c>
    </row>
    <row r="132" spans="1:34" x14ac:dyDescent="0.25">
      <c r="A132" s="68"/>
      <c r="B132" s="68"/>
      <c r="C132" s="156"/>
      <c r="D132" s="156"/>
      <c r="E132" s="162"/>
      <c r="F132" s="156"/>
      <c r="G132" s="67"/>
      <c r="AA132" s="2" t="str">
        <f t="shared" si="32"/>
        <v/>
      </c>
      <c r="AC132" s="9" t="str">
        <f t="shared" si="33"/>
        <v/>
      </c>
      <c r="AD132" s="9" t="str">
        <f t="shared" si="31"/>
        <v/>
      </c>
      <c r="AF132" s="2" t="str">
        <f t="shared" si="34"/>
        <v/>
      </c>
      <c r="AG132" s="9" t="str">
        <f t="shared" si="35"/>
        <v/>
      </c>
      <c r="AH132" s="9" t="str">
        <f t="shared" si="36"/>
        <v/>
      </c>
    </row>
    <row r="133" spans="1:34" x14ac:dyDescent="0.25">
      <c r="A133" s="68"/>
      <c r="B133" s="68"/>
      <c r="C133" s="156"/>
      <c r="D133" s="156"/>
      <c r="E133" s="162"/>
      <c r="F133" s="156"/>
      <c r="G133" s="67"/>
      <c r="AA133" s="2" t="str">
        <f t="shared" si="32"/>
        <v/>
      </c>
      <c r="AC133" s="9" t="str">
        <f t="shared" si="33"/>
        <v/>
      </c>
      <c r="AD133" s="9" t="str">
        <f t="shared" si="31"/>
        <v/>
      </c>
      <c r="AF133" s="2" t="str">
        <f t="shared" si="34"/>
        <v/>
      </c>
      <c r="AG133" s="9" t="str">
        <f t="shared" si="35"/>
        <v/>
      </c>
      <c r="AH133" s="9" t="str">
        <f t="shared" si="36"/>
        <v/>
      </c>
    </row>
    <row r="134" spans="1:34" x14ac:dyDescent="0.25">
      <c r="A134" s="68"/>
      <c r="B134" s="68"/>
      <c r="C134" s="156"/>
      <c r="D134" s="156"/>
      <c r="E134" s="162"/>
      <c r="F134" s="156"/>
      <c r="G134" s="67"/>
      <c r="AA134" s="2" t="str">
        <f t="shared" si="32"/>
        <v/>
      </c>
      <c r="AC134" s="9" t="str">
        <f t="shared" si="33"/>
        <v/>
      </c>
      <c r="AD134" s="9" t="str">
        <f t="shared" si="31"/>
        <v/>
      </c>
      <c r="AF134" s="2" t="str">
        <f t="shared" si="34"/>
        <v/>
      </c>
      <c r="AG134" s="9" t="str">
        <f t="shared" si="35"/>
        <v/>
      </c>
      <c r="AH134" s="9" t="str">
        <f t="shared" si="36"/>
        <v/>
      </c>
    </row>
    <row r="135" spans="1:34" x14ac:dyDescent="0.25">
      <c r="A135" s="68"/>
      <c r="B135" s="68"/>
      <c r="C135" s="156"/>
      <c r="D135" s="156"/>
      <c r="E135" s="162"/>
      <c r="F135" s="156"/>
      <c r="G135" s="67"/>
      <c r="AA135" s="2" t="str">
        <f t="shared" si="32"/>
        <v/>
      </c>
      <c r="AC135" s="9" t="str">
        <f t="shared" si="33"/>
        <v/>
      </c>
      <c r="AD135" s="9" t="str">
        <f t="shared" si="31"/>
        <v/>
      </c>
      <c r="AF135" s="2" t="str">
        <f t="shared" si="34"/>
        <v/>
      </c>
      <c r="AG135" s="9" t="str">
        <f t="shared" si="35"/>
        <v/>
      </c>
      <c r="AH135" s="9" t="str">
        <f t="shared" si="36"/>
        <v/>
      </c>
    </row>
    <row r="136" spans="1:34" x14ac:dyDescent="0.25">
      <c r="A136" s="68"/>
      <c r="B136" s="68"/>
      <c r="C136" s="156"/>
      <c r="D136" s="156"/>
      <c r="E136" s="162"/>
      <c r="F136" s="156"/>
      <c r="G136" s="67"/>
      <c r="AA136" s="2" t="str">
        <f t="shared" si="32"/>
        <v/>
      </c>
      <c r="AC136" s="9" t="str">
        <f t="shared" si="33"/>
        <v/>
      </c>
      <c r="AD136" s="9" t="str">
        <f t="shared" si="31"/>
        <v/>
      </c>
      <c r="AF136" s="2" t="str">
        <f t="shared" si="34"/>
        <v/>
      </c>
      <c r="AG136" s="9" t="str">
        <f t="shared" si="35"/>
        <v/>
      </c>
      <c r="AH136" s="9" t="str">
        <f t="shared" si="36"/>
        <v/>
      </c>
    </row>
    <row r="137" spans="1:34" x14ac:dyDescent="0.25">
      <c r="A137" s="68"/>
      <c r="B137" s="68"/>
      <c r="C137" s="156"/>
      <c r="D137" s="156"/>
      <c r="E137" s="162"/>
      <c r="F137" s="156"/>
      <c r="G137" s="67"/>
      <c r="AA137" s="2" t="str">
        <f t="shared" si="32"/>
        <v/>
      </c>
      <c r="AC137" s="9" t="str">
        <f t="shared" si="33"/>
        <v/>
      </c>
      <c r="AD137" s="9" t="str">
        <f t="shared" si="31"/>
        <v/>
      </c>
      <c r="AF137" s="2" t="str">
        <f t="shared" si="34"/>
        <v/>
      </c>
      <c r="AG137" s="9" t="str">
        <f t="shared" si="35"/>
        <v/>
      </c>
      <c r="AH137" s="9" t="str">
        <f t="shared" si="36"/>
        <v/>
      </c>
    </row>
    <row r="138" spans="1:34" x14ac:dyDescent="0.25">
      <c r="A138" s="68"/>
      <c r="B138" s="68"/>
      <c r="C138" s="156"/>
      <c r="D138" s="156"/>
      <c r="E138" s="162"/>
      <c r="F138" s="156"/>
      <c r="G138" s="67"/>
      <c r="AA138" s="2" t="str">
        <f t="shared" si="32"/>
        <v/>
      </c>
      <c r="AC138" s="9" t="str">
        <f t="shared" si="33"/>
        <v/>
      </c>
      <c r="AD138" s="9" t="str">
        <f t="shared" si="31"/>
        <v/>
      </c>
      <c r="AF138" s="2" t="str">
        <f t="shared" si="34"/>
        <v/>
      </c>
      <c r="AG138" s="9" t="str">
        <f t="shared" si="35"/>
        <v/>
      </c>
      <c r="AH138" s="9" t="str">
        <f t="shared" si="36"/>
        <v/>
      </c>
    </row>
    <row r="139" spans="1:34" x14ac:dyDescent="0.25">
      <c r="A139" s="68"/>
      <c r="B139" s="68"/>
      <c r="C139" s="156"/>
      <c r="D139" s="156"/>
      <c r="E139" s="162"/>
      <c r="F139" s="156"/>
      <c r="G139" s="67"/>
      <c r="AA139" s="2" t="str">
        <f t="shared" si="32"/>
        <v/>
      </c>
      <c r="AC139" s="9" t="str">
        <f t="shared" si="33"/>
        <v/>
      </c>
      <c r="AD139" s="9" t="str">
        <f t="shared" si="31"/>
        <v/>
      </c>
      <c r="AF139" s="2" t="str">
        <f t="shared" si="34"/>
        <v/>
      </c>
      <c r="AG139" s="9" t="str">
        <f t="shared" si="35"/>
        <v/>
      </c>
      <c r="AH139" s="9" t="str">
        <f t="shared" si="36"/>
        <v/>
      </c>
    </row>
    <row r="140" spans="1:34" x14ac:dyDescent="0.25">
      <c r="A140" s="68"/>
      <c r="B140" s="68"/>
      <c r="C140" s="156"/>
      <c r="D140" s="156"/>
      <c r="E140" s="162"/>
      <c r="F140" s="156"/>
      <c r="G140" s="67"/>
      <c r="AA140" s="2" t="str">
        <f t="shared" si="32"/>
        <v/>
      </c>
      <c r="AC140" s="9" t="str">
        <f t="shared" si="33"/>
        <v/>
      </c>
      <c r="AD140" s="9" t="str">
        <f t="shared" si="31"/>
        <v/>
      </c>
      <c r="AF140" s="2" t="str">
        <f t="shared" si="34"/>
        <v/>
      </c>
      <c r="AG140" s="9" t="str">
        <f t="shared" si="35"/>
        <v/>
      </c>
      <c r="AH140" s="9" t="str">
        <f t="shared" si="36"/>
        <v/>
      </c>
    </row>
    <row r="141" spans="1:34" x14ac:dyDescent="0.25">
      <c r="A141" s="68"/>
      <c r="B141" s="68"/>
      <c r="C141" s="156"/>
      <c r="D141" s="156"/>
      <c r="E141" s="162"/>
      <c r="F141" s="156"/>
      <c r="G141" s="67"/>
      <c r="AA141" s="2" t="str">
        <f t="shared" si="32"/>
        <v/>
      </c>
      <c r="AC141" s="9" t="str">
        <f t="shared" si="33"/>
        <v/>
      </c>
      <c r="AD141" s="9" t="str">
        <f t="shared" si="31"/>
        <v/>
      </c>
      <c r="AF141" s="2" t="str">
        <f t="shared" si="34"/>
        <v/>
      </c>
      <c r="AG141" s="9" t="str">
        <f t="shared" si="35"/>
        <v/>
      </c>
      <c r="AH141" s="9" t="str">
        <f t="shared" si="36"/>
        <v/>
      </c>
    </row>
    <row r="142" spans="1:34" x14ac:dyDescent="0.25">
      <c r="A142" s="68"/>
      <c r="B142" s="68"/>
      <c r="C142" s="156"/>
      <c r="D142" s="156"/>
      <c r="E142" s="162"/>
      <c r="F142" s="156"/>
      <c r="G142" s="67"/>
      <c r="AA142" s="2" t="str">
        <f t="shared" si="32"/>
        <v/>
      </c>
      <c r="AC142" s="9" t="str">
        <f t="shared" si="33"/>
        <v/>
      </c>
      <c r="AD142" s="9" t="str">
        <f t="shared" si="31"/>
        <v/>
      </c>
      <c r="AF142" s="2" t="str">
        <f t="shared" si="34"/>
        <v/>
      </c>
      <c r="AG142" s="9" t="str">
        <f t="shared" si="35"/>
        <v/>
      </c>
      <c r="AH142" s="9" t="str">
        <f t="shared" si="36"/>
        <v/>
      </c>
    </row>
    <row r="143" spans="1:34" x14ac:dyDescent="0.25">
      <c r="A143" s="68"/>
      <c r="B143" s="68"/>
      <c r="C143" s="156"/>
      <c r="D143" s="156"/>
      <c r="E143" s="162"/>
      <c r="F143" s="156"/>
      <c r="G143" s="67"/>
      <c r="AA143" s="2" t="str">
        <f t="shared" si="32"/>
        <v/>
      </c>
      <c r="AC143" s="9" t="str">
        <f t="shared" si="33"/>
        <v/>
      </c>
      <c r="AD143" s="9" t="str">
        <f t="shared" si="31"/>
        <v/>
      </c>
      <c r="AF143" s="2" t="str">
        <f t="shared" si="34"/>
        <v/>
      </c>
      <c r="AG143" s="9" t="str">
        <f t="shared" si="35"/>
        <v/>
      </c>
      <c r="AH143" s="9" t="str">
        <f t="shared" si="36"/>
        <v/>
      </c>
    </row>
    <row r="144" spans="1:34" x14ac:dyDescent="0.25">
      <c r="A144" s="68"/>
      <c r="B144" s="68"/>
      <c r="C144" s="156"/>
      <c r="D144" s="156"/>
      <c r="E144" s="162"/>
      <c r="F144" s="156"/>
      <c r="G144" s="67"/>
      <c r="AA144" s="2" t="str">
        <f t="shared" si="32"/>
        <v/>
      </c>
      <c r="AC144" s="9" t="str">
        <f t="shared" si="33"/>
        <v/>
      </c>
      <c r="AD144" s="9" t="str">
        <f t="shared" si="31"/>
        <v/>
      </c>
      <c r="AF144" s="2" t="str">
        <f t="shared" si="34"/>
        <v/>
      </c>
      <c r="AG144" s="9" t="str">
        <f t="shared" si="35"/>
        <v/>
      </c>
      <c r="AH144" s="9" t="str">
        <f t="shared" si="36"/>
        <v/>
      </c>
    </row>
    <row r="145" spans="1:34" x14ac:dyDescent="0.25">
      <c r="A145" s="68"/>
      <c r="B145" s="68"/>
      <c r="C145" s="156"/>
      <c r="D145" s="156"/>
      <c r="E145" s="162"/>
      <c r="F145" s="156"/>
      <c r="G145" s="67"/>
      <c r="AA145" s="2" t="str">
        <f t="shared" si="32"/>
        <v/>
      </c>
      <c r="AC145" s="9" t="str">
        <f t="shared" si="33"/>
        <v/>
      </c>
      <c r="AD145" s="9" t="str">
        <f t="shared" si="31"/>
        <v/>
      </c>
      <c r="AF145" s="2" t="str">
        <f t="shared" si="34"/>
        <v/>
      </c>
      <c r="AG145" s="9" t="str">
        <f t="shared" si="35"/>
        <v/>
      </c>
      <c r="AH145" s="9" t="str">
        <f t="shared" si="36"/>
        <v/>
      </c>
    </row>
    <row r="146" spans="1:34" x14ac:dyDescent="0.25">
      <c r="A146" s="68"/>
      <c r="B146" s="68"/>
      <c r="C146" s="156"/>
      <c r="D146" s="156"/>
      <c r="E146" s="162"/>
      <c r="F146" s="156"/>
      <c r="G146" s="67"/>
      <c r="AA146" s="2" t="str">
        <f t="shared" si="32"/>
        <v/>
      </c>
      <c r="AC146" s="9" t="str">
        <f t="shared" si="33"/>
        <v/>
      </c>
      <c r="AD146" s="9" t="str">
        <f t="shared" si="31"/>
        <v/>
      </c>
      <c r="AF146" s="2" t="str">
        <f t="shared" si="34"/>
        <v/>
      </c>
      <c r="AG146" s="9" t="str">
        <f t="shared" si="35"/>
        <v/>
      </c>
      <c r="AH146" s="9" t="str">
        <f t="shared" si="36"/>
        <v/>
      </c>
    </row>
    <row r="147" spans="1:34" x14ac:dyDescent="0.25">
      <c r="A147" s="68"/>
      <c r="B147" s="68"/>
      <c r="C147" s="156"/>
      <c r="D147" s="156"/>
      <c r="E147" s="162"/>
      <c r="F147" s="156"/>
      <c r="G147" s="67"/>
      <c r="AA147" s="2" t="str">
        <f t="shared" si="32"/>
        <v/>
      </c>
      <c r="AC147" s="9" t="str">
        <f t="shared" si="33"/>
        <v/>
      </c>
      <c r="AD147" s="9" t="str">
        <f t="shared" si="31"/>
        <v/>
      </c>
      <c r="AF147" s="2" t="str">
        <f t="shared" si="34"/>
        <v/>
      </c>
      <c r="AG147" s="9" t="str">
        <f t="shared" si="35"/>
        <v/>
      </c>
      <c r="AH147" s="9" t="str">
        <f t="shared" si="36"/>
        <v/>
      </c>
    </row>
    <row r="148" spans="1:34" x14ac:dyDescent="0.25">
      <c r="A148" s="68"/>
      <c r="B148" s="68"/>
      <c r="C148" s="156"/>
      <c r="D148" s="156"/>
      <c r="E148" s="162"/>
      <c r="F148" s="156"/>
      <c r="G148" s="67"/>
      <c r="AA148" s="2" t="str">
        <f t="shared" si="32"/>
        <v/>
      </c>
      <c r="AC148" s="9" t="str">
        <f t="shared" si="33"/>
        <v/>
      </c>
      <c r="AD148" s="9" t="str">
        <f t="shared" si="31"/>
        <v/>
      </c>
      <c r="AF148" s="2" t="str">
        <f t="shared" si="34"/>
        <v/>
      </c>
      <c r="AG148" s="9" t="str">
        <f t="shared" si="35"/>
        <v/>
      </c>
      <c r="AH148" s="9" t="str">
        <f t="shared" si="36"/>
        <v/>
      </c>
    </row>
    <row r="149" spans="1:34" x14ac:dyDescent="0.25">
      <c r="A149" s="68"/>
      <c r="B149" s="68"/>
      <c r="C149" s="156"/>
      <c r="D149" s="156"/>
      <c r="E149" s="162"/>
      <c r="F149" s="156"/>
      <c r="G149" s="67"/>
      <c r="AA149" s="2" t="str">
        <f t="shared" si="32"/>
        <v/>
      </c>
      <c r="AC149" s="9" t="str">
        <f t="shared" si="33"/>
        <v/>
      </c>
      <c r="AD149" s="9" t="str">
        <f t="shared" si="31"/>
        <v/>
      </c>
      <c r="AF149" s="2" t="str">
        <f t="shared" si="34"/>
        <v/>
      </c>
      <c r="AG149" s="9" t="str">
        <f t="shared" si="35"/>
        <v/>
      </c>
      <c r="AH149" s="9" t="str">
        <f t="shared" si="36"/>
        <v/>
      </c>
    </row>
    <row r="150" spans="1:34" x14ac:dyDescent="0.25">
      <c r="A150" s="68"/>
      <c r="B150" s="68"/>
      <c r="C150" s="156"/>
      <c r="D150" s="156"/>
      <c r="E150" s="162"/>
      <c r="F150" s="156"/>
      <c r="G150" s="67"/>
      <c r="AA150" s="2" t="str">
        <f t="shared" si="32"/>
        <v/>
      </c>
      <c r="AC150" s="9" t="str">
        <f t="shared" si="33"/>
        <v/>
      </c>
      <c r="AD150" s="9" t="str">
        <f t="shared" si="31"/>
        <v/>
      </c>
      <c r="AF150" s="2" t="str">
        <f t="shared" si="34"/>
        <v/>
      </c>
      <c r="AG150" s="9" t="str">
        <f t="shared" si="35"/>
        <v/>
      </c>
      <c r="AH150" s="9" t="str">
        <f t="shared" si="36"/>
        <v/>
      </c>
    </row>
    <row r="151" spans="1:34" x14ac:dyDescent="0.25">
      <c r="A151" s="68"/>
      <c r="B151" s="68"/>
      <c r="C151" s="156"/>
      <c r="D151" s="156"/>
      <c r="E151" s="162"/>
      <c r="F151" s="156"/>
      <c r="G151" s="67"/>
      <c r="AA151" s="2" t="str">
        <f t="shared" si="32"/>
        <v/>
      </c>
      <c r="AC151" s="9" t="str">
        <f t="shared" si="33"/>
        <v/>
      </c>
      <c r="AD151" s="9" t="str">
        <f t="shared" si="31"/>
        <v/>
      </c>
      <c r="AF151" s="2" t="str">
        <f t="shared" si="34"/>
        <v/>
      </c>
      <c r="AG151" s="9" t="str">
        <f t="shared" si="35"/>
        <v/>
      </c>
      <c r="AH151" s="9" t="str">
        <f t="shared" si="36"/>
        <v/>
      </c>
    </row>
    <row r="152" spans="1:34" x14ac:dyDescent="0.25">
      <c r="A152" s="68"/>
      <c r="B152" s="68"/>
      <c r="C152" s="156"/>
      <c r="D152" s="156"/>
      <c r="E152" s="162"/>
      <c r="F152" s="156"/>
      <c r="G152" s="67"/>
      <c r="AA152" s="2" t="str">
        <f t="shared" si="32"/>
        <v/>
      </c>
      <c r="AC152" s="9" t="str">
        <f t="shared" si="33"/>
        <v/>
      </c>
      <c r="AD152" s="9" t="str">
        <f t="shared" si="31"/>
        <v/>
      </c>
      <c r="AF152" s="2" t="str">
        <f t="shared" si="34"/>
        <v/>
      </c>
      <c r="AG152" s="9" t="str">
        <f t="shared" si="35"/>
        <v/>
      </c>
      <c r="AH152" s="9" t="str">
        <f t="shared" si="36"/>
        <v/>
      </c>
    </row>
    <row r="153" spans="1:34" x14ac:dyDescent="0.25">
      <c r="A153" s="68"/>
      <c r="B153" s="68"/>
      <c r="C153" s="156"/>
      <c r="D153" s="156"/>
      <c r="E153" s="162"/>
      <c r="F153" s="156"/>
      <c r="G153" s="67"/>
      <c r="AA153" s="2" t="str">
        <f t="shared" si="32"/>
        <v/>
      </c>
      <c r="AC153" s="9" t="str">
        <f t="shared" si="33"/>
        <v/>
      </c>
      <c r="AD153" s="9" t="str">
        <f t="shared" si="31"/>
        <v/>
      </c>
      <c r="AF153" s="2" t="str">
        <f t="shared" si="34"/>
        <v/>
      </c>
      <c r="AG153" s="9" t="str">
        <f t="shared" si="35"/>
        <v/>
      </c>
      <c r="AH153" s="9" t="str">
        <f t="shared" si="36"/>
        <v/>
      </c>
    </row>
    <row r="154" spans="1:34" x14ac:dyDescent="0.25">
      <c r="A154" s="68"/>
      <c r="B154" s="68"/>
      <c r="C154" s="156"/>
      <c r="D154" s="156"/>
      <c r="E154" s="162"/>
      <c r="F154" s="156"/>
      <c r="G154" s="67"/>
      <c r="AA154" s="2" t="str">
        <f t="shared" si="32"/>
        <v/>
      </c>
      <c r="AC154" s="9" t="str">
        <f t="shared" si="33"/>
        <v/>
      </c>
      <c r="AD154" s="9" t="str">
        <f t="shared" si="31"/>
        <v/>
      </c>
      <c r="AF154" s="2" t="str">
        <f t="shared" si="34"/>
        <v/>
      </c>
      <c r="AG154" s="9" t="str">
        <f t="shared" si="35"/>
        <v/>
      </c>
      <c r="AH154" s="9" t="str">
        <f t="shared" si="36"/>
        <v/>
      </c>
    </row>
    <row r="155" spans="1:34" x14ac:dyDescent="0.25">
      <c r="A155" s="68"/>
      <c r="B155" s="68"/>
      <c r="C155" s="156"/>
      <c r="D155" s="156"/>
      <c r="E155" s="162"/>
      <c r="F155" s="156"/>
      <c r="G155" s="67"/>
      <c r="AA155" s="2" t="str">
        <f t="shared" si="32"/>
        <v/>
      </c>
      <c r="AC155" s="9" t="str">
        <f t="shared" si="33"/>
        <v/>
      </c>
      <c r="AD155" s="9" t="str">
        <f t="shared" si="31"/>
        <v/>
      </c>
      <c r="AF155" s="2" t="str">
        <f t="shared" si="34"/>
        <v/>
      </c>
      <c r="AG155" s="9" t="str">
        <f t="shared" si="35"/>
        <v/>
      </c>
      <c r="AH155" s="9" t="str">
        <f t="shared" si="36"/>
        <v/>
      </c>
    </row>
    <row r="156" spans="1:34" x14ac:dyDescent="0.25">
      <c r="A156" s="68"/>
      <c r="B156" s="68"/>
      <c r="C156" s="156"/>
      <c r="D156" s="156"/>
      <c r="E156" s="162"/>
      <c r="F156" s="156"/>
      <c r="G156" s="67"/>
      <c r="AA156" s="2" t="str">
        <f t="shared" si="32"/>
        <v/>
      </c>
      <c r="AC156" s="9" t="str">
        <f t="shared" si="33"/>
        <v/>
      </c>
      <c r="AD156" s="9" t="str">
        <f t="shared" si="31"/>
        <v/>
      </c>
      <c r="AF156" s="2" t="str">
        <f t="shared" si="34"/>
        <v/>
      </c>
      <c r="AG156" s="9" t="str">
        <f t="shared" si="35"/>
        <v/>
      </c>
      <c r="AH156" s="9" t="str">
        <f t="shared" si="36"/>
        <v/>
      </c>
    </row>
    <row r="157" spans="1:34" x14ac:dyDescent="0.25">
      <c r="A157" s="68"/>
      <c r="B157" s="68"/>
      <c r="C157" s="156"/>
      <c r="D157" s="156"/>
      <c r="E157" s="162"/>
      <c r="F157" s="156"/>
      <c r="G157" s="67"/>
      <c r="AA157" s="2" t="str">
        <f t="shared" si="32"/>
        <v/>
      </c>
      <c r="AC157" s="9" t="str">
        <f t="shared" si="33"/>
        <v/>
      </c>
      <c r="AD157" s="9" t="str">
        <f t="shared" si="31"/>
        <v/>
      </c>
      <c r="AF157" s="2" t="str">
        <f t="shared" si="34"/>
        <v/>
      </c>
      <c r="AG157" s="9" t="str">
        <f t="shared" si="35"/>
        <v/>
      </c>
      <c r="AH157" s="9" t="str">
        <f t="shared" si="36"/>
        <v/>
      </c>
    </row>
    <row r="158" spans="1:34" x14ac:dyDescent="0.25">
      <c r="A158" s="68"/>
      <c r="B158" s="68"/>
      <c r="C158" s="156"/>
      <c r="D158" s="156"/>
      <c r="E158" s="162"/>
      <c r="F158" s="156"/>
      <c r="G158" s="67"/>
      <c r="AA158" s="2" t="str">
        <f t="shared" si="32"/>
        <v/>
      </c>
      <c r="AC158" s="9" t="str">
        <f t="shared" si="33"/>
        <v/>
      </c>
      <c r="AD158" s="9" t="str">
        <f t="shared" ref="AD158:AD221" si="37">IF(AA158="","",IF(AA158&lt;=B$16,0,B$15/(B$17-B$16)))</f>
        <v/>
      </c>
      <c r="AF158" s="2" t="str">
        <f t="shared" si="34"/>
        <v/>
      </c>
      <c r="AG158" s="9" t="str">
        <f t="shared" si="35"/>
        <v/>
      </c>
      <c r="AH158" s="9" t="str">
        <f t="shared" si="36"/>
        <v/>
      </c>
    </row>
    <row r="159" spans="1:34" x14ac:dyDescent="0.25">
      <c r="A159" s="68"/>
      <c r="B159" s="68"/>
      <c r="C159" s="156"/>
      <c r="D159" s="156"/>
      <c r="E159" s="162"/>
      <c r="F159" s="156"/>
      <c r="G159" s="67"/>
      <c r="AA159" s="2" t="str">
        <f t="shared" ref="AA159:AA222" si="38">IF(AA158&lt;B$17,AA158+1,"")</f>
        <v/>
      </c>
      <c r="AC159" s="9" t="str">
        <f t="shared" ref="AC159:AC222" si="39">IF(AB159="","",IF(AA159&lt;=B$16,AC158,AC158-AD159))</f>
        <v/>
      </c>
      <c r="AD159" s="9" t="str">
        <f t="shared" si="37"/>
        <v/>
      </c>
      <c r="AF159" s="2" t="str">
        <f t="shared" ref="AF159:AF180" si="40">IF(AE159="","",AB159-AB$29)</f>
        <v/>
      </c>
      <c r="AG159" s="9" t="str">
        <f t="shared" ref="AG159:AG222" si="41">IF(AF159="","",IF(AF159&lt;365,AF159*AC$25*AD159,365*AD159*AC$25))</f>
        <v/>
      </c>
      <c r="AH159" s="9" t="str">
        <f t="shared" ref="AH159:AH222" si="42">IF(AF159="","",IF(AF159&lt;365,AF159*AC$26*AD159,365*AD159*AC$26))</f>
        <v/>
      </c>
    </row>
    <row r="160" spans="1:34" x14ac:dyDescent="0.25">
      <c r="A160" s="68"/>
      <c r="B160" s="68"/>
      <c r="C160" s="156"/>
      <c r="D160" s="156"/>
      <c r="E160" s="162"/>
      <c r="F160" s="156"/>
      <c r="G160" s="67"/>
      <c r="AA160" s="2" t="str">
        <f t="shared" si="38"/>
        <v/>
      </c>
      <c r="AC160" s="9" t="str">
        <f t="shared" si="39"/>
        <v/>
      </c>
      <c r="AD160" s="9" t="str">
        <f t="shared" si="37"/>
        <v/>
      </c>
      <c r="AF160" s="2" t="str">
        <f t="shared" si="40"/>
        <v/>
      </c>
      <c r="AG160" s="9" t="str">
        <f t="shared" si="41"/>
        <v/>
      </c>
      <c r="AH160" s="9" t="str">
        <f t="shared" si="42"/>
        <v/>
      </c>
    </row>
    <row r="161" spans="1:34" x14ac:dyDescent="0.25">
      <c r="A161" s="68"/>
      <c r="B161" s="68"/>
      <c r="C161" s="156"/>
      <c r="D161" s="156"/>
      <c r="E161" s="162"/>
      <c r="F161" s="156"/>
      <c r="G161" s="67"/>
      <c r="AA161" s="2" t="str">
        <f t="shared" si="38"/>
        <v/>
      </c>
      <c r="AC161" s="9" t="str">
        <f t="shared" si="39"/>
        <v/>
      </c>
      <c r="AD161" s="9" t="str">
        <f t="shared" si="37"/>
        <v/>
      </c>
      <c r="AF161" s="2" t="str">
        <f t="shared" si="40"/>
        <v/>
      </c>
      <c r="AG161" s="9" t="str">
        <f t="shared" si="41"/>
        <v/>
      </c>
      <c r="AH161" s="9" t="str">
        <f t="shared" si="42"/>
        <v/>
      </c>
    </row>
    <row r="162" spans="1:34" x14ac:dyDescent="0.25">
      <c r="A162" s="68"/>
      <c r="B162" s="68"/>
      <c r="C162" s="156"/>
      <c r="D162" s="156"/>
      <c r="E162" s="162"/>
      <c r="F162" s="156"/>
      <c r="G162" s="67"/>
      <c r="AA162" s="2" t="str">
        <f t="shared" si="38"/>
        <v/>
      </c>
      <c r="AC162" s="9" t="str">
        <f t="shared" si="39"/>
        <v/>
      </c>
      <c r="AD162" s="9" t="str">
        <f t="shared" si="37"/>
        <v/>
      </c>
      <c r="AF162" s="2" t="str">
        <f t="shared" si="40"/>
        <v/>
      </c>
      <c r="AG162" s="9" t="str">
        <f t="shared" si="41"/>
        <v/>
      </c>
      <c r="AH162" s="9" t="str">
        <f t="shared" si="42"/>
        <v/>
      </c>
    </row>
    <row r="163" spans="1:34" x14ac:dyDescent="0.25">
      <c r="A163" s="68"/>
      <c r="B163" s="68"/>
      <c r="C163" s="156"/>
      <c r="D163" s="156"/>
      <c r="E163" s="162"/>
      <c r="F163" s="156"/>
      <c r="G163" s="67"/>
      <c r="AA163" s="2" t="str">
        <f t="shared" si="38"/>
        <v/>
      </c>
      <c r="AC163" s="9" t="str">
        <f t="shared" si="39"/>
        <v/>
      </c>
      <c r="AD163" s="9" t="str">
        <f t="shared" si="37"/>
        <v/>
      </c>
      <c r="AF163" s="2" t="str">
        <f t="shared" si="40"/>
        <v/>
      </c>
      <c r="AG163" s="9" t="str">
        <f t="shared" si="41"/>
        <v/>
      </c>
      <c r="AH163" s="9" t="str">
        <f t="shared" si="42"/>
        <v/>
      </c>
    </row>
    <row r="164" spans="1:34" x14ac:dyDescent="0.25">
      <c r="A164" s="68"/>
      <c r="B164" s="68"/>
      <c r="C164" s="156"/>
      <c r="D164" s="156"/>
      <c r="E164" s="162"/>
      <c r="F164" s="156"/>
      <c r="G164" s="67"/>
      <c r="AA164" s="2" t="str">
        <f t="shared" si="38"/>
        <v/>
      </c>
      <c r="AC164" s="9" t="str">
        <f t="shared" si="39"/>
        <v/>
      </c>
      <c r="AD164" s="9" t="str">
        <f t="shared" si="37"/>
        <v/>
      </c>
      <c r="AF164" s="2" t="str">
        <f t="shared" si="40"/>
        <v/>
      </c>
      <c r="AG164" s="9" t="str">
        <f t="shared" si="41"/>
        <v/>
      </c>
      <c r="AH164" s="9" t="str">
        <f t="shared" si="42"/>
        <v/>
      </c>
    </row>
    <row r="165" spans="1:34" x14ac:dyDescent="0.25">
      <c r="A165" s="68"/>
      <c r="B165" s="68"/>
      <c r="C165" s="156"/>
      <c r="D165" s="156"/>
      <c r="E165" s="162"/>
      <c r="F165" s="156"/>
      <c r="G165" s="67"/>
      <c r="AA165" s="2" t="str">
        <f t="shared" si="38"/>
        <v/>
      </c>
      <c r="AC165" s="9" t="str">
        <f t="shared" si="39"/>
        <v/>
      </c>
      <c r="AD165" s="9" t="str">
        <f t="shared" si="37"/>
        <v/>
      </c>
      <c r="AF165" s="2" t="str">
        <f t="shared" si="40"/>
        <v/>
      </c>
      <c r="AG165" s="9" t="str">
        <f t="shared" si="41"/>
        <v/>
      </c>
      <c r="AH165" s="9" t="str">
        <f t="shared" si="42"/>
        <v/>
      </c>
    </row>
    <row r="166" spans="1:34" x14ac:dyDescent="0.25">
      <c r="A166" s="68"/>
      <c r="B166" s="68"/>
      <c r="C166" s="156"/>
      <c r="D166" s="156"/>
      <c r="E166" s="162"/>
      <c r="F166" s="156"/>
      <c r="G166" s="67"/>
      <c r="AA166" s="2" t="str">
        <f t="shared" si="38"/>
        <v/>
      </c>
      <c r="AC166" s="9" t="str">
        <f t="shared" si="39"/>
        <v/>
      </c>
      <c r="AD166" s="9" t="str">
        <f t="shared" si="37"/>
        <v/>
      </c>
      <c r="AF166" s="2" t="str">
        <f t="shared" si="40"/>
        <v/>
      </c>
      <c r="AG166" s="9" t="str">
        <f t="shared" si="41"/>
        <v/>
      </c>
      <c r="AH166" s="9" t="str">
        <f t="shared" si="42"/>
        <v/>
      </c>
    </row>
    <row r="167" spans="1:34" x14ac:dyDescent="0.25">
      <c r="A167" s="68"/>
      <c r="B167" s="68"/>
      <c r="C167" s="156"/>
      <c r="D167" s="156"/>
      <c r="E167" s="162"/>
      <c r="F167" s="156"/>
      <c r="G167" s="67"/>
      <c r="AA167" s="2" t="str">
        <f t="shared" si="38"/>
        <v/>
      </c>
      <c r="AC167" s="9" t="str">
        <f t="shared" si="39"/>
        <v/>
      </c>
      <c r="AD167" s="9" t="str">
        <f t="shared" si="37"/>
        <v/>
      </c>
      <c r="AF167" s="2" t="str">
        <f t="shared" si="40"/>
        <v/>
      </c>
      <c r="AG167" s="9" t="str">
        <f t="shared" si="41"/>
        <v/>
      </c>
      <c r="AH167" s="9" t="str">
        <f t="shared" si="42"/>
        <v/>
      </c>
    </row>
    <row r="168" spans="1:34" x14ac:dyDescent="0.25">
      <c r="A168" s="68"/>
      <c r="B168" s="68"/>
      <c r="C168" s="156"/>
      <c r="D168" s="156"/>
      <c r="E168" s="162"/>
      <c r="F168" s="156"/>
      <c r="G168" s="67"/>
      <c r="AA168" s="2" t="str">
        <f t="shared" si="38"/>
        <v/>
      </c>
      <c r="AC168" s="9" t="str">
        <f t="shared" si="39"/>
        <v/>
      </c>
      <c r="AD168" s="9" t="str">
        <f t="shared" si="37"/>
        <v/>
      </c>
      <c r="AF168" s="2" t="str">
        <f t="shared" si="40"/>
        <v/>
      </c>
      <c r="AG168" s="9" t="str">
        <f t="shared" si="41"/>
        <v/>
      </c>
      <c r="AH168" s="9" t="str">
        <f t="shared" si="42"/>
        <v/>
      </c>
    </row>
    <row r="169" spans="1:34" x14ac:dyDescent="0.25">
      <c r="A169" s="68"/>
      <c r="B169" s="68"/>
      <c r="C169" s="156"/>
      <c r="D169" s="156"/>
      <c r="E169" s="162"/>
      <c r="F169" s="156"/>
      <c r="G169" s="67"/>
      <c r="AA169" s="2" t="str">
        <f t="shared" si="38"/>
        <v/>
      </c>
      <c r="AC169" s="9" t="str">
        <f t="shared" si="39"/>
        <v/>
      </c>
      <c r="AD169" s="9" t="str">
        <f t="shared" si="37"/>
        <v/>
      </c>
      <c r="AF169" s="2" t="str">
        <f t="shared" si="40"/>
        <v/>
      </c>
      <c r="AG169" s="9" t="str">
        <f t="shared" si="41"/>
        <v/>
      </c>
      <c r="AH169" s="9" t="str">
        <f t="shared" si="42"/>
        <v/>
      </c>
    </row>
    <row r="170" spans="1:34" x14ac:dyDescent="0.25">
      <c r="A170" s="68"/>
      <c r="B170" s="68"/>
      <c r="C170" s="156"/>
      <c r="D170" s="156"/>
      <c r="E170" s="162"/>
      <c r="F170" s="156"/>
      <c r="G170" s="67"/>
      <c r="AA170" s="2" t="str">
        <f t="shared" si="38"/>
        <v/>
      </c>
      <c r="AC170" s="9" t="str">
        <f t="shared" si="39"/>
        <v/>
      </c>
      <c r="AD170" s="9" t="str">
        <f t="shared" si="37"/>
        <v/>
      </c>
      <c r="AF170" s="2" t="str">
        <f t="shared" si="40"/>
        <v/>
      </c>
      <c r="AG170" s="9" t="str">
        <f t="shared" si="41"/>
        <v/>
      </c>
      <c r="AH170" s="9" t="str">
        <f t="shared" si="42"/>
        <v/>
      </c>
    </row>
    <row r="171" spans="1:34" x14ac:dyDescent="0.25">
      <c r="A171" s="68"/>
      <c r="B171" s="68"/>
      <c r="C171" s="156"/>
      <c r="D171" s="156"/>
      <c r="E171" s="162"/>
      <c r="F171" s="156"/>
      <c r="G171" s="67"/>
      <c r="AA171" s="2" t="str">
        <f t="shared" si="38"/>
        <v/>
      </c>
      <c r="AC171" s="9" t="str">
        <f t="shared" si="39"/>
        <v/>
      </c>
      <c r="AD171" s="9" t="str">
        <f t="shared" si="37"/>
        <v/>
      </c>
      <c r="AF171" s="2" t="str">
        <f t="shared" si="40"/>
        <v/>
      </c>
      <c r="AG171" s="9" t="str">
        <f t="shared" si="41"/>
        <v/>
      </c>
      <c r="AH171" s="9" t="str">
        <f t="shared" si="42"/>
        <v/>
      </c>
    </row>
    <row r="172" spans="1:34" x14ac:dyDescent="0.25">
      <c r="A172" s="68"/>
      <c r="B172" s="68"/>
      <c r="C172" s="156"/>
      <c r="D172" s="156"/>
      <c r="E172" s="162"/>
      <c r="F172" s="156"/>
      <c r="G172" s="67"/>
      <c r="AA172" s="2" t="str">
        <f t="shared" si="38"/>
        <v/>
      </c>
      <c r="AC172" s="9" t="str">
        <f t="shared" si="39"/>
        <v/>
      </c>
      <c r="AD172" s="9" t="str">
        <f t="shared" si="37"/>
        <v/>
      </c>
      <c r="AF172" s="2" t="str">
        <f t="shared" si="40"/>
        <v/>
      </c>
      <c r="AG172" s="9" t="str">
        <f t="shared" si="41"/>
        <v/>
      </c>
      <c r="AH172" s="9" t="str">
        <f t="shared" si="42"/>
        <v/>
      </c>
    </row>
    <row r="173" spans="1:34" x14ac:dyDescent="0.25">
      <c r="A173" s="68"/>
      <c r="B173" s="68"/>
      <c r="C173" s="156"/>
      <c r="D173" s="156"/>
      <c r="E173" s="162"/>
      <c r="F173" s="156"/>
      <c r="G173" s="67"/>
      <c r="AA173" s="2" t="str">
        <f t="shared" si="38"/>
        <v/>
      </c>
      <c r="AC173" s="9" t="str">
        <f t="shared" si="39"/>
        <v/>
      </c>
      <c r="AD173" s="9" t="str">
        <f t="shared" si="37"/>
        <v/>
      </c>
      <c r="AF173" s="2" t="str">
        <f t="shared" si="40"/>
        <v/>
      </c>
      <c r="AG173" s="9" t="str">
        <f t="shared" si="41"/>
        <v/>
      </c>
      <c r="AH173" s="9" t="str">
        <f t="shared" si="42"/>
        <v/>
      </c>
    </row>
    <row r="174" spans="1:34" x14ac:dyDescent="0.25">
      <c r="A174" s="68"/>
      <c r="B174" s="68"/>
      <c r="C174" s="156"/>
      <c r="D174" s="156"/>
      <c r="E174" s="162"/>
      <c r="F174" s="156"/>
      <c r="G174" s="67"/>
      <c r="AA174" s="2" t="str">
        <f t="shared" si="38"/>
        <v/>
      </c>
      <c r="AC174" s="9" t="str">
        <f t="shared" si="39"/>
        <v/>
      </c>
      <c r="AD174" s="9" t="str">
        <f t="shared" si="37"/>
        <v/>
      </c>
      <c r="AF174" s="2" t="str">
        <f t="shared" si="40"/>
        <v/>
      </c>
      <c r="AG174" s="9" t="str">
        <f t="shared" si="41"/>
        <v/>
      </c>
      <c r="AH174" s="9" t="str">
        <f t="shared" si="42"/>
        <v/>
      </c>
    </row>
    <row r="175" spans="1:34" x14ac:dyDescent="0.25">
      <c r="A175" s="68"/>
      <c r="B175" s="68"/>
      <c r="C175" s="156"/>
      <c r="D175" s="156"/>
      <c r="E175" s="162"/>
      <c r="F175" s="156"/>
      <c r="G175" s="67"/>
      <c r="AA175" s="2" t="str">
        <f t="shared" si="38"/>
        <v/>
      </c>
      <c r="AC175" s="9" t="str">
        <f t="shared" si="39"/>
        <v/>
      </c>
      <c r="AD175" s="9" t="str">
        <f t="shared" si="37"/>
        <v/>
      </c>
      <c r="AF175" s="2" t="str">
        <f t="shared" si="40"/>
        <v/>
      </c>
      <c r="AG175" s="9" t="str">
        <f t="shared" si="41"/>
        <v/>
      </c>
      <c r="AH175" s="9" t="str">
        <f t="shared" si="42"/>
        <v/>
      </c>
    </row>
    <row r="176" spans="1:34" x14ac:dyDescent="0.25">
      <c r="A176" s="68"/>
      <c r="B176" s="68"/>
      <c r="C176" s="156"/>
      <c r="D176" s="156"/>
      <c r="E176" s="162"/>
      <c r="F176" s="156"/>
      <c r="G176" s="67"/>
      <c r="AA176" s="2" t="str">
        <f t="shared" si="38"/>
        <v/>
      </c>
      <c r="AC176" s="9" t="str">
        <f t="shared" si="39"/>
        <v/>
      </c>
      <c r="AD176" s="9" t="str">
        <f t="shared" si="37"/>
        <v/>
      </c>
      <c r="AF176" s="2" t="str">
        <f t="shared" si="40"/>
        <v/>
      </c>
      <c r="AG176" s="9" t="str">
        <f t="shared" si="41"/>
        <v/>
      </c>
      <c r="AH176" s="9" t="str">
        <f t="shared" si="42"/>
        <v/>
      </c>
    </row>
    <row r="177" spans="1:34" x14ac:dyDescent="0.25">
      <c r="A177" s="68"/>
      <c r="B177" s="68"/>
      <c r="C177" s="156"/>
      <c r="D177" s="156"/>
      <c r="E177" s="162"/>
      <c r="F177" s="156"/>
      <c r="G177" s="67"/>
      <c r="AA177" s="2" t="str">
        <f t="shared" si="38"/>
        <v/>
      </c>
      <c r="AC177" s="9" t="str">
        <f t="shared" si="39"/>
        <v/>
      </c>
      <c r="AD177" s="9" t="str">
        <f t="shared" si="37"/>
        <v/>
      </c>
      <c r="AF177" s="2" t="str">
        <f t="shared" si="40"/>
        <v/>
      </c>
      <c r="AG177" s="9" t="str">
        <f t="shared" si="41"/>
        <v/>
      </c>
      <c r="AH177" s="9" t="str">
        <f t="shared" si="42"/>
        <v/>
      </c>
    </row>
    <row r="178" spans="1:34" x14ac:dyDescent="0.25">
      <c r="A178" s="68"/>
      <c r="B178" s="68"/>
      <c r="C178" s="156"/>
      <c r="D178" s="156"/>
      <c r="E178" s="162"/>
      <c r="F178" s="156"/>
      <c r="G178" s="67"/>
      <c r="AA178" s="2" t="str">
        <f t="shared" si="38"/>
        <v/>
      </c>
      <c r="AC178" s="9" t="str">
        <f t="shared" si="39"/>
        <v/>
      </c>
      <c r="AD178" s="9" t="str">
        <f t="shared" si="37"/>
        <v/>
      </c>
      <c r="AF178" s="2" t="str">
        <f t="shared" si="40"/>
        <v/>
      </c>
      <c r="AG178" s="9" t="str">
        <f t="shared" si="41"/>
        <v/>
      </c>
      <c r="AH178" s="9" t="str">
        <f t="shared" si="42"/>
        <v/>
      </c>
    </row>
    <row r="179" spans="1:34" x14ac:dyDescent="0.25">
      <c r="A179" s="68"/>
      <c r="B179" s="68"/>
      <c r="C179" s="156"/>
      <c r="D179" s="156"/>
      <c r="E179" s="162"/>
      <c r="F179" s="156"/>
      <c r="G179" s="67"/>
      <c r="AA179" s="2" t="str">
        <f t="shared" si="38"/>
        <v/>
      </c>
      <c r="AC179" s="9" t="str">
        <f t="shared" si="39"/>
        <v/>
      </c>
      <c r="AD179" s="9" t="str">
        <f t="shared" si="37"/>
        <v/>
      </c>
      <c r="AF179" s="2" t="str">
        <f t="shared" si="40"/>
        <v/>
      </c>
      <c r="AG179" s="9" t="str">
        <f t="shared" si="41"/>
        <v/>
      </c>
      <c r="AH179" s="9" t="str">
        <f t="shared" si="42"/>
        <v/>
      </c>
    </row>
    <row r="180" spans="1:34" x14ac:dyDescent="0.25">
      <c r="A180" s="68"/>
      <c r="B180" s="68"/>
      <c r="C180" s="156"/>
      <c r="D180" s="156"/>
      <c r="E180" s="162"/>
      <c r="F180" s="156"/>
      <c r="G180" s="67"/>
      <c r="AA180" s="2" t="str">
        <f t="shared" si="38"/>
        <v/>
      </c>
      <c r="AC180" s="9" t="str">
        <f t="shared" si="39"/>
        <v/>
      </c>
      <c r="AD180" s="9" t="str">
        <f t="shared" si="37"/>
        <v/>
      </c>
      <c r="AF180" s="2" t="str">
        <f t="shared" si="40"/>
        <v/>
      </c>
      <c r="AG180" s="9" t="str">
        <f t="shared" si="41"/>
        <v/>
      </c>
      <c r="AH180" s="9" t="str">
        <f t="shared" si="42"/>
        <v/>
      </c>
    </row>
    <row r="181" spans="1:34" x14ac:dyDescent="0.25">
      <c r="A181" s="68"/>
      <c r="B181" s="68"/>
      <c r="C181" s="156"/>
      <c r="D181" s="156"/>
      <c r="E181" s="162"/>
      <c r="F181" s="156"/>
      <c r="G181" s="67"/>
      <c r="AA181" s="2" t="str">
        <f t="shared" si="38"/>
        <v/>
      </c>
      <c r="AC181" s="9" t="str">
        <f t="shared" si="39"/>
        <v/>
      </c>
      <c r="AD181" s="9" t="str">
        <f t="shared" si="37"/>
        <v/>
      </c>
      <c r="AF181" s="2" t="str">
        <f>IF(AE181="","",AB181-AB$29)</f>
        <v/>
      </c>
      <c r="AG181" s="9" t="str">
        <f t="shared" si="41"/>
        <v/>
      </c>
      <c r="AH181" s="9" t="str">
        <f t="shared" si="42"/>
        <v/>
      </c>
    </row>
    <row r="182" spans="1:34" x14ac:dyDescent="0.25">
      <c r="A182" s="68"/>
      <c r="B182" s="68"/>
      <c r="C182" s="156"/>
      <c r="D182" s="156"/>
      <c r="E182" s="162"/>
      <c r="F182" s="156"/>
      <c r="G182" s="67"/>
      <c r="AA182" s="2" t="str">
        <f t="shared" si="38"/>
        <v/>
      </c>
      <c r="AC182" s="9" t="str">
        <f t="shared" si="39"/>
        <v/>
      </c>
      <c r="AD182" s="9" t="str">
        <f t="shared" si="37"/>
        <v/>
      </c>
      <c r="AF182" s="2" t="str">
        <f t="shared" ref="AF182:AF229" si="43">IF(AE182="","",AB182-AB$29)</f>
        <v/>
      </c>
      <c r="AG182" s="9" t="str">
        <f t="shared" si="41"/>
        <v/>
      </c>
      <c r="AH182" s="9" t="str">
        <f t="shared" si="42"/>
        <v/>
      </c>
    </row>
    <row r="183" spans="1:34" x14ac:dyDescent="0.25">
      <c r="A183" s="68"/>
      <c r="B183" s="68"/>
      <c r="C183" s="156"/>
      <c r="D183" s="156"/>
      <c r="E183" s="162"/>
      <c r="F183" s="156"/>
      <c r="G183" s="67"/>
      <c r="AA183" s="2" t="str">
        <f t="shared" si="38"/>
        <v/>
      </c>
      <c r="AC183" s="9" t="str">
        <f t="shared" si="39"/>
        <v/>
      </c>
      <c r="AD183" s="9" t="str">
        <f t="shared" si="37"/>
        <v/>
      </c>
      <c r="AF183" s="2" t="str">
        <f t="shared" si="43"/>
        <v/>
      </c>
      <c r="AG183" s="9" t="str">
        <f t="shared" si="41"/>
        <v/>
      </c>
      <c r="AH183" s="9" t="str">
        <f t="shared" si="42"/>
        <v/>
      </c>
    </row>
    <row r="184" spans="1:34" x14ac:dyDescent="0.25">
      <c r="A184" s="68"/>
      <c r="B184" s="68"/>
      <c r="C184" s="156"/>
      <c r="D184" s="156"/>
      <c r="E184" s="162"/>
      <c r="F184" s="156"/>
      <c r="G184" s="67"/>
      <c r="AA184" s="2" t="str">
        <f t="shared" si="38"/>
        <v/>
      </c>
      <c r="AC184" s="9" t="str">
        <f t="shared" si="39"/>
        <v/>
      </c>
      <c r="AD184" s="9" t="str">
        <f t="shared" si="37"/>
        <v/>
      </c>
      <c r="AF184" s="2" t="str">
        <f t="shared" si="43"/>
        <v/>
      </c>
      <c r="AG184" s="9" t="str">
        <f t="shared" si="41"/>
        <v/>
      </c>
      <c r="AH184" s="9" t="str">
        <f t="shared" si="42"/>
        <v/>
      </c>
    </row>
    <row r="185" spans="1:34" x14ac:dyDescent="0.25">
      <c r="A185" s="68"/>
      <c r="B185" s="68"/>
      <c r="C185" s="156"/>
      <c r="D185" s="156"/>
      <c r="E185" s="162"/>
      <c r="F185" s="156"/>
      <c r="G185" s="67"/>
      <c r="AA185" s="2" t="str">
        <f t="shared" si="38"/>
        <v/>
      </c>
      <c r="AC185" s="9" t="str">
        <f t="shared" si="39"/>
        <v/>
      </c>
      <c r="AD185" s="9" t="str">
        <f t="shared" si="37"/>
        <v/>
      </c>
      <c r="AF185" s="2" t="str">
        <f t="shared" si="43"/>
        <v/>
      </c>
      <c r="AG185" s="9" t="str">
        <f t="shared" si="41"/>
        <v/>
      </c>
      <c r="AH185" s="9" t="str">
        <f t="shared" si="42"/>
        <v/>
      </c>
    </row>
    <row r="186" spans="1:34" x14ac:dyDescent="0.25">
      <c r="A186" s="68"/>
      <c r="B186" s="68"/>
      <c r="C186" s="156"/>
      <c r="D186" s="156"/>
      <c r="E186" s="162"/>
      <c r="F186" s="156"/>
      <c r="G186" s="67"/>
      <c r="AA186" s="2" t="str">
        <f t="shared" si="38"/>
        <v/>
      </c>
      <c r="AC186" s="9" t="str">
        <f t="shared" si="39"/>
        <v/>
      </c>
      <c r="AD186" s="9" t="str">
        <f t="shared" si="37"/>
        <v/>
      </c>
      <c r="AF186" s="2" t="str">
        <f t="shared" si="43"/>
        <v/>
      </c>
      <c r="AG186" s="9" t="str">
        <f t="shared" si="41"/>
        <v/>
      </c>
      <c r="AH186" s="9" t="str">
        <f t="shared" si="42"/>
        <v/>
      </c>
    </row>
    <row r="187" spans="1:34" x14ac:dyDescent="0.25">
      <c r="A187" s="68"/>
      <c r="B187" s="68"/>
      <c r="C187" s="156"/>
      <c r="D187" s="156"/>
      <c r="E187" s="162"/>
      <c r="F187" s="156"/>
      <c r="G187" s="67"/>
      <c r="AA187" s="2" t="str">
        <f t="shared" si="38"/>
        <v/>
      </c>
      <c r="AC187" s="9" t="str">
        <f t="shared" si="39"/>
        <v/>
      </c>
      <c r="AD187" s="9" t="str">
        <f t="shared" si="37"/>
        <v/>
      </c>
      <c r="AF187" s="2" t="str">
        <f t="shared" si="43"/>
        <v/>
      </c>
      <c r="AG187" s="9" t="str">
        <f t="shared" si="41"/>
        <v/>
      </c>
      <c r="AH187" s="9" t="str">
        <f t="shared" si="42"/>
        <v/>
      </c>
    </row>
    <row r="188" spans="1:34" x14ac:dyDescent="0.25">
      <c r="A188" s="68"/>
      <c r="B188" s="68"/>
      <c r="C188" s="156"/>
      <c r="D188" s="156"/>
      <c r="E188" s="162"/>
      <c r="F188" s="156"/>
      <c r="G188" s="67"/>
      <c r="AA188" s="2" t="str">
        <f t="shared" si="38"/>
        <v/>
      </c>
      <c r="AC188" s="9" t="str">
        <f t="shared" si="39"/>
        <v/>
      </c>
      <c r="AD188" s="9" t="str">
        <f t="shared" si="37"/>
        <v/>
      </c>
      <c r="AF188" s="2" t="str">
        <f t="shared" si="43"/>
        <v/>
      </c>
      <c r="AG188" s="9" t="str">
        <f t="shared" si="41"/>
        <v/>
      </c>
      <c r="AH188" s="9" t="str">
        <f t="shared" si="42"/>
        <v/>
      </c>
    </row>
    <row r="189" spans="1:34" x14ac:dyDescent="0.25">
      <c r="A189" s="68"/>
      <c r="B189" s="68"/>
      <c r="C189" s="156"/>
      <c r="D189" s="156"/>
      <c r="E189" s="162"/>
      <c r="F189" s="156"/>
      <c r="G189" s="67"/>
      <c r="AA189" s="2" t="str">
        <f t="shared" si="38"/>
        <v/>
      </c>
      <c r="AC189" s="9" t="str">
        <f t="shared" si="39"/>
        <v/>
      </c>
      <c r="AD189" s="9" t="str">
        <f t="shared" si="37"/>
        <v/>
      </c>
      <c r="AF189" s="2" t="str">
        <f t="shared" si="43"/>
        <v/>
      </c>
      <c r="AG189" s="9" t="str">
        <f t="shared" si="41"/>
        <v/>
      </c>
      <c r="AH189" s="9" t="str">
        <f t="shared" si="42"/>
        <v/>
      </c>
    </row>
    <row r="190" spans="1:34" x14ac:dyDescent="0.25">
      <c r="A190" s="68"/>
      <c r="B190" s="68"/>
      <c r="C190" s="156"/>
      <c r="D190" s="156"/>
      <c r="E190" s="162"/>
      <c r="F190" s="156"/>
      <c r="G190" s="67"/>
      <c r="AA190" s="2" t="str">
        <f t="shared" si="38"/>
        <v/>
      </c>
      <c r="AC190" s="9" t="str">
        <f t="shared" si="39"/>
        <v/>
      </c>
      <c r="AD190" s="9" t="str">
        <f t="shared" si="37"/>
        <v/>
      </c>
      <c r="AF190" s="2" t="str">
        <f t="shared" si="43"/>
        <v/>
      </c>
      <c r="AG190" s="9" t="str">
        <f t="shared" si="41"/>
        <v/>
      </c>
      <c r="AH190" s="9" t="str">
        <f t="shared" si="42"/>
        <v/>
      </c>
    </row>
    <row r="191" spans="1:34" x14ac:dyDescent="0.25">
      <c r="A191" s="68"/>
      <c r="B191" s="68"/>
      <c r="C191" s="156"/>
      <c r="D191" s="156"/>
      <c r="E191" s="162"/>
      <c r="F191" s="156"/>
      <c r="G191" s="67"/>
      <c r="AA191" s="2" t="str">
        <f t="shared" si="38"/>
        <v/>
      </c>
      <c r="AC191" s="9" t="str">
        <f t="shared" si="39"/>
        <v/>
      </c>
      <c r="AD191" s="9" t="str">
        <f t="shared" si="37"/>
        <v/>
      </c>
      <c r="AF191" s="2" t="str">
        <f t="shared" si="43"/>
        <v/>
      </c>
      <c r="AG191" s="9" t="str">
        <f t="shared" si="41"/>
        <v/>
      </c>
      <c r="AH191" s="9" t="str">
        <f t="shared" si="42"/>
        <v/>
      </c>
    </row>
    <row r="192" spans="1:34" x14ac:dyDescent="0.25">
      <c r="A192" s="68"/>
      <c r="B192" s="68"/>
      <c r="C192" s="156"/>
      <c r="D192" s="156"/>
      <c r="E192" s="162"/>
      <c r="F192" s="156"/>
      <c r="G192" s="67"/>
      <c r="AA192" s="2" t="str">
        <f t="shared" si="38"/>
        <v/>
      </c>
      <c r="AC192" s="9" t="str">
        <f t="shared" si="39"/>
        <v/>
      </c>
      <c r="AD192" s="9" t="str">
        <f t="shared" si="37"/>
        <v/>
      </c>
      <c r="AF192" s="2" t="str">
        <f t="shared" si="43"/>
        <v/>
      </c>
      <c r="AG192" s="9" t="str">
        <f t="shared" si="41"/>
        <v/>
      </c>
      <c r="AH192" s="9" t="str">
        <f t="shared" si="42"/>
        <v/>
      </c>
    </row>
    <row r="193" spans="1:34" x14ac:dyDescent="0.25">
      <c r="A193" s="68"/>
      <c r="B193" s="68"/>
      <c r="C193" s="156"/>
      <c r="D193" s="156"/>
      <c r="E193" s="162"/>
      <c r="F193" s="156"/>
      <c r="G193" s="67"/>
      <c r="AA193" s="2" t="str">
        <f t="shared" si="38"/>
        <v/>
      </c>
      <c r="AC193" s="9" t="str">
        <f t="shared" si="39"/>
        <v/>
      </c>
      <c r="AD193" s="9" t="str">
        <f t="shared" si="37"/>
        <v/>
      </c>
      <c r="AF193" s="2" t="str">
        <f t="shared" si="43"/>
        <v/>
      </c>
      <c r="AG193" s="9" t="str">
        <f t="shared" si="41"/>
        <v/>
      </c>
      <c r="AH193" s="9" t="str">
        <f t="shared" si="42"/>
        <v/>
      </c>
    </row>
    <row r="194" spans="1:34" x14ac:dyDescent="0.25">
      <c r="A194" s="68"/>
      <c r="B194" s="68"/>
      <c r="C194" s="156"/>
      <c r="D194" s="156"/>
      <c r="E194" s="162"/>
      <c r="F194" s="156"/>
      <c r="G194" s="67"/>
      <c r="AA194" s="2" t="str">
        <f t="shared" si="38"/>
        <v/>
      </c>
      <c r="AC194" s="9" t="str">
        <f t="shared" si="39"/>
        <v/>
      </c>
      <c r="AD194" s="9" t="str">
        <f t="shared" si="37"/>
        <v/>
      </c>
      <c r="AF194" s="2" t="str">
        <f t="shared" si="43"/>
        <v/>
      </c>
      <c r="AG194" s="9" t="str">
        <f t="shared" si="41"/>
        <v/>
      </c>
      <c r="AH194" s="9" t="str">
        <f t="shared" si="42"/>
        <v/>
      </c>
    </row>
    <row r="195" spans="1:34" x14ac:dyDescent="0.25">
      <c r="A195" s="68"/>
      <c r="B195" s="68"/>
      <c r="C195" s="156"/>
      <c r="D195" s="156"/>
      <c r="E195" s="162"/>
      <c r="F195" s="156"/>
      <c r="G195" s="67"/>
      <c r="AA195" s="2" t="str">
        <f t="shared" si="38"/>
        <v/>
      </c>
      <c r="AC195" s="9" t="str">
        <f t="shared" si="39"/>
        <v/>
      </c>
      <c r="AD195" s="9" t="str">
        <f t="shared" si="37"/>
        <v/>
      </c>
      <c r="AF195" s="2" t="str">
        <f t="shared" si="43"/>
        <v/>
      </c>
      <c r="AG195" s="9" t="str">
        <f t="shared" si="41"/>
        <v/>
      </c>
      <c r="AH195" s="9" t="str">
        <f t="shared" si="42"/>
        <v/>
      </c>
    </row>
    <row r="196" spans="1:34" x14ac:dyDescent="0.25">
      <c r="A196" s="68"/>
      <c r="B196" s="68"/>
      <c r="C196" s="156"/>
      <c r="D196" s="156"/>
      <c r="E196" s="162"/>
      <c r="F196" s="156"/>
      <c r="G196" s="67"/>
      <c r="AA196" s="2" t="str">
        <f t="shared" si="38"/>
        <v/>
      </c>
      <c r="AC196" s="9" t="str">
        <f t="shared" si="39"/>
        <v/>
      </c>
      <c r="AD196" s="9" t="str">
        <f t="shared" si="37"/>
        <v/>
      </c>
      <c r="AF196" s="2" t="str">
        <f t="shared" si="43"/>
        <v/>
      </c>
      <c r="AG196" s="9" t="str">
        <f t="shared" si="41"/>
        <v/>
      </c>
      <c r="AH196" s="9" t="str">
        <f t="shared" si="42"/>
        <v/>
      </c>
    </row>
    <row r="197" spans="1:34" x14ac:dyDescent="0.25">
      <c r="A197" s="68"/>
      <c r="B197" s="68"/>
      <c r="C197" s="156"/>
      <c r="D197" s="156"/>
      <c r="E197" s="162"/>
      <c r="F197" s="156"/>
      <c r="G197" s="67"/>
      <c r="AA197" s="2" t="str">
        <f t="shared" si="38"/>
        <v/>
      </c>
      <c r="AC197" s="9" t="str">
        <f t="shared" si="39"/>
        <v/>
      </c>
      <c r="AD197" s="9" t="str">
        <f t="shared" si="37"/>
        <v/>
      </c>
      <c r="AF197" s="2" t="str">
        <f t="shared" si="43"/>
        <v/>
      </c>
      <c r="AG197" s="9" t="str">
        <f t="shared" si="41"/>
        <v/>
      </c>
      <c r="AH197" s="9" t="str">
        <f t="shared" si="42"/>
        <v/>
      </c>
    </row>
    <row r="198" spans="1:34" x14ac:dyDescent="0.25">
      <c r="A198" s="68"/>
      <c r="B198" s="68"/>
      <c r="C198" s="156"/>
      <c r="D198" s="156"/>
      <c r="E198" s="162"/>
      <c r="F198" s="156"/>
      <c r="G198" s="67"/>
      <c r="AA198" s="2" t="str">
        <f t="shared" si="38"/>
        <v/>
      </c>
      <c r="AC198" s="9" t="str">
        <f t="shared" si="39"/>
        <v/>
      </c>
      <c r="AD198" s="9" t="str">
        <f t="shared" si="37"/>
        <v/>
      </c>
      <c r="AF198" s="2" t="str">
        <f t="shared" si="43"/>
        <v/>
      </c>
      <c r="AG198" s="9" t="str">
        <f t="shared" si="41"/>
        <v/>
      </c>
      <c r="AH198" s="9" t="str">
        <f t="shared" si="42"/>
        <v/>
      </c>
    </row>
    <row r="199" spans="1:34" x14ac:dyDescent="0.25">
      <c r="A199" s="68"/>
      <c r="B199" s="68"/>
      <c r="C199" s="156"/>
      <c r="D199" s="156"/>
      <c r="E199" s="162"/>
      <c r="F199" s="156"/>
      <c r="G199" s="67"/>
      <c r="AA199" s="2" t="str">
        <f t="shared" si="38"/>
        <v/>
      </c>
      <c r="AC199" s="9" t="str">
        <f t="shared" si="39"/>
        <v/>
      </c>
      <c r="AD199" s="9" t="str">
        <f t="shared" si="37"/>
        <v/>
      </c>
      <c r="AF199" s="2" t="str">
        <f t="shared" si="43"/>
        <v/>
      </c>
      <c r="AG199" s="9" t="str">
        <f t="shared" si="41"/>
        <v/>
      </c>
      <c r="AH199" s="9" t="str">
        <f t="shared" si="42"/>
        <v/>
      </c>
    </row>
    <row r="200" spans="1:34" x14ac:dyDescent="0.25">
      <c r="A200" s="68"/>
      <c r="B200" s="68"/>
      <c r="C200" s="156"/>
      <c r="D200" s="156"/>
      <c r="E200" s="162"/>
      <c r="F200" s="156"/>
      <c r="G200" s="67"/>
      <c r="AA200" s="2" t="str">
        <f t="shared" si="38"/>
        <v/>
      </c>
      <c r="AC200" s="9" t="str">
        <f t="shared" si="39"/>
        <v/>
      </c>
      <c r="AD200" s="9" t="str">
        <f t="shared" si="37"/>
        <v/>
      </c>
      <c r="AF200" s="2" t="str">
        <f t="shared" si="43"/>
        <v/>
      </c>
      <c r="AG200" s="9" t="str">
        <f t="shared" si="41"/>
        <v/>
      </c>
      <c r="AH200" s="9" t="str">
        <f t="shared" si="42"/>
        <v/>
      </c>
    </row>
    <row r="201" spans="1:34" x14ac:dyDescent="0.25">
      <c r="A201" s="68"/>
      <c r="B201" s="68"/>
      <c r="C201" s="156"/>
      <c r="D201" s="156"/>
      <c r="E201" s="162"/>
      <c r="F201" s="156"/>
      <c r="G201" s="67"/>
      <c r="AA201" s="2" t="str">
        <f t="shared" si="38"/>
        <v/>
      </c>
      <c r="AC201" s="9" t="str">
        <f t="shared" si="39"/>
        <v/>
      </c>
      <c r="AD201" s="9" t="str">
        <f t="shared" si="37"/>
        <v/>
      </c>
      <c r="AF201" s="2" t="str">
        <f t="shared" si="43"/>
        <v/>
      </c>
      <c r="AG201" s="9" t="str">
        <f t="shared" si="41"/>
        <v/>
      </c>
      <c r="AH201" s="9" t="str">
        <f t="shared" si="42"/>
        <v/>
      </c>
    </row>
    <row r="202" spans="1:34" x14ac:dyDescent="0.25">
      <c r="A202" s="68"/>
      <c r="B202" s="68"/>
      <c r="C202" s="156"/>
      <c r="D202" s="156"/>
      <c r="E202" s="162"/>
      <c r="F202" s="156"/>
      <c r="G202" s="67"/>
      <c r="AA202" s="2" t="str">
        <f t="shared" si="38"/>
        <v/>
      </c>
      <c r="AC202" s="9" t="str">
        <f t="shared" si="39"/>
        <v/>
      </c>
      <c r="AD202" s="9" t="str">
        <f t="shared" si="37"/>
        <v/>
      </c>
      <c r="AF202" s="2" t="str">
        <f t="shared" si="43"/>
        <v/>
      </c>
      <c r="AG202" s="9" t="str">
        <f t="shared" si="41"/>
        <v/>
      </c>
      <c r="AH202" s="9" t="str">
        <f t="shared" si="42"/>
        <v/>
      </c>
    </row>
    <row r="203" spans="1:34" x14ac:dyDescent="0.25">
      <c r="A203" s="68"/>
      <c r="B203" s="68"/>
      <c r="C203" s="156"/>
      <c r="D203" s="156"/>
      <c r="E203" s="162"/>
      <c r="F203" s="156"/>
      <c r="G203" s="67"/>
      <c r="AA203" s="2" t="str">
        <f t="shared" si="38"/>
        <v/>
      </c>
      <c r="AC203" s="9" t="str">
        <f t="shared" si="39"/>
        <v/>
      </c>
      <c r="AD203" s="9" t="str">
        <f t="shared" si="37"/>
        <v/>
      </c>
      <c r="AF203" s="2" t="str">
        <f t="shared" si="43"/>
        <v/>
      </c>
      <c r="AG203" s="9" t="str">
        <f t="shared" si="41"/>
        <v/>
      </c>
      <c r="AH203" s="9" t="str">
        <f t="shared" si="42"/>
        <v/>
      </c>
    </row>
    <row r="204" spans="1:34" x14ac:dyDescent="0.25">
      <c r="A204" s="68"/>
      <c r="B204" s="68"/>
      <c r="C204" s="156"/>
      <c r="D204" s="156"/>
      <c r="E204" s="162"/>
      <c r="F204" s="156"/>
      <c r="G204" s="67"/>
      <c r="AA204" s="2" t="str">
        <f t="shared" si="38"/>
        <v/>
      </c>
      <c r="AC204" s="9" t="str">
        <f t="shared" si="39"/>
        <v/>
      </c>
      <c r="AD204" s="9" t="str">
        <f t="shared" si="37"/>
        <v/>
      </c>
      <c r="AF204" s="2" t="str">
        <f t="shared" si="43"/>
        <v/>
      </c>
      <c r="AG204" s="9" t="str">
        <f t="shared" si="41"/>
        <v/>
      </c>
      <c r="AH204" s="9" t="str">
        <f t="shared" si="42"/>
        <v/>
      </c>
    </row>
    <row r="205" spans="1:34" x14ac:dyDescent="0.25">
      <c r="A205" s="68"/>
      <c r="B205" s="68"/>
      <c r="C205" s="156"/>
      <c r="D205" s="156"/>
      <c r="E205" s="162"/>
      <c r="F205" s="156"/>
      <c r="G205" s="67"/>
      <c r="AA205" s="2" t="str">
        <f t="shared" si="38"/>
        <v/>
      </c>
      <c r="AC205" s="9" t="str">
        <f t="shared" si="39"/>
        <v/>
      </c>
      <c r="AD205" s="9" t="str">
        <f t="shared" si="37"/>
        <v/>
      </c>
      <c r="AF205" s="2" t="str">
        <f t="shared" si="43"/>
        <v/>
      </c>
      <c r="AG205" s="9" t="str">
        <f t="shared" si="41"/>
        <v/>
      </c>
      <c r="AH205" s="9" t="str">
        <f t="shared" si="42"/>
        <v/>
      </c>
    </row>
    <row r="206" spans="1:34" x14ac:dyDescent="0.25">
      <c r="A206" s="68"/>
      <c r="B206" s="68"/>
      <c r="C206" s="156"/>
      <c r="D206" s="156"/>
      <c r="E206" s="162"/>
      <c r="F206" s="156"/>
      <c r="G206" s="67"/>
      <c r="AA206" s="2" t="str">
        <f t="shared" si="38"/>
        <v/>
      </c>
      <c r="AC206" s="9" t="str">
        <f t="shared" si="39"/>
        <v/>
      </c>
      <c r="AD206" s="9" t="str">
        <f t="shared" si="37"/>
        <v/>
      </c>
      <c r="AF206" s="2" t="str">
        <f t="shared" si="43"/>
        <v/>
      </c>
      <c r="AG206" s="9" t="str">
        <f t="shared" si="41"/>
        <v/>
      </c>
      <c r="AH206" s="9" t="str">
        <f t="shared" si="42"/>
        <v/>
      </c>
    </row>
    <row r="207" spans="1:34" x14ac:dyDescent="0.25">
      <c r="A207" s="68"/>
      <c r="B207" s="68"/>
      <c r="C207" s="156"/>
      <c r="D207" s="156"/>
      <c r="E207" s="162"/>
      <c r="F207" s="156"/>
      <c r="G207" s="67"/>
      <c r="AA207" s="2" t="str">
        <f t="shared" si="38"/>
        <v/>
      </c>
      <c r="AC207" s="9" t="str">
        <f t="shared" si="39"/>
        <v/>
      </c>
      <c r="AD207" s="9" t="str">
        <f t="shared" si="37"/>
        <v/>
      </c>
      <c r="AF207" s="2" t="str">
        <f t="shared" si="43"/>
        <v/>
      </c>
      <c r="AG207" s="9" t="str">
        <f t="shared" si="41"/>
        <v/>
      </c>
      <c r="AH207" s="9" t="str">
        <f t="shared" si="42"/>
        <v/>
      </c>
    </row>
    <row r="208" spans="1:34" x14ac:dyDescent="0.25">
      <c r="A208" s="68"/>
      <c r="B208" s="68"/>
      <c r="C208" s="156"/>
      <c r="D208" s="156"/>
      <c r="E208" s="162"/>
      <c r="F208" s="156"/>
      <c r="G208" s="67"/>
      <c r="AA208" s="2" t="str">
        <f t="shared" si="38"/>
        <v/>
      </c>
      <c r="AC208" s="9" t="str">
        <f t="shared" si="39"/>
        <v/>
      </c>
      <c r="AD208" s="9" t="str">
        <f t="shared" si="37"/>
        <v/>
      </c>
      <c r="AF208" s="2" t="str">
        <f t="shared" si="43"/>
        <v/>
      </c>
      <c r="AG208" s="9" t="str">
        <f t="shared" si="41"/>
        <v/>
      </c>
      <c r="AH208" s="9" t="str">
        <f t="shared" si="42"/>
        <v/>
      </c>
    </row>
    <row r="209" spans="1:34" x14ac:dyDescent="0.25">
      <c r="A209" s="68"/>
      <c r="B209" s="68"/>
      <c r="C209" s="156"/>
      <c r="D209" s="156"/>
      <c r="E209" s="162"/>
      <c r="F209" s="156"/>
      <c r="G209" s="67"/>
      <c r="AA209" s="2" t="str">
        <f t="shared" si="38"/>
        <v/>
      </c>
      <c r="AC209" s="9" t="str">
        <f t="shared" si="39"/>
        <v/>
      </c>
      <c r="AD209" s="9" t="str">
        <f t="shared" si="37"/>
        <v/>
      </c>
      <c r="AF209" s="2" t="str">
        <f t="shared" si="43"/>
        <v/>
      </c>
      <c r="AG209" s="9" t="str">
        <f t="shared" si="41"/>
        <v/>
      </c>
      <c r="AH209" s="9" t="str">
        <f t="shared" si="42"/>
        <v/>
      </c>
    </row>
    <row r="210" spans="1:34" x14ac:dyDescent="0.25">
      <c r="A210" s="68"/>
      <c r="B210" s="68"/>
      <c r="C210" s="156"/>
      <c r="D210" s="156"/>
      <c r="E210" s="162"/>
      <c r="F210" s="156"/>
      <c r="G210" s="67"/>
      <c r="AA210" s="2" t="str">
        <f t="shared" si="38"/>
        <v/>
      </c>
      <c r="AC210" s="9" t="str">
        <f t="shared" si="39"/>
        <v/>
      </c>
      <c r="AD210" s="9" t="str">
        <f t="shared" si="37"/>
        <v/>
      </c>
      <c r="AF210" s="2" t="str">
        <f t="shared" si="43"/>
        <v/>
      </c>
      <c r="AG210" s="9" t="str">
        <f t="shared" si="41"/>
        <v/>
      </c>
      <c r="AH210" s="9" t="str">
        <f t="shared" si="42"/>
        <v/>
      </c>
    </row>
    <row r="211" spans="1:34" x14ac:dyDescent="0.25">
      <c r="A211" s="68"/>
      <c r="B211" s="68"/>
      <c r="C211" s="156"/>
      <c r="D211" s="156"/>
      <c r="E211" s="162"/>
      <c r="F211" s="156"/>
      <c r="G211" s="67"/>
      <c r="AA211" s="2" t="str">
        <f t="shared" si="38"/>
        <v/>
      </c>
      <c r="AC211" s="9" t="str">
        <f t="shared" si="39"/>
        <v/>
      </c>
      <c r="AD211" s="9" t="str">
        <f t="shared" si="37"/>
        <v/>
      </c>
      <c r="AF211" s="2" t="str">
        <f t="shared" si="43"/>
        <v/>
      </c>
      <c r="AG211" s="9" t="str">
        <f t="shared" si="41"/>
        <v/>
      </c>
      <c r="AH211" s="9" t="str">
        <f t="shared" si="42"/>
        <v/>
      </c>
    </row>
    <row r="212" spans="1:34" x14ac:dyDescent="0.25">
      <c r="A212" s="68"/>
      <c r="B212" s="68"/>
      <c r="C212" s="156"/>
      <c r="D212" s="156"/>
      <c r="E212" s="162"/>
      <c r="F212" s="156"/>
      <c r="G212" s="67"/>
      <c r="AA212" s="2" t="str">
        <f t="shared" si="38"/>
        <v/>
      </c>
      <c r="AC212" s="9" t="str">
        <f t="shared" si="39"/>
        <v/>
      </c>
      <c r="AD212" s="9" t="str">
        <f t="shared" si="37"/>
        <v/>
      </c>
      <c r="AF212" s="2" t="str">
        <f t="shared" si="43"/>
        <v/>
      </c>
      <c r="AG212" s="9" t="str">
        <f t="shared" si="41"/>
        <v/>
      </c>
      <c r="AH212" s="9" t="str">
        <f t="shared" si="42"/>
        <v/>
      </c>
    </row>
    <row r="213" spans="1:34" x14ac:dyDescent="0.25">
      <c r="A213" s="68"/>
      <c r="B213" s="68"/>
      <c r="C213" s="156"/>
      <c r="D213" s="156"/>
      <c r="E213" s="162"/>
      <c r="F213" s="156"/>
      <c r="G213" s="67"/>
      <c r="AA213" s="2" t="str">
        <f t="shared" si="38"/>
        <v/>
      </c>
      <c r="AC213" s="9" t="str">
        <f t="shared" si="39"/>
        <v/>
      </c>
      <c r="AD213" s="9" t="str">
        <f t="shared" si="37"/>
        <v/>
      </c>
      <c r="AF213" s="2" t="str">
        <f t="shared" si="43"/>
        <v/>
      </c>
      <c r="AG213" s="9" t="str">
        <f t="shared" si="41"/>
        <v/>
      </c>
      <c r="AH213" s="9" t="str">
        <f t="shared" si="42"/>
        <v/>
      </c>
    </row>
    <row r="214" spans="1:34" x14ac:dyDescent="0.25">
      <c r="A214" s="68"/>
      <c r="B214" s="68"/>
      <c r="C214" s="156"/>
      <c r="D214" s="156"/>
      <c r="E214" s="162"/>
      <c r="F214" s="156"/>
      <c r="G214" s="67"/>
      <c r="AA214" s="2" t="str">
        <f t="shared" si="38"/>
        <v/>
      </c>
      <c r="AC214" s="9" t="str">
        <f t="shared" si="39"/>
        <v/>
      </c>
      <c r="AD214" s="9" t="str">
        <f t="shared" si="37"/>
        <v/>
      </c>
      <c r="AF214" s="2" t="str">
        <f t="shared" si="43"/>
        <v/>
      </c>
      <c r="AG214" s="9" t="str">
        <f t="shared" si="41"/>
        <v/>
      </c>
      <c r="AH214" s="9" t="str">
        <f t="shared" si="42"/>
        <v/>
      </c>
    </row>
    <row r="215" spans="1:34" x14ac:dyDescent="0.25">
      <c r="A215" s="68"/>
      <c r="B215" s="68"/>
      <c r="C215" s="156"/>
      <c r="D215" s="156"/>
      <c r="E215" s="162"/>
      <c r="F215" s="156"/>
      <c r="G215" s="67"/>
      <c r="AA215" s="2" t="str">
        <f t="shared" si="38"/>
        <v/>
      </c>
      <c r="AC215" s="9" t="str">
        <f t="shared" si="39"/>
        <v/>
      </c>
      <c r="AD215" s="9" t="str">
        <f t="shared" si="37"/>
        <v/>
      </c>
      <c r="AF215" s="2" t="str">
        <f t="shared" si="43"/>
        <v/>
      </c>
      <c r="AG215" s="9" t="str">
        <f t="shared" si="41"/>
        <v/>
      </c>
      <c r="AH215" s="9" t="str">
        <f t="shared" si="42"/>
        <v/>
      </c>
    </row>
    <row r="216" spans="1:34" x14ac:dyDescent="0.25">
      <c r="A216" s="68"/>
      <c r="B216" s="68"/>
      <c r="C216" s="156"/>
      <c r="D216" s="156"/>
      <c r="E216" s="162"/>
      <c r="F216" s="156"/>
      <c r="G216" s="67"/>
      <c r="AA216" s="2" t="str">
        <f t="shared" si="38"/>
        <v/>
      </c>
      <c r="AC216" s="9" t="str">
        <f t="shared" si="39"/>
        <v/>
      </c>
      <c r="AD216" s="9" t="str">
        <f t="shared" si="37"/>
        <v/>
      </c>
      <c r="AF216" s="2" t="str">
        <f t="shared" si="43"/>
        <v/>
      </c>
      <c r="AG216" s="9" t="str">
        <f t="shared" si="41"/>
        <v/>
      </c>
      <c r="AH216" s="9" t="str">
        <f t="shared" si="42"/>
        <v/>
      </c>
    </row>
    <row r="217" spans="1:34" x14ac:dyDescent="0.25">
      <c r="A217" s="68"/>
      <c r="B217" s="68"/>
      <c r="C217" s="156"/>
      <c r="D217" s="156"/>
      <c r="E217" s="162"/>
      <c r="F217" s="156"/>
      <c r="G217" s="67"/>
      <c r="AA217" s="2" t="str">
        <f t="shared" si="38"/>
        <v/>
      </c>
      <c r="AC217" s="9" t="str">
        <f t="shared" si="39"/>
        <v/>
      </c>
      <c r="AD217" s="9" t="str">
        <f t="shared" si="37"/>
        <v/>
      </c>
      <c r="AF217" s="2" t="str">
        <f t="shared" si="43"/>
        <v/>
      </c>
      <c r="AG217" s="9" t="str">
        <f t="shared" si="41"/>
        <v/>
      </c>
      <c r="AH217" s="9" t="str">
        <f t="shared" si="42"/>
        <v/>
      </c>
    </row>
    <row r="218" spans="1:34" x14ac:dyDescent="0.25">
      <c r="A218" s="68"/>
      <c r="B218" s="68"/>
      <c r="C218" s="156"/>
      <c r="D218" s="156"/>
      <c r="E218" s="162"/>
      <c r="F218" s="156"/>
      <c r="G218" s="67"/>
      <c r="AA218" s="2" t="str">
        <f t="shared" si="38"/>
        <v/>
      </c>
      <c r="AC218" s="9" t="str">
        <f t="shared" si="39"/>
        <v/>
      </c>
      <c r="AD218" s="9" t="str">
        <f t="shared" si="37"/>
        <v/>
      </c>
      <c r="AF218" s="2" t="str">
        <f t="shared" si="43"/>
        <v/>
      </c>
      <c r="AG218" s="9" t="str">
        <f t="shared" si="41"/>
        <v/>
      </c>
      <c r="AH218" s="9" t="str">
        <f t="shared" si="42"/>
        <v/>
      </c>
    </row>
    <row r="219" spans="1:34" x14ac:dyDescent="0.25">
      <c r="A219" s="68"/>
      <c r="B219" s="68"/>
      <c r="C219" s="65"/>
      <c r="D219" s="65"/>
      <c r="E219" s="66"/>
      <c r="F219" s="65"/>
      <c r="G219" s="67"/>
      <c r="AA219" s="2" t="str">
        <f t="shared" si="38"/>
        <v/>
      </c>
      <c r="AC219" s="9" t="str">
        <f t="shared" si="39"/>
        <v/>
      </c>
      <c r="AD219" s="9" t="str">
        <f t="shared" si="37"/>
        <v/>
      </c>
      <c r="AF219" s="2" t="str">
        <f t="shared" si="43"/>
        <v/>
      </c>
      <c r="AG219" s="9" t="str">
        <f t="shared" si="41"/>
        <v/>
      </c>
      <c r="AH219" s="9" t="str">
        <f t="shared" si="42"/>
        <v/>
      </c>
    </row>
    <row r="220" spans="1:34" x14ac:dyDescent="0.25">
      <c r="A220" s="68"/>
      <c r="B220" s="68"/>
      <c r="C220" s="65"/>
      <c r="D220" s="65"/>
      <c r="E220" s="66"/>
      <c r="F220" s="65"/>
      <c r="G220" s="67"/>
      <c r="AA220" s="2" t="str">
        <f t="shared" si="38"/>
        <v/>
      </c>
      <c r="AC220" s="9" t="str">
        <f t="shared" si="39"/>
        <v/>
      </c>
      <c r="AD220" s="9" t="str">
        <f t="shared" si="37"/>
        <v/>
      </c>
      <c r="AF220" s="2" t="str">
        <f t="shared" si="43"/>
        <v/>
      </c>
      <c r="AG220" s="9" t="str">
        <f t="shared" si="41"/>
        <v/>
      </c>
      <c r="AH220" s="9" t="str">
        <f t="shared" si="42"/>
        <v/>
      </c>
    </row>
    <row r="221" spans="1:34" x14ac:dyDescent="0.25">
      <c r="A221" s="68"/>
      <c r="B221" s="68"/>
      <c r="C221" s="65"/>
      <c r="D221" s="65"/>
      <c r="E221" s="66"/>
      <c r="F221" s="65"/>
      <c r="G221" s="67"/>
      <c r="AA221" s="2" t="str">
        <f t="shared" si="38"/>
        <v/>
      </c>
      <c r="AC221" s="9" t="str">
        <f t="shared" si="39"/>
        <v/>
      </c>
      <c r="AD221" s="9" t="str">
        <f t="shared" si="37"/>
        <v/>
      </c>
      <c r="AF221" s="2" t="str">
        <f t="shared" si="43"/>
        <v/>
      </c>
      <c r="AG221" s="9" t="str">
        <f t="shared" si="41"/>
        <v/>
      </c>
      <c r="AH221" s="9" t="str">
        <f t="shared" si="42"/>
        <v/>
      </c>
    </row>
    <row r="222" spans="1:34" x14ac:dyDescent="0.25">
      <c r="A222" s="68"/>
      <c r="B222" s="68"/>
      <c r="C222" s="65"/>
      <c r="D222" s="65"/>
      <c r="E222" s="66"/>
      <c r="F222" s="65"/>
      <c r="G222" s="67"/>
      <c r="AA222" s="2" t="str">
        <f t="shared" si="38"/>
        <v/>
      </c>
      <c r="AC222" s="9" t="str">
        <f t="shared" si="39"/>
        <v/>
      </c>
      <c r="AD222" s="9" t="str">
        <f t="shared" ref="AD222:AD257" si="44">IF(AA222="","",IF(AA222&lt;=B$16,0,B$15/(B$17-B$16)))</f>
        <v/>
      </c>
      <c r="AF222" s="2" t="str">
        <f t="shared" si="43"/>
        <v/>
      </c>
      <c r="AG222" s="9" t="str">
        <f t="shared" si="41"/>
        <v/>
      </c>
      <c r="AH222" s="9" t="str">
        <f t="shared" si="42"/>
        <v/>
      </c>
    </row>
    <row r="223" spans="1:34" x14ac:dyDescent="0.25">
      <c r="A223" s="68"/>
      <c r="B223" s="68"/>
      <c r="C223" s="65"/>
      <c r="D223" s="65"/>
      <c r="E223" s="66"/>
      <c r="F223" s="65"/>
      <c r="G223" s="67"/>
      <c r="AA223" s="2" t="str">
        <f t="shared" ref="AA223:AA245" si="45">IF(AA222&lt;B$17,AA222+1,"")</f>
        <v/>
      </c>
      <c r="AC223" s="9" t="str">
        <f t="shared" ref="AC223:AC234" si="46">IF(AB223="","",IF(AA223&lt;=B$16,AC222,AC222-AD223))</f>
        <v/>
      </c>
      <c r="AD223" s="9" t="str">
        <f t="shared" si="44"/>
        <v/>
      </c>
      <c r="AF223" s="2" t="str">
        <f t="shared" si="43"/>
        <v/>
      </c>
      <c r="AG223" s="9" t="str">
        <f t="shared" ref="AG223:AG286" si="47">IF(AF223="","",IF(AF223&lt;365,AF223*AC$25*AD223,365*AD223*AC$25))</f>
        <v/>
      </c>
      <c r="AH223" s="9" t="str">
        <f t="shared" ref="AH223:AH286" si="48">IF(AF223="","",IF(AF223&lt;365,AF223*AC$26*AD223,365*AD223*AC$26))</f>
        <v/>
      </c>
    </row>
    <row r="224" spans="1:34" x14ac:dyDescent="0.25">
      <c r="A224" s="68"/>
      <c r="B224" s="68"/>
      <c r="C224" s="65"/>
      <c r="D224" s="65"/>
      <c r="E224" s="66"/>
      <c r="F224" s="65"/>
      <c r="G224" s="67"/>
      <c r="AA224" s="2" t="str">
        <f t="shared" si="45"/>
        <v/>
      </c>
      <c r="AC224" s="9" t="str">
        <f t="shared" si="46"/>
        <v/>
      </c>
      <c r="AD224" s="9" t="str">
        <f t="shared" si="44"/>
        <v/>
      </c>
      <c r="AF224" s="2" t="str">
        <f t="shared" si="43"/>
        <v/>
      </c>
      <c r="AG224" s="9" t="str">
        <f t="shared" si="47"/>
        <v/>
      </c>
      <c r="AH224" s="9" t="str">
        <f t="shared" si="48"/>
        <v/>
      </c>
    </row>
    <row r="225" spans="1:34" x14ac:dyDescent="0.25">
      <c r="A225" s="68"/>
      <c r="B225" s="68"/>
      <c r="C225" s="65"/>
      <c r="D225" s="65"/>
      <c r="E225" s="66"/>
      <c r="F225" s="65"/>
      <c r="G225" s="67"/>
      <c r="AA225" s="2" t="str">
        <f t="shared" si="45"/>
        <v/>
      </c>
      <c r="AC225" s="9" t="str">
        <f t="shared" si="46"/>
        <v/>
      </c>
      <c r="AD225" s="9" t="str">
        <f t="shared" si="44"/>
        <v/>
      </c>
      <c r="AF225" s="2" t="str">
        <f t="shared" si="43"/>
        <v/>
      </c>
      <c r="AG225" s="9" t="str">
        <f t="shared" si="47"/>
        <v/>
      </c>
      <c r="AH225" s="9" t="str">
        <f t="shared" si="48"/>
        <v/>
      </c>
    </row>
    <row r="226" spans="1:34" x14ac:dyDescent="0.25">
      <c r="A226" s="68"/>
      <c r="B226" s="68"/>
      <c r="C226" s="65"/>
      <c r="D226" s="65"/>
      <c r="E226" s="66"/>
      <c r="F226" s="65"/>
      <c r="G226" s="67"/>
      <c r="AA226" s="2" t="str">
        <f t="shared" si="45"/>
        <v/>
      </c>
      <c r="AC226" s="9" t="str">
        <f t="shared" si="46"/>
        <v/>
      </c>
      <c r="AD226" s="9" t="str">
        <f t="shared" si="44"/>
        <v/>
      </c>
      <c r="AF226" s="2" t="str">
        <f t="shared" si="43"/>
        <v/>
      </c>
      <c r="AG226" s="9" t="str">
        <f t="shared" si="47"/>
        <v/>
      </c>
      <c r="AH226" s="9" t="str">
        <f t="shared" si="48"/>
        <v/>
      </c>
    </row>
    <row r="227" spans="1:34" x14ac:dyDescent="0.25">
      <c r="A227" s="68"/>
      <c r="B227" s="68"/>
      <c r="C227" s="65"/>
      <c r="D227" s="65"/>
      <c r="E227" s="66"/>
      <c r="F227" s="65"/>
      <c r="G227" s="67"/>
      <c r="AA227" s="2" t="str">
        <f t="shared" si="45"/>
        <v/>
      </c>
      <c r="AC227" s="9" t="str">
        <f t="shared" si="46"/>
        <v/>
      </c>
      <c r="AD227" s="9" t="str">
        <f t="shared" si="44"/>
        <v/>
      </c>
      <c r="AF227" s="2" t="str">
        <f t="shared" si="43"/>
        <v/>
      </c>
      <c r="AG227" s="9" t="str">
        <f t="shared" si="47"/>
        <v/>
      </c>
      <c r="AH227" s="9" t="str">
        <f t="shared" si="48"/>
        <v/>
      </c>
    </row>
    <row r="228" spans="1:34" x14ac:dyDescent="0.25">
      <c r="A228" s="68"/>
      <c r="B228" s="68"/>
      <c r="C228" s="65"/>
      <c r="D228" s="65"/>
      <c r="E228" s="66"/>
      <c r="F228" s="65"/>
      <c r="G228" s="67"/>
      <c r="AA228" s="2" t="str">
        <f t="shared" si="45"/>
        <v/>
      </c>
      <c r="AC228" s="9" t="str">
        <f t="shared" si="46"/>
        <v/>
      </c>
      <c r="AD228" s="9" t="str">
        <f t="shared" si="44"/>
        <v/>
      </c>
      <c r="AF228" s="2" t="str">
        <f t="shared" si="43"/>
        <v/>
      </c>
      <c r="AG228" s="9" t="str">
        <f t="shared" si="47"/>
        <v/>
      </c>
      <c r="AH228" s="9" t="str">
        <f t="shared" si="48"/>
        <v/>
      </c>
    </row>
    <row r="229" spans="1:34" x14ac:dyDescent="0.25">
      <c r="A229" s="68"/>
      <c r="B229" s="68"/>
      <c r="C229" s="65"/>
      <c r="D229" s="65"/>
      <c r="E229" s="66"/>
      <c r="F229" s="65"/>
      <c r="G229" s="67"/>
      <c r="AA229" s="2" t="str">
        <f t="shared" si="45"/>
        <v/>
      </c>
      <c r="AC229" s="9" t="str">
        <f t="shared" si="46"/>
        <v/>
      </c>
      <c r="AD229" s="9" t="str">
        <f t="shared" si="44"/>
        <v/>
      </c>
      <c r="AF229" s="2" t="str">
        <f t="shared" si="43"/>
        <v/>
      </c>
      <c r="AG229" s="9" t="str">
        <f t="shared" si="47"/>
        <v/>
      </c>
      <c r="AH229" s="9" t="str">
        <f t="shared" si="48"/>
        <v/>
      </c>
    </row>
    <row r="230" spans="1:34" x14ac:dyDescent="0.25">
      <c r="A230" s="68"/>
      <c r="B230" s="68"/>
      <c r="C230" s="65"/>
      <c r="D230" s="65"/>
      <c r="E230" s="66"/>
      <c r="F230" s="65"/>
      <c r="G230" s="67"/>
      <c r="AA230" s="2" t="str">
        <f t="shared" si="45"/>
        <v/>
      </c>
      <c r="AC230" s="9" t="str">
        <f t="shared" si="46"/>
        <v/>
      </c>
      <c r="AD230" s="9" t="str">
        <f t="shared" si="44"/>
        <v/>
      </c>
      <c r="AG230" s="9" t="str">
        <f t="shared" si="47"/>
        <v/>
      </c>
      <c r="AH230" s="9" t="str">
        <f t="shared" si="48"/>
        <v/>
      </c>
    </row>
    <row r="231" spans="1:34" x14ac:dyDescent="0.25">
      <c r="A231" s="68"/>
      <c r="B231" s="68"/>
      <c r="C231" s="65"/>
      <c r="D231" s="65"/>
      <c r="E231" s="66"/>
      <c r="F231" s="65"/>
      <c r="G231" s="67"/>
      <c r="AA231" s="2" t="str">
        <f t="shared" si="45"/>
        <v/>
      </c>
      <c r="AC231" s="9" t="str">
        <f t="shared" si="46"/>
        <v/>
      </c>
      <c r="AD231" s="9" t="str">
        <f t="shared" si="44"/>
        <v/>
      </c>
      <c r="AG231" s="9" t="str">
        <f t="shared" si="47"/>
        <v/>
      </c>
      <c r="AH231" s="9" t="str">
        <f t="shared" si="48"/>
        <v/>
      </c>
    </row>
    <row r="232" spans="1:34" x14ac:dyDescent="0.25">
      <c r="A232" s="68"/>
      <c r="B232" s="68"/>
      <c r="C232" s="65"/>
      <c r="D232" s="65"/>
      <c r="E232" s="66"/>
      <c r="F232" s="65"/>
      <c r="G232" s="67"/>
      <c r="AA232" s="2" t="str">
        <f t="shared" si="45"/>
        <v/>
      </c>
      <c r="AC232" s="9" t="str">
        <f t="shared" si="46"/>
        <v/>
      </c>
      <c r="AD232" s="9" t="str">
        <f t="shared" si="44"/>
        <v/>
      </c>
      <c r="AG232" s="9" t="str">
        <f t="shared" si="47"/>
        <v/>
      </c>
      <c r="AH232" s="9" t="str">
        <f t="shared" si="48"/>
        <v/>
      </c>
    </row>
    <row r="233" spans="1:34" x14ac:dyDescent="0.25">
      <c r="A233" s="68"/>
      <c r="B233" s="68"/>
      <c r="C233" s="65"/>
      <c r="D233" s="65"/>
      <c r="E233" s="66"/>
      <c r="F233" s="65"/>
      <c r="G233" s="67"/>
      <c r="AA233" s="2" t="str">
        <f t="shared" si="45"/>
        <v/>
      </c>
      <c r="AC233" s="9" t="str">
        <f t="shared" si="46"/>
        <v/>
      </c>
      <c r="AD233" s="9" t="str">
        <f t="shared" si="44"/>
        <v/>
      </c>
      <c r="AG233" s="9" t="str">
        <f t="shared" si="47"/>
        <v/>
      </c>
      <c r="AH233" s="9" t="str">
        <f t="shared" si="48"/>
        <v/>
      </c>
    </row>
    <row r="234" spans="1:34" x14ac:dyDescent="0.25">
      <c r="A234" s="68"/>
      <c r="B234" s="68"/>
      <c r="C234" s="65"/>
      <c r="D234" s="65"/>
      <c r="E234" s="66"/>
      <c r="F234" s="65"/>
      <c r="G234" s="67"/>
      <c r="AA234" s="2" t="str">
        <f t="shared" si="45"/>
        <v/>
      </c>
      <c r="AC234" s="9" t="str">
        <f t="shared" si="46"/>
        <v/>
      </c>
      <c r="AD234" s="9" t="str">
        <f t="shared" si="44"/>
        <v/>
      </c>
      <c r="AG234" s="9" t="str">
        <f t="shared" si="47"/>
        <v/>
      </c>
      <c r="AH234" s="9" t="str">
        <f t="shared" si="48"/>
        <v/>
      </c>
    </row>
    <row r="235" spans="1:34" x14ac:dyDescent="0.25">
      <c r="A235" s="68"/>
      <c r="B235" s="68"/>
      <c r="C235" s="65"/>
      <c r="D235" s="65"/>
      <c r="E235" s="66"/>
      <c r="F235" s="65"/>
      <c r="G235" s="67"/>
      <c r="AA235" s="2" t="str">
        <f t="shared" si="45"/>
        <v/>
      </c>
      <c r="AC235" s="9" t="str">
        <f t="shared" ref="AC235:AC244" si="49">IF(AB235="","",E229)</f>
        <v/>
      </c>
      <c r="AD235" s="9" t="str">
        <f t="shared" si="44"/>
        <v/>
      </c>
      <c r="AG235" s="9" t="str">
        <f t="shared" si="47"/>
        <v/>
      </c>
      <c r="AH235" s="9" t="str">
        <f t="shared" si="48"/>
        <v/>
      </c>
    </row>
    <row r="236" spans="1:34" x14ac:dyDescent="0.25">
      <c r="A236" s="68"/>
      <c r="B236" s="68"/>
      <c r="C236" s="65"/>
      <c r="D236" s="65"/>
      <c r="E236" s="66"/>
      <c r="F236" s="65"/>
      <c r="G236" s="67"/>
      <c r="AA236" s="2" t="str">
        <f t="shared" si="45"/>
        <v/>
      </c>
      <c r="AC236" s="9" t="str">
        <f t="shared" si="49"/>
        <v/>
      </c>
      <c r="AD236" s="9" t="str">
        <f t="shared" si="44"/>
        <v/>
      </c>
      <c r="AG236" s="9" t="str">
        <f t="shared" si="47"/>
        <v/>
      </c>
      <c r="AH236" s="9" t="str">
        <f t="shared" si="48"/>
        <v/>
      </c>
    </row>
    <row r="237" spans="1:34" x14ac:dyDescent="0.25">
      <c r="A237" s="68"/>
      <c r="B237" s="68"/>
      <c r="C237" s="65"/>
      <c r="D237" s="65"/>
      <c r="E237" s="66"/>
      <c r="F237" s="65"/>
      <c r="G237" s="67"/>
      <c r="AA237" s="2" t="str">
        <f t="shared" si="45"/>
        <v/>
      </c>
      <c r="AC237" s="9" t="str">
        <f t="shared" si="49"/>
        <v/>
      </c>
      <c r="AD237" s="9" t="str">
        <f t="shared" si="44"/>
        <v/>
      </c>
      <c r="AG237" s="9" t="str">
        <f t="shared" si="47"/>
        <v/>
      </c>
      <c r="AH237" s="9" t="str">
        <f t="shared" si="48"/>
        <v/>
      </c>
    </row>
    <row r="238" spans="1:34" x14ac:dyDescent="0.25">
      <c r="A238" s="68"/>
      <c r="B238" s="68"/>
      <c r="C238" s="65"/>
      <c r="D238" s="65"/>
      <c r="E238" s="66"/>
      <c r="F238" s="65"/>
      <c r="G238" s="67"/>
      <c r="AA238" s="2" t="str">
        <f t="shared" si="45"/>
        <v/>
      </c>
      <c r="AC238" s="9" t="str">
        <f t="shared" si="49"/>
        <v/>
      </c>
      <c r="AD238" s="9" t="str">
        <f t="shared" si="44"/>
        <v/>
      </c>
      <c r="AG238" s="9" t="str">
        <f t="shared" si="47"/>
        <v/>
      </c>
      <c r="AH238" s="9" t="str">
        <f t="shared" si="48"/>
        <v/>
      </c>
    </row>
    <row r="239" spans="1:34" x14ac:dyDescent="0.25">
      <c r="A239" s="68"/>
      <c r="B239" s="68"/>
      <c r="C239" s="65"/>
      <c r="D239" s="65"/>
      <c r="E239" s="66"/>
      <c r="F239" s="65"/>
      <c r="G239" s="67"/>
      <c r="AA239" s="2" t="str">
        <f t="shared" si="45"/>
        <v/>
      </c>
      <c r="AC239" s="9" t="str">
        <f t="shared" si="49"/>
        <v/>
      </c>
      <c r="AD239" s="9" t="str">
        <f t="shared" si="44"/>
        <v/>
      </c>
      <c r="AG239" s="9" t="str">
        <f t="shared" si="47"/>
        <v/>
      </c>
      <c r="AH239" s="9" t="str">
        <f t="shared" si="48"/>
        <v/>
      </c>
    </row>
    <row r="240" spans="1:34" x14ac:dyDescent="0.25">
      <c r="A240" s="68"/>
      <c r="B240" s="68"/>
      <c r="C240" s="65"/>
      <c r="D240" s="65"/>
      <c r="E240" s="66"/>
      <c r="F240" s="65"/>
      <c r="G240" s="67"/>
      <c r="AA240" s="2" t="str">
        <f t="shared" si="45"/>
        <v/>
      </c>
      <c r="AC240" s="9" t="str">
        <f t="shared" si="49"/>
        <v/>
      </c>
      <c r="AD240" s="9" t="str">
        <f t="shared" si="44"/>
        <v/>
      </c>
      <c r="AG240" s="9" t="str">
        <f t="shared" si="47"/>
        <v/>
      </c>
      <c r="AH240" s="9" t="str">
        <f t="shared" si="48"/>
        <v/>
      </c>
    </row>
    <row r="241" spans="1:34" x14ac:dyDescent="0.25">
      <c r="A241" s="68"/>
      <c r="B241" s="68"/>
      <c r="C241" s="65"/>
      <c r="D241" s="65"/>
      <c r="E241" s="66"/>
      <c r="F241" s="65"/>
      <c r="G241" s="67"/>
      <c r="AA241" s="2" t="str">
        <f t="shared" si="45"/>
        <v/>
      </c>
      <c r="AC241" s="9" t="str">
        <f t="shared" si="49"/>
        <v/>
      </c>
      <c r="AD241" s="9" t="str">
        <f t="shared" si="44"/>
        <v/>
      </c>
      <c r="AG241" s="9" t="str">
        <f t="shared" si="47"/>
        <v/>
      </c>
      <c r="AH241" s="9" t="str">
        <f t="shared" si="48"/>
        <v/>
      </c>
    </row>
    <row r="242" spans="1:34" x14ac:dyDescent="0.25">
      <c r="A242" s="68"/>
      <c r="B242" s="68"/>
      <c r="C242" s="65"/>
      <c r="D242" s="65"/>
      <c r="E242" s="66"/>
      <c r="F242" s="65"/>
      <c r="G242" s="67"/>
      <c r="AA242" s="2" t="str">
        <f t="shared" si="45"/>
        <v/>
      </c>
      <c r="AC242" s="9" t="str">
        <f t="shared" si="49"/>
        <v/>
      </c>
      <c r="AD242" s="9" t="str">
        <f t="shared" si="44"/>
        <v/>
      </c>
      <c r="AG242" s="9" t="str">
        <f t="shared" si="47"/>
        <v/>
      </c>
      <c r="AH242" s="9" t="str">
        <f t="shared" si="48"/>
        <v/>
      </c>
    </row>
    <row r="243" spans="1:34" x14ac:dyDescent="0.25">
      <c r="A243" s="68"/>
      <c r="B243" s="68"/>
      <c r="C243" s="65"/>
      <c r="D243" s="65"/>
      <c r="E243" s="66"/>
      <c r="F243" s="65"/>
      <c r="G243" s="67"/>
      <c r="AA243" s="2" t="str">
        <f t="shared" si="45"/>
        <v/>
      </c>
      <c r="AC243" s="9" t="str">
        <f t="shared" si="49"/>
        <v/>
      </c>
      <c r="AD243" s="9" t="str">
        <f t="shared" si="44"/>
        <v/>
      </c>
      <c r="AG243" s="9" t="str">
        <f t="shared" si="47"/>
        <v/>
      </c>
      <c r="AH243" s="9" t="str">
        <f t="shared" si="48"/>
        <v/>
      </c>
    </row>
    <row r="244" spans="1:34" x14ac:dyDescent="0.25">
      <c r="A244" s="68"/>
      <c r="B244" s="68"/>
      <c r="C244" s="65"/>
      <c r="D244" s="65"/>
      <c r="E244" s="66"/>
      <c r="F244" s="65"/>
      <c r="G244" s="67"/>
      <c r="AA244" s="2" t="str">
        <f t="shared" si="45"/>
        <v/>
      </c>
      <c r="AC244" s="9" t="str">
        <f t="shared" si="49"/>
        <v/>
      </c>
      <c r="AD244" s="9" t="str">
        <f t="shared" si="44"/>
        <v/>
      </c>
      <c r="AG244" s="9" t="str">
        <f t="shared" si="47"/>
        <v/>
      </c>
      <c r="AH244" s="9" t="str">
        <f t="shared" si="48"/>
        <v/>
      </c>
    </row>
    <row r="245" spans="1:34" x14ac:dyDescent="0.25">
      <c r="A245" s="68"/>
      <c r="B245" s="68"/>
      <c r="C245" s="65"/>
      <c r="D245" s="65"/>
      <c r="E245" s="66"/>
      <c r="F245" s="65"/>
      <c r="G245" s="67"/>
      <c r="AA245" s="2" t="str">
        <f t="shared" si="45"/>
        <v/>
      </c>
      <c r="AD245" s="9" t="str">
        <f t="shared" si="44"/>
        <v/>
      </c>
      <c r="AG245" s="9" t="str">
        <f t="shared" si="47"/>
        <v/>
      </c>
      <c r="AH245" s="9" t="str">
        <f t="shared" si="48"/>
        <v/>
      </c>
    </row>
    <row r="246" spans="1:34" x14ac:dyDescent="0.25">
      <c r="A246" s="68"/>
      <c r="B246" s="68"/>
      <c r="C246" s="65"/>
      <c r="D246" s="65"/>
      <c r="E246" s="66"/>
      <c r="F246" s="65"/>
      <c r="G246" s="67"/>
      <c r="AD246" s="9" t="str">
        <f t="shared" si="44"/>
        <v/>
      </c>
      <c r="AG246" s="9" t="str">
        <f t="shared" si="47"/>
        <v/>
      </c>
      <c r="AH246" s="9" t="str">
        <f t="shared" si="48"/>
        <v/>
      </c>
    </row>
    <row r="247" spans="1:34" x14ac:dyDescent="0.25">
      <c r="A247" s="68"/>
      <c r="B247" s="68"/>
      <c r="C247" s="65"/>
      <c r="D247" s="65"/>
      <c r="E247" s="66"/>
      <c r="F247" s="65"/>
      <c r="G247" s="67"/>
      <c r="AD247" s="9" t="str">
        <f t="shared" si="44"/>
        <v/>
      </c>
      <c r="AG247" s="9" t="str">
        <f t="shared" si="47"/>
        <v/>
      </c>
      <c r="AH247" s="9" t="str">
        <f t="shared" si="48"/>
        <v/>
      </c>
    </row>
    <row r="248" spans="1:34" x14ac:dyDescent="0.25">
      <c r="A248" s="68"/>
      <c r="B248" s="68"/>
      <c r="C248" s="65"/>
      <c r="D248" s="65"/>
      <c r="E248" s="66"/>
      <c r="F248" s="65"/>
      <c r="G248" s="67"/>
      <c r="AD248" s="9" t="str">
        <f t="shared" si="44"/>
        <v/>
      </c>
      <c r="AG248" s="9" t="str">
        <f t="shared" si="47"/>
        <v/>
      </c>
      <c r="AH248" s="9" t="str">
        <f t="shared" si="48"/>
        <v/>
      </c>
    </row>
    <row r="249" spans="1:34" x14ac:dyDescent="0.25">
      <c r="A249" s="68"/>
      <c r="B249" s="68"/>
      <c r="C249" s="65"/>
      <c r="D249" s="65"/>
      <c r="E249" s="66"/>
      <c r="F249" s="65"/>
      <c r="G249" s="67"/>
      <c r="AD249" s="9" t="str">
        <f t="shared" si="44"/>
        <v/>
      </c>
      <c r="AG249" s="9" t="str">
        <f t="shared" si="47"/>
        <v/>
      </c>
      <c r="AH249" s="9" t="str">
        <f t="shared" si="48"/>
        <v/>
      </c>
    </row>
    <row r="250" spans="1:34" x14ac:dyDescent="0.25">
      <c r="A250" s="68"/>
      <c r="B250" s="68"/>
      <c r="C250" s="65"/>
      <c r="D250" s="65"/>
      <c r="E250" s="66"/>
      <c r="F250" s="65"/>
      <c r="G250" s="67"/>
      <c r="AD250" s="9" t="str">
        <f t="shared" si="44"/>
        <v/>
      </c>
      <c r="AG250" s="9" t="str">
        <f t="shared" si="47"/>
        <v/>
      </c>
      <c r="AH250" s="9" t="str">
        <f t="shared" si="48"/>
        <v/>
      </c>
    </row>
    <row r="251" spans="1:34" x14ac:dyDescent="0.25">
      <c r="A251" s="68"/>
      <c r="B251" s="68"/>
      <c r="C251" s="65"/>
      <c r="D251" s="65"/>
      <c r="E251" s="66"/>
      <c r="F251" s="65"/>
      <c r="G251" s="67"/>
      <c r="AD251" s="9" t="str">
        <f t="shared" si="44"/>
        <v/>
      </c>
      <c r="AG251" s="9" t="str">
        <f t="shared" si="47"/>
        <v/>
      </c>
      <c r="AH251" s="9" t="str">
        <f t="shared" si="48"/>
        <v/>
      </c>
    </row>
    <row r="252" spans="1:34" x14ac:dyDescent="0.25">
      <c r="A252" s="68"/>
      <c r="B252" s="68"/>
      <c r="C252" s="65"/>
      <c r="D252" s="65"/>
      <c r="E252" s="66"/>
      <c r="F252" s="65"/>
      <c r="G252" s="67"/>
      <c r="AD252" s="9" t="str">
        <f t="shared" si="44"/>
        <v/>
      </c>
      <c r="AG252" s="9" t="str">
        <f t="shared" si="47"/>
        <v/>
      </c>
      <c r="AH252" s="9" t="str">
        <f t="shared" si="48"/>
        <v/>
      </c>
    </row>
    <row r="253" spans="1:34" x14ac:dyDescent="0.25">
      <c r="A253" s="68"/>
      <c r="B253" s="68"/>
      <c r="C253" s="65"/>
      <c r="D253" s="65"/>
      <c r="E253" s="66"/>
      <c r="F253" s="65"/>
      <c r="G253" s="67"/>
      <c r="AD253" s="9" t="str">
        <f t="shared" si="44"/>
        <v/>
      </c>
      <c r="AG253" s="9" t="str">
        <f t="shared" si="47"/>
        <v/>
      </c>
      <c r="AH253" s="9" t="str">
        <f t="shared" si="48"/>
        <v/>
      </c>
    </row>
    <row r="254" spans="1:34" x14ac:dyDescent="0.25">
      <c r="A254" s="68"/>
      <c r="B254" s="68"/>
      <c r="C254" s="65"/>
      <c r="D254" s="65"/>
      <c r="E254" s="66"/>
      <c r="F254" s="65"/>
      <c r="G254" s="67"/>
      <c r="AD254" s="9" t="str">
        <f t="shared" si="44"/>
        <v/>
      </c>
      <c r="AG254" s="9" t="str">
        <f t="shared" si="47"/>
        <v/>
      </c>
      <c r="AH254" s="9" t="str">
        <f t="shared" si="48"/>
        <v/>
      </c>
    </row>
    <row r="255" spans="1:34" x14ac:dyDescent="0.25">
      <c r="A255" s="68"/>
      <c r="B255" s="68"/>
      <c r="C255" s="65"/>
      <c r="D255" s="65"/>
      <c r="E255" s="66"/>
      <c r="F255" s="65"/>
      <c r="G255" s="67"/>
      <c r="AD255" s="9" t="str">
        <f t="shared" si="44"/>
        <v/>
      </c>
      <c r="AG255" s="9" t="str">
        <f t="shared" si="47"/>
        <v/>
      </c>
      <c r="AH255" s="9" t="str">
        <f t="shared" si="48"/>
        <v/>
      </c>
    </row>
    <row r="256" spans="1:34" x14ac:dyDescent="0.25">
      <c r="A256" s="68"/>
      <c r="B256" s="68"/>
      <c r="C256" s="65"/>
      <c r="D256" s="65"/>
      <c r="E256" s="66"/>
      <c r="F256" s="65"/>
      <c r="G256" s="67"/>
      <c r="AD256" s="9" t="str">
        <f t="shared" si="44"/>
        <v/>
      </c>
      <c r="AG256" s="9" t="str">
        <f t="shared" si="47"/>
        <v/>
      </c>
      <c r="AH256" s="9" t="str">
        <f t="shared" si="48"/>
        <v/>
      </c>
    </row>
    <row r="257" spans="1:34" x14ac:dyDescent="0.25">
      <c r="A257" s="68"/>
      <c r="B257" s="68"/>
      <c r="C257" s="65"/>
      <c r="D257" s="65"/>
      <c r="E257" s="66"/>
      <c r="F257" s="65"/>
      <c r="G257" s="67"/>
      <c r="AD257" s="9" t="str">
        <f t="shared" si="44"/>
        <v/>
      </c>
      <c r="AG257" s="9" t="str">
        <f t="shared" si="47"/>
        <v/>
      </c>
      <c r="AH257" s="9" t="str">
        <f t="shared" si="48"/>
        <v/>
      </c>
    </row>
    <row r="258" spans="1:34" x14ac:dyDescent="0.25">
      <c r="A258" s="68"/>
      <c r="B258" s="68"/>
      <c r="C258" s="65"/>
      <c r="D258" s="65"/>
      <c r="E258" s="66"/>
      <c r="F258" s="65"/>
      <c r="G258" s="67"/>
      <c r="AD258" s="9" t="str">
        <f t="shared" ref="AD258:AD321" si="50">IF(AC258="","",C253)</f>
        <v/>
      </c>
      <c r="AG258" s="9" t="str">
        <f t="shared" si="47"/>
        <v/>
      </c>
      <c r="AH258" s="9" t="str">
        <f t="shared" si="48"/>
        <v/>
      </c>
    </row>
    <row r="259" spans="1:34" x14ac:dyDescent="0.25">
      <c r="A259" s="68"/>
      <c r="B259" s="68"/>
      <c r="C259" s="65"/>
      <c r="D259" s="65"/>
      <c r="E259" s="66"/>
      <c r="F259" s="65"/>
      <c r="G259" s="67"/>
      <c r="AD259" s="9" t="str">
        <f t="shared" si="50"/>
        <v/>
      </c>
      <c r="AG259" s="9" t="str">
        <f t="shared" si="47"/>
        <v/>
      </c>
      <c r="AH259" s="9" t="str">
        <f t="shared" si="48"/>
        <v/>
      </c>
    </row>
    <row r="260" spans="1:34" x14ac:dyDescent="0.25">
      <c r="A260" s="68"/>
      <c r="B260" s="68"/>
      <c r="C260" s="65"/>
      <c r="D260" s="65"/>
      <c r="E260" s="66"/>
      <c r="F260" s="65"/>
      <c r="G260" s="67"/>
      <c r="AD260" s="9" t="str">
        <f t="shared" si="50"/>
        <v/>
      </c>
      <c r="AG260" s="9" t="str">
        <f t="shared" si="47"/>
        <v/>
      </c>
      <c r="AH260" s="9" t="str">
        <f t="shared" si="48"/>
        <v/>
      </c>
    </row>
    <row r="261" spans="1:34" x14ac:dyDescent="0.25">
      <c r="A261" s="68"/>
      <c r="B261" s="68"/>
      <c r="C261" s="65"/>
      <c r="D261" s="65"/>
      <c r="E261" s="66"/>
      <c r="F261" s="65"/>
      <c r="G261" s="67"/>
      <c r="AD261" s="9" t="str">
        <f t="shared" si="50"/>
        <v/>
      </c>
      <c r="AG261" s="9" t="str">
        <f t="shared" si="47"/>
        <v/>
      </c>
      <c r="AH261" s="9" t="str">
        <f t="shared" si="48"/>
        <v/>
      </c>
    </row>
    <row r="262" spans="1:34" x14ac:dyDescent="0.25">
      <c r="A262" s="68"/>
      <c r="B262" s="68"/>
      <c r="C262" s="65"/>
      <c r="D262" s="65"/>
      <c r="E262" s="66"/>
      <c r="F262" s="65"/>
      <c r="G262" s="67"/>
      <c r="AD262" s="9" t="str">
        <f t="shared" si="50"/>
        <v/>
      </c>
      <c r="AG262" s="9" t="str">
        <f t="shared" si="47"/>
        <v/>
      </c>
      <c r="AH262" s="9" t="str">
        <f t="shared" si="48"/>
        <v/>
      </c>
    </row>
    <row r="263" spans="1:34" x14ac:dyDescent="0.25">
      <c r="A263" s="68"/>
      <c r="B263" s="68"/>
      <c r="C263" s="65"/>
      <c r="D263" s="65"/>
      <c r="E263" s="66"/>
      <c r="F263" s="65"/>
      <c r="G263" s="67"/>
      <c r="AD263" s="9" t="str">
        <f t="shared" si="50"/>
        <v/>
      </c>
      <c r="AG263" s="9" t="str">
        <f t="shared" si="47"/>
        <v/>
      </c>
      <c r="AH263" s="9" t="str">
        <f t="shared" si="48"/>
        <v/>
      </c>
    </row>
    <row r="264" spans="1:34" x14ac:dyDescent="0.25">
      <c r="A264" s="68"/>
      <c r="B264" s="68"/>
      <c r="C264" s="65"/>
      <c r="D264" s="65"/>
      <c r="E264" s="66"/>
      <c r="F264" s="65"/>
      <c r="G264" s="67"/>
      <c r="AD264" s="9" t="str">
        <f t="shared" si="50"/>
        <v/>
      </c>
      <c r="AG264" s="9" t="str">
        <f t="shared" si="47"/>
        <v/>
      </c>
      <c r="AH264" s="9" t="str">
        <f t="shared" si="48"/>
        <v/>
      </c>
    </row>
    <row r="265" spans="1:34" x14ac:dyDescent="0.25">
      <c r="A265" s="68"/>
      <c r="B265" s="68"/>
      <c r="C265" s="65"/>
      <c r="D265" s="65"/>
      <c r="E265" s="66"/>
      <c r="F265" s="65"/>
      <c r="G265" s="67"/>
      <c r="AD265" s="9" t="str">
        <f t="shared" si="50"/>
        <v/>
      </c>
      <c r="AG265" s="9" t="str">
        <f t="shared" si="47"/>
        <v/>
      </c>
      <c r="AH265" s="9" t="str">
        <f t="shared" si="48"/>
        <v/>
      </c>
    </row>
    <row r="266" spans="1:34" x14ac:dyDescent="0.25">
      <c r="A266" s="68"/>
      <c r="B266" s="68"/>
      <c r="C266" s="65"/>
      <c r="D266" s="65"/>
      <c r="E266" s="66"/>
      <c r="F266" s="65"/>
      <c r="G266" s="67"/>
      <c r="AD266" s="9" t="str">
        <f t="shared" si="50"/>
        <v/>
      </c>
      <c r="AG266" s="9" t="str">
        <f t="shared" si="47"/>
        <v/>
      </c>
      <c r="AH266" s="9" t="str">
        <f t="shared" si="48"/>
        <v/>
      </c>
    </row>
    <row r="267" spans="1:34" x14ac:dyDescent="0.25">
      <c r="A267" s="68"/>
      <c r="B267" s="68"/>
      <c r="C267" s="65"/>
      <c r="D267" s="65"/>
      <c r="E267" s="66"/>
      <c r="F267" s="65"/>
      <c r="G267" s="67"/>
      <c r="AD267" s="9" t="str">
        <f t="shared" si="50"/>
        <v/>
      </c>
      <c r="AG267" s="9" t="str">
        <f t="shared" si="47"/>
        <v/>
      </c>
      <c r="AH267" s="9" t="str">
        <f t="shared" si="48"/>
        <v/>
      </c>
    </row>
    <row r="268" spans="1:34" x14ac:dyDescent="0.25">
      <c r="A268" s="68"/>
      <c r="B268" s="68"/>
      <c r="C268" s="65"/>
      <c r="D268" s="65"/>
      <c r="E268" s="66"/>
      <c r="F268" s="65"/>
      <c r="G268" s="67"/>
      <c r="AD268" s="9" t="str">
        <f t="shared" si="50"/>
        <v/>
      </c>
      <c r="AG268" s="9" t="str">
        <f t="shared" si="47"/>
        <v/>
      </c>
      <c r="AH268" s="9" t="str">
        <f t="shared" si="48"/>
        <v/>
      </c>
    </row>
    <row r="269" spans="1:34" x14ac:dyDescent="0.25">
      <c r="A269" s="68"/>
      <c r="B269" s="68"/>
      <c r="C269" s="65"/>
      <c r="D269" s="65"/>
      <c r="E269" s="66"/>
      <c r="F269" s="65"/>
      <c r="G269" s="67"/>
      <c r="AD269" s="9" t="str">
        <f t="shared" si="50"/>
        <v/>
      </c>
      <c r="AG269" s="9" t="str">
        <f t="shared" si="47"/>
        <v/>
      </c>
      <c r="AH269" s="9" t="str">
        <f t="shared" si="48"/>
        <v/>
      </c>
    </row>
    <row r="270" spans="1:34" x14ac:dyDescent="0.25">
      <c r="A270" s="68"/>
      <c r="B270" s="68"/>
      <c r="C270" s="65"/>
      <c r="D270" s="65"/>
      <c r="E270" s="66"/>
      <c r="F270" s="65"/>
      <c r="G270" s="67"/>
      <c r="AD270" s="9" t="str">
        <f t="shared" si="50"/>
        <v/>
      </c>
      <c r="AG270" s="9" t="str">
        <f t="shared" si="47"/>
        <v/>
      </c>
      <c r="AH270" s="9" t="str">
        <f t="shared" si="48"/>
        <v/>
      </c>
    </row>
    <row r="271" spans="1:34" x14ac:dyDescent="0.25">
      <c r="A271" s="68"/>
      <c r="B271" s="68"/>
      <c r="C271" s="65"/>
      <c r="D271" s="65"/>
      <c r="E271" s="66"/>
      <c r="F271" s="65"/>
      <c r="G271" s="67"/>
      <c r="AD271" s="9" t="str">
        <f t="shared" si="50"/>
        <v/>
      </c>
      <c r="AG271" s="9" t="str">
        <f t="shared" si="47"/>
        <v/>
      </c>
      <c r="AH271" s="9" t="str">
        <f t="shared" si="48"/>
        <v/>
      </c>
    </row>
    <row r="272" spans="1:34" x14ac:dyDescent="0.25">
      <c r="A272" s="68"/>
      <c r="B272" s="68"/>
      <c r="C272" s="65"/>
      <c r="D272" s="65"/>
      <c r="E272" s="66"/>
      <c r="F272" s="65"/>
      <c r="G272" s="67"/>
      <c r="AD272" s="9" t="str">
        <f t="shared" si="50"/>
        <v/>
      </c>
      <c r="AG272" s="9" t="str">
        <f t="shared" si="47"/>
        <v/>
      </c>
      <c r="AH272" s="9" t="str">
        <f t="shared" si="48"/>
        <v/>
      </c>
    </row>
    <row r="273" spans="1:34" x14ac:dyDescent="0.25">
      <c r="A273" s="68"/>
      <c r="B273" s="68"/>
      <c r="C273" s="65"/>
      <c r="D273" s="65"/>
      <c r="E273" s="66"/>
      <c r="F273" s="65"/>
      <c r="G273" s="67"/>
      <c r="AD273" s="9" t="str">
        <f t="shared" si="50"/>
        <v/>
      </c>
      <c r="AG273" s="9" t="str">
        <f t="shared" si="47"/>
        <v/>
      </c>
      <c r="AH273" s="9" t="str">
        <f t="shared" si="48"/>
        <v/>
      </c>
    </row>
    <row r="274" spans="1:34" x14ac:dyDescent="0.25">
      <c r="A274" s="68"/>
      <c r="B274" s="68"/>
      <c r="C274" s="65"/>
      <c r="D274" s="65"/>
      <c r="E274" s="66"/>
      <c r="F274" s="65"/>
      <c r="G274" s="67"/>
      <c r="AD274" s="9" t="str">
        <f t="shared" si="50"/>
        <v/>
      </c>
      <c r="AG274" s="9" t="str">
        <f t="shared" si="47"/>
        <v/>
      </c>
      <c r="AH274" s="9" t="str">
        <f t="shared" si="48"/>
        <v/>
      </c>
    </row>
    <row r="275" spans="1:34" x14ac:dyDescent="0.25">
      <c r="A275" s="68"/>
      <c r="B275" s="68"/>
      <c r="C275" s="65"/>
      <c r="D275" s="65"/>
      <c r="E275" s="66"/>
      <c r="F275" s="65"/>
      <c r="G275" s="67"/>
      <c r="AD275" s="9" t="str">
        <f t="shared" si="50"/>
        <v/>
      </c>
      <c r="AG275" s="9" t="str">
        <f t="shared" si="47"/>
        <v/>
      </c>
      <c r="AH275" s="9" t="str">
        <f t="shared" si="48"/>
        <v/>
      </c>
    </row>
    <row r="276" spans="1:34" x14ac:dyDescent="0.25">
      <c r="A276" s="68"/>
      <c r="B276" s="68"/>
      <c r="C276" s="65"/>
      <c r="D276" s="65"/>
      <c r="E276" s="66"/>
      <c r="F276" s="65"/>
      <c r="G276" s="67"/>
      <c r="AD276" s="9" t="str">
        <f t="shared" si="50"/>
        <v/>
      </c>
      <c r="AG276" s="9" t="str">
        <f t="shared" si="47"/>
        <v/>
      </c>
      <c r="AH276" s="9" t="str">
        <f t="shared" si="48"/>
        <v/>
      </c>
    </row>
    <row r="277" spans="1:34" x14ac:dyDescent="0.25">
      <c r="A277" s="68"/>
      <c r="B277" s="68"/>
      <c r="C277" s="65"/>
      <c r="D277" s="65"/>
      <c r="E277" s="66"/>
      <c r="F277" s="65"/>
      <c r="G277" s="67"/>
      <c r="AD277" s="9" t="str">
        <f t="shared" si="50"/>
        <v/>
      </c>
      <c r="AG277" s="9" t="str">
        <f t="shared" si="47"/>
        <v/>
      </c>
      <c r="AH277" s="9" t="str">
        <f t="shared" si="48"/>
        <v/>
      </c>
    </row>
    <row r="278" spans="1:34" x14ac:dyDescent="0.25">
      <c r="A278" s="68"/>
      <c r="B278" s="68"/>
      <c r="C278" s="65"/>
      <c r="D278" s="65"/>
      <c r="E278" s="66"/>
      <c r="F278" s="65"/>
      <c r="G278" s="67"/>
      <c r="AD278" s="9" t="str">
        <f t="shared" si="50"/>
        <v/>
      </c>
      <c r="AG278" s="9" t="str">
        <f t="shared" si="47"/>
        <v/>
      </c>
      <c r="AH278" s="9" t="str">
        <f t="shared" si="48"/>
        <v/>
      </c>
    </row>
    <row r="279" spans="1:34" x14ac:dyDescent="0.25">
      <c r="A279" s="68"/>
      <c r="B279" s="68"/>
      <c r="C279" s="65"/>
      <c r="D279" s="65"/>
      <c r="E279" s="66"/>
      <c r="F279" s="65"/>
      <c r="G279" s="67"/>
      <c r="AD279" s="9" t="str">
        <f t="shared" si="50"/>
        <v/>
      </c>
      <c r="AG279" s="9" t="str">
        <f t="shared" si="47"/>
        <v/>
      </c>
      <c r="AH279" s="9" t="str">
        <f t="shared" si="48"/>
        <v/>
      </c>
    </row>
    <row r="280" spans="1:34" x14ac:dyDescent="0.25">
      <c r="A280" s="68"/>
      <c r="B280" s="68"/>
      <c r="C280" s="65"/>
      <c r="D280" s="65"/>
      <c r="E280" s="66"/>
      <c r="F280" s="65"/>
      <c r="G280" s="67"/>
      <c r="AD280" s="9" t="str">
        <f t="shared" si="50"/>
        <v/>
      </c>
      <c r="AG280" s="9" t="str">
        <f t="shared" si="47"/>
        <v/>
      </c>
      <c r="AH280" s="9" t="str">
        <f t="shared" si="48"/>
        <v/>
      </c>
    </row>
    <row r="281" spans="1:34" x14ac:dyDescent="0.25">
      <c r="A281" s="68"/>
      <c r="B281" s="68"/>
      <c r="C281" s="65"/>
      <c r="D281" s="65"/>
      <c r="E281" s="66"/>
      <c r="F281" s="65"/>
      <c r="G281" s="67"/>
      <c r="AD281" s="9" t="str">
        <f t="shared" si="50"/>
        <v/>
      </c>
      <c r="AG281" s="9" t="str">
        <f t="shared" si="47"/>
        <v/>
      </c>
      <c r="AH281" s="9" t="str">
        <f t="shared" si="48"/>
        <v/>
      </c>
    </row>
    <row r="282" spans="1:34" x14ac:dyDescent="0.25">
      <c r="A282" s="68"/>
      <c r="B282" s="68"/>
      <c r="C282" s="65"/>
      <c r="D282" s="65"/>
      <c r="E282" s="66"/>
      <c r="F282" s="65"/>
      <c r="G282" s="67"/>
      <c r="AD282" s="9" t="str">
        <f t="shared" si="50"/>
        <v/>
      </c>
      <c r="AG282" s="9" t="str">
        <f t="shared" si="47"/>
        <v/>
      </c>
      <c r="AH282" s="9" t="str">
        <f t="shared" si="48"/>
        <v/>
      </c>
    </row>
    <row r="283" spans="1:34" x14ac:dyDescent="0.25">
      <c r="A283" s="68"/>
      <c r="B283" s="68"/>
      <c r="C283" s="65"/>
      <c r="D283" s="65"/>
      <c r="E283" s="66"/>
      <c r="F283" s="65"/>
      <c r="G283" s="67"/>
      <c r="AD283" s="9" t="str">
        <f t="shared" si="50"/>
        <v/>
      </c>
      <c r="AG283" s="9" t="str">
        <f t="shared" si="47"/>
        <v/>
      </c>
      <c r="AH283" s="9" t="str">
        <f t="shared" si="48"/>
        <v/>
      </c>
    </row>
    <row r="284" spans="1:34" x14ac:dyDescent="0.25">
      <c r="A284" s="68"/>
      <c r="B284" s="68"/>
      <c r="C284" s="65"/>
      <c r="D284" s="65"/>
      <c r="E284" s="66"/>
      <c r="F284" s="65"/>
      <c r="G284" s="67"/>
      <c r="AD284" s="9" t="str">
        <f t="shared" si="50"/>
        <v/>
      </c>
      <c r="AG284" s="9" t="str">
        <f t="shared" si="47"/>
        <v/>
      </c>
      <c r="AH284" s="9" t="str">
        <f t="shared" si="48"/>
        <v/>
      </c>
    </row>
    <row r="285" spans="1:34" x14ac:dyDescent="0.25">
      <c r="A285" s="68"/>
      <c r="B285" s="68"/>
      <c r="C285" s="65"/>
      <c r="D285" s="65"/>
      <c r="E285" s="66"/>
      <c r="F285" s="65"/>
      <c r="G285" s="67"/>
      <c r="AD285" s="9" t="str">
        <f t="shared" si="50"/>
        <v/>
      </c>
      <c r="AG285" s="9" t="str">
        <f t="shared" si="47"/>
        <v/>
      </c>
      <c r="AH285" s="9" t="str">
        <f t="shared" si="48"/>
        <v/>
      </c>
    </row>
    <row r="286" spans="1:34" x14ac:dyDescent="0.25">
      <c r="A286" s="68"/>
      <c r="B286" s="68"/>
      <c r="C286" s="65"/>
      <c r="D286" s="65"/>
      <c r="E286" s="66"/>
      <c r="F286" s="65"/>
      <c r="G286" s="67"/>
      <c r="AD286" s="9" t="str">
        <f t="shared" si="50"/>
        <v/>
      </c>
      <c r="AG286" s="9" t="str">
        <f t="shared" si="47"/>
        <v/>
      </c>
      <c r="AH286" s="9" t="str">
        <f t="shared" si="48"/>
        <v/>
      </c>
    </row>
    <row r="287" spans="1:34" x14ac:dyDescent="0.25">
      <c r="A287" s="68"/>
      <c r="B287" s="68"/>
      <c r="C287" s="65"/>
      <c r="D287" s="65"/>
      <c r="E287" s="66"/>
      <c r="F287" s="65"/>
      <c r="G287" s="67"/>
      <c r="AD287" s="9" t="str">
        <f t="shared" si="50"/>
        <v/>
      </c>
      <c r="AG287" s="9" t="str">
        <f t="shared" ref="AG287:AG350" si="51">IF(AF287="","",IF(AF287&lt;365,AF287*AC$25*AD287,365*AD287*AC$25))</f>
        <v/>
      </c>
      <c r="AH287" s="9" t="str">
        <f t="shared" ref="AH287:AH310" si="52">IF(AF287="","",IF(AF287&lt;365,AF287*AC$26*AD287,365*AD287*AC$26))</f>
        <v/>
      </c>
    </row>
    <row r="288" spans="1:34" x14ac:dyDescent="0.25">
      <c r="A288" s="68"/>
      <c r="B288" s="68"/>
      <c r="C288" s="65"/>
      <c r="D288" s="65"/>
      <c r="E288" s="66"/>
      <c r="F288" s="65"/>
      <c r="G288" s="67"/>
      <c r="AD288" s="9" t="str">
        <f t="shared" si="50"/>
        <v/>
      </c>
      <c r="AG288" s="9" t="str">
        <f t="shared" si="51"/>
        <v/>
      </c>
      <c r="AH288" s="9" t="str">
        <f t="shared" si="52"/>
        <v/>
      </c>
    </row>
    <row r="289" spans="1:34" x14ac:dyDescent="0.25">
      <c r="A289" s="68"/>
      <c r="B289" s="68"/>
      <c r="C289" s="65"/>
      <c r="D289" s="65"/>
      <c r="E289" s="66"/>
      <c r="F289" s="65"/>
      <c r="G289" s="67"/>
      <c r="AD289" s="9" t="str">
        <f t="shared" si="50"/>
        <v/>
      </c>
      <c r="AG289" s="9" t="str">
        <f t="shared" si="51"/>
        <v/>
      </c>
      <c r="AH289" s="9" t="str">
        <f t="shared" si="52"/>
        <v/>
      </c>
    </row>
    <row r="290" spans="1:34" x14ac:dyDescent="0.25">
      <c r="A290" s="68"/>
      <c r="B290" s="68"/>
      <c r="C290" s="65"/>
      <c r="D290" s="65"/>
      <c r="E290" s="66"/>
      <c r="F290" s="65"/>
      <c r="G290" s="67"/>
      <c r="AD290" s="9" t="str">
        <f t="shared" si="50"/>
        <v/>
      </c>
      <c r="AG290" s="9" t="str">
        <f t="shared" si="51"/>
        <v/>
      </c>
      <c r="AH290" s="9" t="str">
        <f t="shared" si="52"/>
        <v/>
      </c>
    </row>
    <row r="291" spans="1:34" x14ac:dyDescent="0.25">
      <c r="A291" s="68"/>
      <c r="B291" s="68"/>
      <c r="C291" s="65"/>
      <c r="D291" s="65"/>
      <c r="E291" s="66"/>
      <c r="F291" s="65"/>
      <c r="G291" s="67"/>
      <c r="AD291" s="9" t="str">
        <f t="shared" si="50"/>
        <v/>
      </c>
      <c r="AG291" s="9" t="str">
        <f t="shared" si="51"/>
        <v/>
      </c>
      <c r="AH291" s="9" t="str">
        <f t="shared" si="52"/>
        <v/>
      </c>
    </row>
    <row r="292" spans="1:34" x14ac:dyDescent="0.25">
      <c r="A292" s="68"/>
      <c r="B292" s="68"/>
      <c r="C292" s="65"/>
      <c r="D292" s="65"/>
      <c r="E292" s="66"/>
      <c r="F292" s="65"/>
      <c r="G292" s="67"/>
      <c r="AD292" s="9" t="str">
        <f t="shared" si="50"/>
        <v/>
      </c>
      <c r="AG292" s="9" t="str">
        <f t="shared" si="51"/>
        <v/>
      </c>
      <c r="AH292" s="9" t="str">
        <f t="shared" si="52"/>
        <v/>
      </c>
    </row>
    <row r="293" spans="1:34" x14ac:dyDescent="0.25">
      <c r="A293" s="68"/>
      <c r="B293" s="68"/>
      <c r="C293" s="65"/>
      <c r="D293" s="65"/>
      <c r="E293" s="66"/>
      <c r="F293" s="65"/>
      <c r="G293" s="67"/>
      <c r="AD293" s="9" t="str">
        <f t="shared" si="50"/>
        <v/>
      </c>
      <c r="AG293" s="9" t="str">
        <f t="shared" si="51"/>
        <v/>
      </c>
      <c r="AH293" s="9" t="str">
        <f t="shared" si="52"/>
        <v/>
      </c>
    </row>
    <row r="294" spans="1:34" x14ac:dyDescent="0.25">
      <c r="A294" s="68"/>
      <c r="B294" s="68"/>
      <c r="C294" s="65"/>
      <c r="D294" s="65"/>
      <c r="E294" s="66"/>
      <c r="F294" s="65"/>
      <c r="G294" s="67"/>
      <c r="AD294" s="9" t="str">
        <f t="shared" si="50"/>
        <v/>
      </c>
      <c r="AG294" s="9" t="str">
        <f t="shared" si="51"/>
        <v/>
      </c>
      <c r="AH294" s="9" t="str">
        <f t="shared" si="52"/>
        <v/>
      </c>
    </row>
    <row r="295" spans="1:34" x14ac:dyDescent="0.25">
      <c r="A295" s="68"/>
      <c r="B295" s="68"/>
      <c r="C295" s="65"/>
      <c r="D295" s="65"/>
      <c r="E295" s="66"/>
      <c r="F295" s="65"/>
      <c r="G295" s="67"/>
      <c r="AD295" s="9" t="str">
        <f t="shared" si="50"/>
        <v/>
      </c>
      <c r="AG295" s="9" t="str">
        <f t="shared" si="51"/>
        <v/>
      </c>
      <c r="AH295" s="9" t="str">
        <f t="shared" si="52"/>
        <v/>
      </c>
    </row>
    <row r="296" spans="1:34" x14ac:dyDescent="0.25">
      <c r="A296" s="68"/>
      <c r="B296" s="68"/>
      <c r="C296" s="65"/>
      <c r="D296" s="65"/>
      <c r="E296" s="66"/>
      <c r="F296" s="65"/>
      <c r="G296" s="67"/>
      <c r="AD296" s="9" t="str">
        <f t="shared" si="50"/>
        <v/>
      </c>
      <c r="AG296" s="9" t="str">
        <f t="shared" si="51"/>
        <v/>
      </c>
      <c r="AH296" s="9" t="str">
        <f t="shared" si="52"/>
        <v/>
      </c>
    </row>
    <row r="297" spans="1:34" x14ac:dyDescent="0.25">
      <c r="A297" s="68"/>
      <c r="B297" s="68"/>
      <c r="C297" s="65"/>
      <c r="D297" s="65"/>
      <c r="E297" s="66"/>
      <c r="F297" s="65"/>
      <c r="G297" s="67"/>
      <c r="AD297" s="9" t="str">
        <f t="shared" si="50"/>
        <v/>
      </c>
      <c r="AG297" s="9" t="str">
        <f t="shared" si="51"/>
        <v/>
      </c>
      <c r="AH297" s="9" t="str">
        <f t="shared" si="52"/>
        <v/>
      </c>
    </row>
    <row r="298" spans="1:34" x14ac:dyDescent="0.25">
      <c r="A298" s="68"/>
      <c r="B298" s="68"/>
      <c r="C298" s="65"/>
      <c r="D298" s="65"/>
      <c r="E298" s="66"/>
      <c r="F298" s="65"/>
      <c r="G298" s="67"/>
      <c r="AD298" s="9" t="str">
        <f t="shared" si="50"/>
        <v/>
      </c>
      <c r="AG298" s="9" t="str">
        <f t="shared" si="51"/>
        <v/>
      </c>
      <c r="AH298" s="9" t="str">
        <f t="shared" si="52"/>
        <v/>
      </c>
    </row>
    <row r="299" spans="1:34" x14ac:dyDescent="0.25">
      <c r="A299" s="68"/>
      <c r="B299" s="68"/>
      <c r="C299" s="65"/>
      <c r="D299" s="65"/>
      <c r="E299" s="66"/>
      <c r="F299" s="65"/>
      <c r="G299" s="67"/>
      <c r="AD299" s="9" t="str">
        <f t="shared" si="50"/>
        <v/>
      </c>
      <c r="AG299" s="9" t="str">
        <f t="shared" si="51"/>
        <v/>
      </c>
      <c r="AH299" s="9" t="str">
        <f t="shared" si="52"/>
        <v/>
      </c>
    </row>
    <row r="300" spans="1:34" x14ac:dyDescent="0.25">
      <c r="A300" s="68"/>
      <c r="B300" s="68"/>
      <c r="C300" s="65"/>
      <c r="D300" s="65"/>
      <c r="E300" s="66"/>
      <c r="F300" s="65"/>
      <c r="G300" s="67"/>
      <c r="AD300" s="9" t="str">
        <f t="shared" si="50"/>
        <v/>
      </c>
      <c r="AG300" s="9" t="str">
        <f t="shared" si="51"/>
        <v/>
      </c>
      <c r="AH300" s="9" t="str">
        <f t="shared" si="52"/>
        <v/>
      </c>
    </row>
    <row r="301" spans="1:34" x14ac:dyDescent="0.25">
      <c r="A301" s="68"/>
      <c r="B301" s="68"/>
      <c r="C301" s="65"/>
      <c r="D301" s="65"/>
      <c r="E301" s="66"/>
      <c r="F301" s="65"/>
      <c r="G301" s="67"/>
      <c r="AD301" s="9" t="str">
        <f t="shared" si="50"/>
        <v/>
      </c>
      <c r="AG301" s="9" t="str">
        <f t="shared" si="51"/>
        <v/>
      </c>
      <c r="AH301" s="9" t="str">
        <f t="shared" si="52"/>
        <v/>
      </c>
    </row>
    <row r="302" spans="1:34" x14ac:dyDescent="0.25">
      <c r="A302" s="68"/>
      <c r="B302" s="68"/>
      <c r="C302" s="65"/>
      <c r="D302" s="65"/>
      <c r="E302" s="66"/>
      <c r="F302" s="65"/>
      <c r="G302" s="67"/>
      <c r="AD302" s="9" t="str">
        <f t="shared" si="50"/>
        <v/>
      </c>
      <c r="AG302" s="9" t="str">
        <f t="shared" si="51"/>
        <v/>
      </c>
      <c r="AH302" s="9" t="str">
        <f t="shared" si="52"/>
        <v/>
      </c>
    </row>
    <row r="303" spans="1:34" x14ac:dyDescent="0.25">
      <c r="A303" s="68"/>
      <c r="B303" s="68"/>
      <c r="C303" s="65"/>
      <c r="D303" s="65"/>
      <c r="E303" s="66"/>
      <c r="F303" s="65"/>
      <c r="G303" s="67"/>
      <c r="AD303" s="9" t="str">
        <f t="shared" si="50"/>
        <v/>
      </c>
      <c r="AG303" s="9" t="str">
        <f t="shared" si="51"/>
        <v/>
      </c>
      <c r="AH303" s="9" t="str">
        <f t="shared" si="52"/>
        <v/>
      </c>
    </row>
    <row r="304" spans="1:34" x14ac:dyDescent="0.25">
      <c r="A304" s="68"/>
      <c r="B304" s="68"/>
      <c r="C304" s="65"/>
      <c r="D304" s="65"/>
      <c r="E304" s="66"/>
      <c r="F304" s="65"/>
      <c r="G304" s="67"/>
      <c r="AD304" s="9" t="str">
        <f t="shared" si="50"/>
        <v/>
      </c>
      <c r="AG304" s="9" t="str">
        <f t="shared" si="51"/>
        <v/>
      </c>
      <c r="AH304" s="9" t="str">
        <f t="shared" si="52"/>
        <v/>
      </c>
    </row>
    <row r="305" spans="1:34" x14ac:dyDescent="0.25">
      <c r="A305" s="68"/>
      <c r="B305" s="68"/>
      <c r="C305" s="65"/>
      <c r="D305" s="65"/>
      <c r="E305" s="66"/>
      <c r="F305" s="65"/>
      <c r="G305" s="67"/>
      <c r="AD305" s="9" t="str">
        <f t="shared" si="50"/>
        <v/>
      </c>
      <c r="AG305" s="9" t="str">
        <f t="shared" si="51"/>
        <v/>
      </c>
      <c r="AH305" s="9" t="str">
        <f t="shared" si="52"/>
        <v/>
      </c>
    </row>
    <row r="306" spans="1:34" x14ac:dyDescent="0.25">
      <c r="A306" s="68"/>
      <c r="B306" s="68"/>
      <c r="C306" s="65"/>
      <c r="D306" s="65"/>
      <c r="E306" s="66"/>
      <c r="F306" s="65"/>
      <c r="G306" s="67"/>
      <c r="AD306" s="9" t="str">
        <f t="shared" si="50"/>
        <v/>
      </c>
      <c r="AG306" s="9" t="str">
        <f t="shared" si="51"/>
        <v/>
      </c>
      <c r="AH306" s="9" t="str">
        <f t="shared" si="52"/>
        <v/>
      </c>
    </row>
    <row r="307" spans="1:34" x14ac:dyDescent="0.25">
      <c r="A307" s="68"/>
      <c r="B307" s="68"/>
      <c r="C307" s="65"/>
      <c r="D307" s="65"/>
      <c r="E307" s="66"/>
      <c r="F307" s="65"/>
      <c r="G307" s="67"/>
      <c r="AD307" s="9" t="str">
        <f t="shared" si="50"/>
        <v/>
      </c>
      <c r="AG307" s="9" t="str">
        <f t="shared" si="51"/>
        <v/>
      </c>
      <c r="AH307" s="9" t="str">
        <f t="shared" si="52"/>
        <v/>
      </c>
    </row>
    <row r="308" spans="1:34" x14ac:dyDescent="0.25">
      <c r="A308" s="68"/>
      <c r="B308" s="68"/>
      <c r="C308" s="65"/>
      <c r="D308" s="65"/>
      <c r="E308" s="66"/>
      <c r="F308" s="65"/>
      <c r="G308" s="67"/>
      <c r="AD308" s="9" t="str">
        <f t="shared" si="50"/>
        <v/>
      </c>
      <c r="AG308" s="9" t="str">
        <f t="shared" si="51"/>
        <v/>
      </c>
      <c r="AH308" s="9" t="str">
        <f t="shared" si="52"/>
        <v/>
      </c>
    </row>
    <row r="309" spans="1:34" x14ac:dyDescent="0.25">
      <c r="A309" s="68"/>
      <c r="B309" s="68"/>
      <c r="C309" s="65"/>
      <c r="D309" s="65"/>
      <c r="E309" s="66"/>
      <c r="F309" s="65"/>
      <c r="G309" s="67"/>
      <c r="AD309" s="9" t="str">
        <f t="shared" si="50"/>
        <v/>
      </c>
      <c r="AG309" s="9" t="str">
        <f t="shared" si="51"/>
        <v/>
      </c>
      <c r="AH309" s="9" t="str">
        <f t="shared" si="52"/>
        <v/>
      </c>
    </row>
    <row r="310" spans="1:34" x14ac:dyDescent="0.25">
      <c r="A310" s="68"/>
      <c r="B310" s="68"/>
      <c r="C310" s="65"/>
      <c r="D310" s="65"/>
      <c r="E310" s="66"/>
      <c r="F310" s="65"/>
      <c r="G310" s="67"/>
      <c r="AD310" s="9" t="str">
        <f t="shared" si="50"/>
        <v/>
      </c>
      <c r="AG310" s="9" t="str">
        <f t="shared" si="51"/>
        <v/>
      </c>
      <c r="AH310" s="9" t="str">
        <f t="shared" si="52"/>
        <v/>
      </c>
    </row>
    <row r="311" spans="1:34" x14ac:dyDescent="0.25">
      <c r="A311" s="68"/>
      <c r="B311" s="68"/>
      <c r="C311" s="65"/>
      <c r="D311" s="65"/>
      <c r="E311" s="66"/>
      <c r="F311" s="65"/>
      <c r="G311" s="67"/>
      <c r="AD311" s="9" t="str">
        <f t="shared" si="50"/>
        <v/>
      </c>
      <c r="AG311" s="9" t="str">
        <f t="shared" si="51"/>
        <v/>
      </c>
    </row>
    <row r="312" spans="1:34" x14ac:dyDescent="0.25">
      <c r="A312" s="68"/>
      <c r="B312" s="68"/>
      <c r="C312" s="65"/>
      <c r="D312" s="65"/>
      <c r="E312" s="66"/>
      <c r="F312" s="65"/>
      <c r="G312" s="67"/>
      <c r="AD312" s="9" t="str">
        <f t="shared" si="50"/>
        <v/>
      </c>
      <c r="AG312" s="9" t="str">
        <f t="shared" si="51"/>
        <v/>
      </c>
    </row>
    <row r="313" spans="1:34" x14ac:dyDescent="0.25">
      <c r="A313" s="68"/>
      <c r="B313" s="68"/>
      <c r="C313" s="65"/>
      <c r="D313" s="65"/>
      <c r="E313" s="66"/>
      <c r="F313" s="65"/>
      <c r="G313" s="67"/>
      <c r="AD313" s="9" t="str">
        <f t="shared" si="50"/>
        <v/>
      </c>
      <c r="AG313" s="9" t="str">
        <f t="shared" si="51"/>
        <v/>
      </c>
    </row>
    <row r="314" spans="1:34" x14ac:dyDescent="0.25">
      <c r="A314" s="68"/>
      <c r="B314" s="68"/>
      <c r="C314" s="65"/>
      <c r="D314" s="65"/>
      <c r="E314" s="66"/>
      <c r="F314" s="65"/>
      <c r="G314" s="67"/>
      <c r="AD314" s="9" t="str">
        <f t="shared" si="50"/>
        <v/>
      </c>
      <c r="AG314" s="9" t="str">
        <f t="shared" si="51"/>
        <v/>
      </c>
    </row>
    <row r="315" spans="1:34" x14ac:dyDescent="0.25">
      <c r="A315" s="68"/>
      <c r="B315" s="68"/>
      <c r="C315" s="65"/>
      <c r="D315" s="65"/>
      <c r="E315" s="66"/>
      <c r="F315" s="65"/>
      <c r="G315" s="67"/>
      <c r="AD315" s="9" t="str">
        <f t="shared" si="50"/>
        <v/>
      </c>
      <c r="AG315" s="9" t="str">
        <f t="shared" si="51"/>
        <v/>
      </c>
    </row>
    <row r="316" spans="1:34" x14ac:dyDescent="0.25">
      <c r="A316" s="68"/>
      <c r="B316" s="68"/>
      <c r="C316" s="65"/>
      <c r="D316" s="65"/>
      <c r="E316" s="66"/>
      <c r="F316" s="65"/>
      <c r="G316" s="67"/>
      <c r="AD316" s="9" t="str">
        <f t="shared" si="50"/>
        <v/>
      </c>
      <c r="AG316" s="9" t="str">
        <f t="shared" si="51"/>
        <v/>
      </c>
    </row>
    <row r="317" spans="1:34" x14ac:dyDescent="0.25">
      <c r="A317" s="68"/>
      <c r="B317" s="68"/>
      <c r="C317" s="65"/>
      <c r="D317" s="65"/>
      <c r="E317" s="66"/>
      <c r="F317" s="65"/>
      <c r="G317" s="67"/>
      <c r="AD317" s="9" t="str">
        <f t="shared" si="50"/>
        <v/>
      </c>
      <c r="AG317" s="9" t="str">
        <f t="shared" si="51"/>
        <v/>
      </c>
    </row>
    <row r="318" spans="1:34" x14ac:dyDescent="0.25">
      <c r="A318" s="68"/>
      <c r="B318" s="68"/>
      <c r="C318" s="65"/>
      <c r="D318" s="65"/>
      <c r="E318" s="66"/>
      <c r="F318" s="65"/>
      <c r="G318" s="67"/>
      <c r="AD318" s="9" t="str">
        <f t="shared" si="50"/>
        <v/>
      </c>
      <c r="AG318" s="9" t="str">
        <f t="shared" si="51"/>
        <v/>
      </c>
    </row>
    <row r="319" spans="1:34" x14ac:dyDescent="0.25">
      <c r="A319" s="68"/>
      <c r="B319" s="68"/>
      <c r="C319" s="65"/>
      <c r="D319" s="65"/>
      <c r="E319" s="66"/>
      <c r="F319" s="65"/>
      <c r="G319" s="67"/>
      <c r="AD319" s="9" t="str">
        <f t="shared" si="50"/>
        <v/>
      </c>
      <c r="AG319" s="9" t="str">
        <f t="shared" si="51"/>
        <v/>
      </c>
    </row>
    <row r="320" spans="1:34" x14ac:dyDescent="0.25">
      <c r="A320" s="68"/>
      <c r="B320" s="68"/>
      <c r="C320" s="65"/>
      <c r="D320" s="65"/>
      <c r="E320" s="66"/>
      <c r="F320" s="65"/>
      <c r="G320" s="67"/>
      <c r="AD320" s="9" t="str">
        <f t="shared" si="50"/>
        <v/>
      </c>
      <c r="AG320" s="9" t="str">
        <f t="shared" si="51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50"/>
        <v/>
      </c>
      <c r="AG321" s="9" t="str">
        <f t="shared" si="51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85" si="53">IF(AC322="","",C317)</f>
        <v/>
      </c>
      <c r="AG322" s="9" t="str">
        <f t="shared" si="51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53"/>
        <v/>
      </c>
      <c r="AG323" s="9" t="str">
        <f t="shared" si="51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53"/>
        <v/>
      </c>
      <c r="AG324" s="9" t="str">
        <f t="shared" si="51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53"/>
        <v/>
      </c>
      <c r="AG325" s="9" t="str">
        <f t="shared" si="51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53"/>
        <v/>
      </c>
      <c r="AG326" s="9" t="str">
        <f t="shared" si="51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53"/>
        <v/>
      </c>
      <c r="AG327" s="9" t="str">
        <f t="shared" si="51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53"/>
        <v/>
      </c>
      <c r="AG328" s="9" t="str">
        <f t="shared" si="51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53"/>
        <v/>
      </c>
      <c r="AG329" s="9" t="str">
        <f t="shared" si="51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53"/>
        <v/>
      </c>
      <c r="AG330" s="9" t="str">
        <f t="shared" si="51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53"/>
        <v/>
      </c>
      <c r="AG331" s="9" t="str">
        <f t="shared" si="51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53"/>
        <v/>
      </c>
      <c r="AG332" s="9" t="str">
        <f t="shared" si="51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53"/>
        <v/>
      </c>
      <c r="AG333" s="9" t="str">
        <f t="shared" si="51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53"/>
        <v/>
      </c>
      <c r="AG334" s="9" t="str">
        <f t="shared" si="51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53"/>
        <v/>
      </c>
      <c r="AG335" s="9" t="str">
        <f t="shared" si="51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53"/>
        <v/>
      </c>
      <c r="AG336" s="9" t="str">
        <f t="shared" si="51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53"/>
        <v/>
      </c>
      <c r="AG337" s="9" t="str">
        <f t="shared" si="51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53"/>
        <v/>
      </c>
      <c r="AG338" s="9" t="str">
        <f t="shared" si="51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53"/>
        <v/>
      </c>
      <c r="AG339" s="9" t="str">
        <f t="shared" si="51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53"/>
        <v/>
      </c>
      <c r="AG340" s="9" t="str">
        <f t="shared" si="51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53"/>
        <v/>
      </c>
      <c r="AG341" s="9" t="str">
        <f t="shared" si="51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53"/>
        <v/>
      </c>
      <c r="AG342" s="9" t="str">
        <f t="shared" si="51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53"/>
        <v/>
      </c>
      <c r="AG343" s="9" t="str">
        <f t="shared" si="51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53"/>
        <v/>
      </c>
      <c r="AG344" s="9" t="str">
        <f t="shared" si="51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53"/>
        <v/>
      </c>
      <c r="AG345" s="9" t="str">
        <f t="shared" si="51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53"/>
        <v/>
      </c>
      <c r="AG346" s="9" t="str">
        <f t="shared" si="51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53"/>
        <v/>
      </c>
      <c r="AG347" s="9" t="str">
        <f t="shared" si="51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53"/>
        <v/>
      </c>
      <c r="AG348" s="9" t="str">
        <f t="shared" si="51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53"/>
        <v/>
      </c>
      <c r="AG349" s="9" t="str">
        <f t="shared" si="51"/>
        <v/>
      </c>
    </row>
    <row r="350" spans="1:33" x14ac:dyDescent="0.25">
      <c r="AD350" s="9" t="str">
        <f t="shared" si="53"/>
        <v/>
      </c>
      <c r="AG350" s="9" t="str">
        <f t="shared" si="51"/>
        <v/>
      </c>
    </row>
    <row r="351" spans="1:33" x14ac:dyDescent="0.25">
      <c r="AD351" s="9" t="str">
        <f t="shared" si="53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53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53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si="53"/>
        <v/>
      </c>
      <c r="AG354" s="9"/>
    </row>
    <row r="355" spans="30:33" x14ac:dyDescent="0.25">
      <c r="AD355" s="9" t="str">
        <f t="shared" si="53"/>
        <v/>
      </c>
      <c r="AG355" s="9"/>
    </row>
    <row r="356" spans="30:33" x14ac:dyDescent="0.25">
      <c r="AD356" s="9" t="str">
        <f t="shared" si="53"/>
        <v/>
      </c>
      <c r="AG356" s="9"/>
    </row>
    <row r="357" spans="30:33" x14ac:dyDescent="0.25">
      <c r="AD357" s="9" t="str">
        <f t="shared" si="53"/>
        <v/>
      </c>
      <c r="AG357" s="9"/>
    </row>
    <row r="358" spans="30:33" x14ac:dyDescent="0.25">
      <c r="AD358" s="9" t="str">
        <f t="shared" si="53"/>
        <v/>
      </c>
      <c r="AG358" s="9"/>
    </row>
    <row r="359" spans="30:33" x14ac:dyDescent="0.25">
      <c r="AD359" s="9" t="str">
        <f t="shared" si="53"/>
        <v/>
      </c>
      <c r="AG359" s="9"/>
    </row>
    <row r="360" spans="30:33" x14ac:dyDescent="0.25">
      <c r="AD360" s="9" t="str">
        <f t="shared" si="53"/>
        <v/>
      </c>
      <c r="AG360" s="9"/>
    </row>
    <row r="361" spans="30:33" x14ac:dyDescent="0.25">
      <c r="AD361" s="9" t="str">
        <f t="shared" si="53"/>
        <v/>
      </c>
      <c r="AG361" s="9"/>
    </row>
    <row r="362" spans="30:33" x14ac:dyDescent="0.25">
      <c r="AD362" s="9" t="str">
        <f t="shared" si="53"/>
        <v/>
      </c>
      <c r="AG362" s="9"/>
    </row>
    <row r="363" spans="30:33" x14ac:dyDescent="0.25">
      <c r="AD363" s="9" t="str">
        <f t="shared" si="53"/>
        <v/>
      </c>
      <c r="AG363" s="9"/>
    </row>
    <row r="364" spans="30:33" x14ac:dyDescent="0.25">
      <c r="AD364" s="9" t="str">
        <f t="shared" si="53"/>
        <v/>
      </c>
      <c r="AG364" s="9"/>
    </row>
    <row r="365" spans="30:33" x14ac:dyDescent="0.25">
      <c r="AD365" s="9" t="str">
        <f t="shared" si="53"/>
        <v/>
      </c>
      <c r="AG365" s="9"/>
    </row>
    <row r="366" spans="30:33" x14ac:dyDescent="0.25">
      <c r="AD366" s="9" t="str">
        <f t="shared" si="53"/>
        <v/>
      </c>
      <c r="AG366" s="9"/>
    </row>
    <row r="367" spans="30:33" x14ac:dyDescent="0.25">
      <c r="AD367" s="9" t="str">
        <f t="shared" si="53"/>
        <v/>
      </c>
      <c r="AG367" s="9"/>
    </row>
    <row r="368" spans="30:33" x14ac:dyDescent="0.25">
      <c r="AD368" s="9" t="str">
        <f t="shared" si="53"/>
        <v/>
      </c>
      <c r="AG368" s="9"/>
    </row>
    <row r="369" spans="30:33" x14ac:dyDescent="0.25">
      <c r="AD369" s="9" t="str">
        <f t="shared" si="53"/>
        <v/>
      </c>
      <c r="AG369" s="9"/>
    </row>
    <row r="370" spans="30:33" x14ac:dyDescent="0.25">
      <c r="AD370" s="9" t="str">
        <f t="shared" si="53"/>
        <v/>
      </c>
      <c r="AG370" s="9"/>
    </row>
    <row r="371" spans="30:33" x14ac:dyDescent="0.25">
      <c r="AD371" s="9" t="str">
        <f t="shared" si="53"/>
        <v/>
      </c>
      <c r="AG371" s="9"/>
    </row>
    <row r="372" spans="30:33" x14ac:dyDescent="0.25">
      <c r="AD372" s="9" t="str">
        <f t="shared" si="53"/>
        <v/>
      </c>
      <c r="AG372" s="9"/>
    </row>
    <row r="373" spans="30:33" x14ac:dyDescent="0.25">
      <c r="AD373" s="9" t="str">
        <f t="shared" si="53"/>
        <v/>
      </c>
      <c r="AG373" s="9"/>
    </row>
    <row r="374" spans="30:33" x14ac:dyDescent="0.25">
      <c r="AD374" s="9" t="str">
        <f t="shared" si="53"/>
        <v/>
      </c>
      <c r="AG374" s="9"/>
    </row>
    <row r="375" spans="30:33" x14ac:dyDescent="0.25">
      <c r="AD375" s="9" t="str">
        <f t="shared" si="53"/>
        <v/>
      </c>
      <c r="AG375" s="9"/>
    </row>
    <row r="376" spans="30:33" x14ac:dyDescent="0.25">
      <c r="AD376" s="9" t="str">
        <f t="shared" si="53"/>
        <v/>
      </c>
      <c r="AG376" s="9"/>
    </row>
    <row r="377" spans="30:33" x14ac:dyDescent="0.25">
      <c r="AD377" s="9" t="str">
        <f t="shared" si="53"/>
        <v/>
      </c>
      <c r="AG377" s="9"/>
    </row>
    <row r="378" spans="30:33" x14ac:dyDescent="0.25">
      <c r="AD378" s="9" t="str">
        <f t="shared" si="53"/>
        <v/>
      </c>
      <c r="AG378" s="9"/>
    </row>
    <row r="379" spans="30:33" x14ac:dyDescent="0.25">
      <c r="AD379" s="9" t="str">
        <f t="shared" si="53"/>
        <v/>
      </c>
      <c r="AG379" s="9"/>
    </row>
    <row r="380" spans="30:33" x14ac:dyDescent="0.25">
      <c r="AD380" s="9" t="str">
        <f t="shared" si="53"/>
        <v/>
      </c>
      <c r="AG380" s="9"/>
    </row>
    <row r="381" spans="30:33" x14ac:dyDescent="0.25">
      <c r="AD381" s="9" t="str">
        <f t="shared" si="53"/>
        <v/>
      </c>
      <c r="AG381" s="9"/>
    </row>
    <row r="382" spans="30:33" x14ac:dyDescent="0.25">
      <c r="AD382" s="9" t="str">
        <f t="shared" si="53"/>
        <v/>
      </c>
      <c r="AG382" s="9"/>
    </row>
    <row r="383" spans="30:33" x14ac:dyDescent="0.25">
      <c r="AD383" s="9" t="str">
        <f t="shared" si="53"/>
        <v/>
      </c>
      <c r="AG383" s="9"/>
    </row>
    <row r="384" spans="30:33" x14ac:dyDescent="0.25">
      <c r="AD384" s="9" t="str">
        <f t="shared" si="53"/>
        <v/>
      </c>
      <c r="AG384" s="9"/>
    </row>
    <row r="385" spans="30:33" x14ac:dyDescent="0.25">
      <c r="AD385" s="9" t="str">
        <f t="shared" si="53"/>
        <v/>
      </c>
      <c r="AG385" s="9"/>
    </row>
    <row r="386" spans="30:33" x14ac:dyDescent="0.25">
      <c r="AD386" s="9" t="str">
        <f t="shared" ref="AD386:AD417" si="54">IF(AC386="","",C381)</f>
        <v/>
      </c>
      <c r="AG386" s="9"/>
    </row>
    <row r="387" spans="30:33" x14ac:dyDescent="0.25">
      <c r="AD387" s="9" t="str">
        <f t="shared" si="54"/>
        <v/>
      </c>
      <c r="AG387" s="9"/>
    </row>
    <row r="388" spans="30:33" x14ac:dyDescent="0.25">
      <c r="AD388" s="9" t="str">
        <f t="shared" si="54"/>
        <v/>
      </c>
      <c r="AG388" s="9"/>
    </row>
    <row r="389" spans="30:33" x14ac:dyDescent="0.25">
      <c r="AD389" s="9" t="str">
        <f t="shared" si="54"/>
        <v/>
      </c>
      <c r="AG389" s="9"/>
    </row>
    <row r="390" spans="30:33" x14ac:dyDescent="0.25">
      <c r="AD390" s="9" t="str">
        <f t="shared" si="54"/>
        <v/>
      </c>
      <c r="AG390" s="9"/>
    </row>
    <row r="391" spans="30:33" x14ac:dyDescent="0.25">
      <c r="AD391" s="9" t="str">
        <f t="shared" si="54"/>
        <v/>
      </c>
      <c r="AG391" s="9"/>
    </row>
    <row r="392" spans="30:33" x14ac:dyDescent="0.25">
      <c r="AD392" s="9" t="str">
        <f t="shared" si="54"/>
        <v/>
      </c>
      <c r="AG392" s="9"/>
    </row>
    <row r="393" spans="30:33" x14ac:dyDescent="0.25">
      <c r="AD393" s="9" t="str">
        <f t="shared" si="54"/>
        <v/>
      </c>
      <c r="AG393" s="9"/>
    </row>
    <row r="394" spans="30:33" x14ac:dyDescent="0.25">
      <c r="AD394" s="9" t="str">
        <f t="shared" si="54"/>
        <v/>
      </c>
      <c r="AG394" s="9"/>
    </row>
    <row r="395" spans="30:33" x14ac:dyDescent="0.25">
      <c r="AD395" s="9" t="str">
        <f t="shared" si="54"/>
        <v/>
      </c>
      <c r="AG395" s="9"/>
    </row>
    <row r="396" spans="30:33" x14ac:dyDescent="0.25">
      <c r="AD396" s="9" t="str">
        <f t="shared" si="54"/>
        <v/>
      </c>
      <c r="AG396" s="9"/>
    </row>
    <row r="397" spans="30:33" x14ac:dyDescent="0.25">
      <c r="AD397" s="9" t="str">
        <f t="shared" si="54"/>
        <v/>
      </c>
      <c r="AG397" s="9"/>
    </row>
    <row r="398" spans="30:33" x14ac:dyDescent="0.25">
      <c r="AD398" s="9" t="str">
        <f t="shared" si="54"/>
        <v/>
      </c>
      <c r="AG398" s="9"/>
    </row>
    <row r="399" spans="30:33" x14ac:dyDescent="0.25">
      <c r="AD399" s="9" t="str">
        <f t="shared" si="54"/>
        <v/>
      </c>
      <c r="AG399" s="9"/>
    </row>
    <row r="400" spans="30:33" x14ac:dyDescent="0.25">
      <c r="AD400" s="9" t="str">
        <f t="shared" si="54"/>
        <v/>
      </c>
      <c r="AG400" s="9"/>
    </row>
    <row r="401" spans="30:33" x14ac:dyDescent="0.25">
      <c r="AD401" s="9" t="str">
        <f t="shared" si="54"/>
        <v/>
      </c>
      <c r="AG401" s="9"/>
    </row>
    <row r="402" spans="30:33" x14ac:dyDescent="0.25">
      <c r="AD402" s="9" t="str">
        <f t="shared" si="54"/>
        <v/>
      </c>
      <c r="AG402" s="9"/>
    </row>
    <row r="403" spans="30:33" x14ac:dyDescent="0.25">
      <c r="AD403" s="9" t="str">
        <f t="shared" si="54"/>
        <v/>
      </c>
      <c r="AG403" s="9"/>
    </row>
    <row r="404" spans="30:33" x14ac:dyDescent="0.25">
      <c r="AD404" s="9" t="str">
        <f t="shared" si="54"/>
        <v/>
      </c>
      <c r="AG404" s="9"/>
    </row>
    <row r="405" spans="30:33" x14ac:dyDescent="0.25">
      <c r="AD405" s="9" t="str">
        <f t="shared" si="54"/>
        <v/>
      </c>
      <c r="AG405" s="9"/>
    </row>
    <row r="406" spans="30:33" x14ac:dyDescent="0.25">
      <c r="AD406" s="9" t="str">
        <f t="shared" si="54"/>
        <v/>
      </c>
      <c r="AG406" s="9"/>
    </row>
    <row r="407" spans="30:33" x14ac:dyDescent="0.25">
      <c r="AD407" s="9" t="str">
        <f t="shared" si="54"/>
        <v/>
      </c>
      <c r="AG407" s="9"/>
    </row>
    <row r="408" spans="30:33" x14ac:dyDescent="0.25">
      <c r="AD408" s="9" t="str">
        <f t="shared" si="54"/>
        <v/>
      </c>
      <c r="AG408" s="9"/>
    </row>
    <row r="409" spans="30:33" x14ac:dyDescent="0.25">
      <c r="AD409" s="9" t="str">
        <f t="shared" si="54"/>
        <v/>
      </c>
      <c r="AG409" s="9"/>
    </row>
    <row r="410" spans="30:33" x14ac:dyDescent="0.25">
      <c r="AD410" s="9" t="str">
        <f t="shared" si="54"/>
        <v/>
      </c>
      <c r="AG410" s="9"/>
    </row>
    <row r="411" spans="30:33" x14ac:dyDescent="0.25">
      <c r="AD411" s="9" t="str">
        <f t="shared" si="54"/>
        <v/>
      </c>
      <c r="AG411" s="9"/>
    </row>
    <row r="412" spans="30:33" x14ac:dyDescent="0.25">
      <c r="AD412" s="9" t="str">
        <f t="shared" si="54"/>
        <v/>
      </c>
      <c r="AG412" s="9"/>
    </row>
    <row r="413" spans="30:33" x14ac:dyDescent="0.25">
      <c r="AD413" s="9" t="str">
        <f t="shared" si="54"/>
        <v/>
      </c>
      <c r="AG413" s="9"/>
    </row>
    <row r="414" spans="30:33" x14ac:dyDescent="0.25">
      <c r="AD414" s="9" t="str">
        <f t="shared" si="54"/>
        <v/>
      </c>
      <c r="AG414" s="9"/>
    </row>
    <row r="415" spans="30:33" x14ac:dyDescent="0.25">
      <c r="AD415" s="9" t="str">
        <f t="shared" si="54"/>
        <v/>
      </c>
      <c r="AG415" s="9"/>
    </row>
    <row r="416" spans="30:33" x14ac:dyDescent="0.25">
      <c r="AD416" s="9" t="str">
        <f t="shared" si="54"/>
        <v/>
      </c>
      <c r="AG416" s="9"/>
    </row>
    <row r="417" spans="30:33" x14ac:dyDescent="0.25">
      <c r="AD417" s="9" t="str">
        <f t="shared" si="54"/>
        <v/>
      </c>
      <c r="AG417" s="9"/>
    </row>
    <row r="418" spans="30:33" x14ac:dyDescent="0.25">
      <c r="AD418" s="9" t="str">
        <f>IF(AC418="","",C413)</f>
        <v/>
      </c>
      <c r="AG418" s="9"/>
    </row>
    <row r="419" spans="30:33" x14ac:dyDescent="0.25">
      <c r="AD419" s="9" t="str">
        <f>IF(AC419="","",C414)</f>
        <v/>
      </c>
      <c r="AG419" s="9"/>
    </row>
    <row r="420" spans="30:33" x14ac:dyDescent="0.25">
      <c r="AD420" s="9" t="str">
        <f>IF(AC420="","",C415)</f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55">IF(AF428="","",AF428*AC$25*AD428)</f>
        <v/>
      </c>
    </row>
    <row r="429" spans="30:33" x14ac:dyDescent="0.25">
      <c r="AG429" s="9" t="str">
        <f t="shared" si="55"/>
        <v/>
      </c>
    </row>
    <row r="430" spans="30:33" x14ac:dyDescent="0.25">
      <c r="AG430" s="9" t="str">
        <f t="shared" si="55"/>
        <v/>
      </c>
    </row>
    <row r="431" spans="30:33" x14ac:dyDescent="0.25">
      <c r="AG431" s="9" t="str">
        <f t="shared" si="55"/>
        <v/>
      </c>
    </row>
    <row r="432" spans="30:33" x14ac:dyDescent="0.25">
      <c r="AG432" s="9" t="str">
        <f t="shared" si="55"/>
        <v/>
      </c>
    </row>
    <row r="433" spans="33:33" x14ac:dyDescent="0.25">
      <c r="AG433" s="9" t="str">
        <f t="shared" si="55"/>
        <v/>
      </c>
    </row>
    <row r="434" spans="33:33" x14ac:dyDescent="0.25">
      <c r="AG434" s="9" t="str">
        <f t="shared" si="55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sheetProtection algorithmName="SHA-512" hashValue="zEhIW6T9kHeJmK1AaMKDhPQRvXE5Dh/r4MjqCKwbi5o2sXu4l4Wsxytk0FFwXA63IK575NiYA8sv4xuI0FEdzA==" saltValue="AJtDh9LZe1xAWrzc3hntpQ==" spinCount="100000" sheet="1" objects="1" scenarios="1"/>
  <protectedRanges>
    <protectedRange password="C474" sqref="D19" name="Intervalo1"/>
  </protectedRanges>
  <mergeCells count="9">
    <mergeCell ref="A2:F2"/>
    <mergeCell ref="A1:F1"/>
    <mergeCell ref="A20:F20"/>
    <mergeCell ref="E21:E22"/>
    <mergeCell ref="AB21:AG23"/>
    <mergeCell ref="A22:B22"/>
    <mergeCell ref="A18:D18"/>
    <mergeCell ref="A14:F14"/>
    <mergeCell ref="A3:F3"/>
  </mergeCells>
  <conditionalFormatting sqref="A23:G349">
    <cfRule type="notContainsBlanks" dxfId="43" priority="3" stopIfTrue="1">
      <formula>LEN(TRIM(A23))&gt;0</formula>
    </cfRule>
  </conditionalFormatting>
  <conditionalFormatting sqref="A24:G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42" priority="2">
      <formula>LEN(TRIM(A24))&gt;0</formula>
    </cfRule>
  </conditionalFormatting>
  <conditionalFormatting sqref="E19">
    <cfRule type="expression" dxfId="41" priority="1">
      <formula>$J$21=FALSE</formula>
    </cfRule>
  </conditionalFormatting>
  <dataValidations disablePrompts="1" count="1">
    <dataValidation type="decimal" allowBlank="1" showInputMessage="1" showErrorMessage="1" errorTitle="atenção!" error="A garantia do FAMPE deve variar de 20% a 80%." sqref="E19" xr:uid="{00000000-0002-0000-0000-000000000000}">
      <formula1>0.2</formula1>
      <formula2>0.8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86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locked="0" defaultSize="0" autoLine="0" autoPict="0">
                <anchor moveWithCells="1">
                  <from>
                    <xdr:col>0</xdr:col>
                    <xdr:colOff>895350</xdr:colOff>
                    <xdr:row>2</xdr:row>
                    <xdr:rowOff>314325</xdr:rowOff>
                  </from>
                  <to>
                    <xdr:col>5</xdr:col>
                    <xdr:colOff>1123950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Drop Down 3">
              <controlPr locked="0" defaultSize="0" autoLine="0" autoPict="0">
                <anchor moveWithCells="1">
                  <from>
                    <xdr:col>5</xdr:col>
                    <xdr:colOff>85725</xdr:colOff>
                    <xdr:row>14</xdr:row>
                    <xdr:rowOff>38100</xdr:rowOff>
                  </from>
                  <to>
                    <xdr:col>5</xdr:col>
                    <xdr:colOff>1057275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6" name="Check Box 5">
              <controlPr locked="0" defaultSize="0" autoFill="0" autoLine="0" autoPict="0">
                <anchor moveWithCells="1">
                  <from>
                    <xdr:col>4</xdr:col>
                    <xdr:colOff>247650</xdr:colOff>
                    <xdr:row>15</xdr:row>
                    <xdr:rowOff>209550</xdr:rowOff>
                  </from>
                  <to>
                    <xdr:col>4</xdr:col>
                    <xdr:colOff>1057275</xdr:colOff>
                    <xdr:row>15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7" name="Check Box 8">
              <controlPr locked="0" defaultSize="0" autoFill="0" autoLine="0" autoPict="0">
                <anchor moveWithCells="1">
                  <from>
                    <xdr:col>4</xdr:col>
                    <xdr:colOff>247650</xdr:colOff>
                    <xdr:row>16</xdr:row>
                    <xdr:rowOff>123825</xdr:rowOff>
                  </from>
                  <to>
                    <xdr:col>4</xdr:col>
                    <xdr:colOff>1143000</xdr:colOff>
                    <xdr:row>16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8" name="Drop Down 6">
              <controlPr locked="0" defaultSize="0" autoLine="0" autoPict="0">
                <anchor moveWithCells="1">
                  <from>
                    <xdr:col>5</xdr:col>
                    <xdr:colOff>95250</xdr:colOff>
                    <xdr:row>16</xdr:row>
                    <xdr:rowOff>66675</xdr:rowOff>
                  </from>
                  <to>
                    <xdr:col>5</xdr:col>
                    <xdr:colOff>1076325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9" name="Drop Down 4">
              <controlPr locked="0" defaultSize="0" autoLine="0" autoPict="0">
                <anchor moveWithCells="1">
                  <from>
                    <xdr:col>5</xdr:col>
                    <xdr:colOff>85725</xdr:colOff>
                    <xdr:row>15</xdr:row>
                    <xdr:rowOff>47625</xdr:rowOff>
                  </from>
                  <to>
                    <xdr:col>5</xdr:col>
                    <xdr:colOff>1066800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locked="0" defaultSize="0" autoFill="0" autoLine="0" autoPict="0">
                <anchor moveWithCells="1">
                  <from>
                    <xdr:col>4</xdr:col>
                    <xdr:colOff>247650</xdr:colOff>
                    <xdr:row>15</xdr:row>
                    <xdr:rowOff>0</xdr:rowOff>
                  </from>
                  <to>
                    <xdr:col>5</xdr:col>
                    <xdr:colOff>38100</xdr:colOff>
                    <xdr:row>15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">
    <pageSetUpPr fitToPage="1"/>
  </sheetPr>
  <dimension ref="A1:BL437"/>
  <sheetViews>
    <sheetView showGridLines="0" tabSelected="1" zoomScaleNormal="100" workbookViewId="0">
      <selection activeCell="D15" sqref="D15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4" width="20.7109375" style="21" customWidth="1"/>
    <col min="5" max="5" width="19.28515625" style="21" customWidth="1"/>
    <col min="6" max="6" width="17.42578125" style="21" customWidth="1"/>
    <col min="7" max="7" width="16.7109375" style="21" hidden="1" customWidth="1"/>
    <col min="8" max="8" width="15.85546875" style="2" hidden="1" customWidth="1"/>
    <col min="9" max="9" width="14.425781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19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6" width="9.140625" style="2" hidden="1" customWidth="1"/>
    <col min="27" max="27" width="16.85546875" style="2" hidden="1" customWidth="1"/>
    <col min="28" max="28" width="19.85546875" style="2" hidden="1" customWidth="1"/>
    <col min="29" max="29" width="16" style="2" hidden="1" customWidth="1"/>
    <col min="30" max="30" width="16.5703125" style="2" hidden="1" customWidth="1"/>
    <col min="31" max="31" width="16.85546875" style="2" hidden="1" customWidth="1"/>
    <col min="32" max="32" width="15.71093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6" width="17.140625" style="2" hidden="1" customWidth="1"/>
    <col min="37" max="37" width="19.85546875" style="2" hidden="1" customWidth="1"/>
    <col min="38" max="38" width="21" style="2" hidden="1" customWidth="1"/>
    <col min="39" max="39" width="16.140625" style="2" hidden="1" customWidth="1"/>
    <col min="40" max="40" width="14.5703125" style="2" hidden="1" customWidth="1"/>
    <col min="41" max="41" width="11.140625" style="23" hidden="1" customWidth="1"/>
    <col min="42" max="42" width="9.140625" style="2" hidden="1" customWidth="1"/>
    <col min="43" max="43" width="10.5703125" style="2" hidden="1" customWidth="1"/>
    <col min="44" max="47" width="9.140625" style="2" hidden="1" customWidth="1"/>
    <col min="48" max="48" width="26" style="2" hidden="1" customWidth="1"/>
    <col min="49" max="49" width="15" style="2" hidden="1" customWidth="1"/>
    <col min="50" max="50" width="17.140625" style="2" hidden="1" customWidth="1"/>
    <col min="51" max="62" width="9.140625" style="2" hidden="1" customWidth="1"/>
    <col min="63" max="63" width="9.140625" style="2"/>
    <col min="64" max="64" width="11.7109375" style="2" bestFit="1" customWidth="1"/>
    <col min="65" max="16384" width="9.140625" style="2"/>
  </cols>
  <sheetData>
    <row r="1" spans="1:61" ht="64.5" customHeight="1" x14ac:dyDescent="0.25">
      <c r="A1" s="227" t="s">
        <v>59</v>
      </c>
      <c r="B1" s="227"/>
      <c r="C1" s="227"/>
      <c r="D1" s="227"/>
      <c r="E1" s="227"/>
      <c r="F1" s="228"/>
      <c r="G1" s="2"/>
      <c r="AA1" s="2">
        <v>2</v>
      </c>
      <c r="AB1" s="2">
        <v>2</v>
      </c>
    </row>
    <row r="2" spans="1:61" ht="39" customHeight="1" x14ac:dyDescent="0.25">
      <c r="A2" s="225" t="s">
        <v>182</v>
      </c>
      <c r="B2" s="225"/>
      <c r="C2" s="225"/>
      <c r="D2" s="225"/>
      <c r="E2" s="225"/>
      <c r="F2" s="226"/>
      <c r="G2" s="2"/>
      <c r="H2" s="11"/>
    </row>
    <row r="3" spans="1:61" ht="27.75" customHeight="1" x14ac:dyDescent="0.25">
      <c r="A3" s="240" t="s">
        <v>58</v>
      </c>
      <c r="B3" s="240"/>
      <c r="C3" s="240"/>
      <c r="D3" s="240"/>
      <c r="E3" s="240"/>
      <c r="F3" s="241"/>
      <c r="G3" s="2"/>
      <c r="AA3" s="2" t="s">
        <v>37</v>
      </c>
      <c r="AB3" s="2" t="s">
        <v>38</v>
      </c>
    </row>
    <row r="4" spans="1:61" ht="17.25" customHeight="1" x14ac:dyDescent="0.25">
      <c r="A4" s="54" t="s">
        <v>0</v>
      </c>
      <c r="B4" s="38"/>
      <c r="C4" s="55"/>
      <c r="D4" s="31"/>
      <c r="E4" s="54"/>
      <c r="F4" s="127"/>
      <c r="G4" s="2"/>
      <c r="J4" s="2">
        <v>6</v>
      </c>
      <c r="K4" s="2">
        <v>1</v>
      </c>
      <c r="N4" s="7" t="s">
        <v>0</v>
      </c>
      <c r="O4" s="7" t="s">
        <v>1</v>
      </c>
      <c r="P4" s="7" t="s">
        <v>55</v>
      </c>
      <c r="Q4" s="7" t="s">
        <v>2</v>
      </c>
      <c r="R4" s="7" t="s">
        <v>3</v>
      </c>
      <c r="S4" s="7" t="s">
        <v>5</v>
      </c>
      <c r="T4" s="7" t="s">
        <v>9</v>
      </c>
      <c r="U4" s="7" t="s">
        <v>8</v>
      </c>
      <c r="V4" s="7" t="s">
        <v>25</v>
      </c>
      <c r="AA4" s="2" t="s">
        <v>41</v>
      </c>
      <c r="AB4" s="2" t="s">
        <v>41</v>
      </c>
    </row>
    <row r="5" spans="1:61" ht="17.25" hidden="1" customHeight="1" x14ac:dyDescent="0.25">
      <c r="A5" s="31"/>
      <c r="B5" s="38"/>
      <c r="C5" s="31"/>
      <c r="D5" s="31"/>
      <c r="E5" s="31"/>
      <c r="F5" s="57"/>
      <c r="G5" s="58"/>
      <c r="N5" s="2" t="s">
        <v>19</v>
      </c>
      <c r="O5" s="12">
        <v>2.27</v>
      </c>
      <c r="P5" s="2">
        <v>0</v>
      </c>
      <c r="Q5" s="2">
        <v>1.81</v>
      </c>
      <c r="R5" s="2">
        <f>Q5</f>
        <v>1.81</v>
      </c>
      <c r="S5" s="2">
        <v>24</v>
      </c>
      <c r="T5" s="2">
        <v>3</v>
      </c>
      <c r="U5" s="4">
        <v>300000</v>
      </c>
      <c r="V5" s="2" t="s">
        <v>74</v>
      </c>
      <c r="AA5" s="2" t="s">
        <v>42</v>
      </c>
      <c r="AB5" s="2" t="s">
        <v>42</v>
      </c>
    </row>
    <row r="6" spans="1:61" ht="17.25" hidden="1" customHeight="1" x14ac:dyDescent="0.3">
      <c r="A6" s="31"/>
      <c r="B6" s="59"/>
      <c r="C6" s="60" t="str">
        <f>IF(AND(J4=1,K4=1),Q5,IF(AND(J4=1,K4=2),R5,IF(AND(J4=1,K4=3),P5,"-")))</f>
        <v>-</v>
      </c>
      <c r="D6" s="57"/>
      <c r="E6" s="57"/>
      <c r="F6" s="57"/>
      <c r="G6" s="58"/>
      <c r="N6" s="2" t="s">
        <v>71</v>
      </c>
      <c r="O6" s="2">
        <v>2.19</v>
      </c>
      <c r="P6" s="2">
        <v>0</v>
      </c>
      <c r="Q6" s="2">
        <v>1.75</v>
      </c>
      <c r="R6" s="2">
        <f>Q6</f>
        <v>1.75</v>
      </c>
      <c r="S6" s="2">
        <v>36</v>
      </c>
      <c r="T6" s="2">
        <v>3</v>
      </c>
      <c r="U6" s="9">
        <v>300000</v>
      </c>
      <c r="V6" s="2" t="s">
        <v>75</v>
      </c>
    </row>
    <row r="7" spans="1:61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2" t="s">
        <v>20</v>
      </c>
      <c r="O7" s="2">
        <v>2.17</v>
      </c>
      <c r="P7" s="2">
        <v>0</v>
      </c>
      <c r="Q7" s="12">
        <v>1.74</v>
      </c>
      <c r="R7" s="2">
        <f>Q7</f>
        <v>1.74</v>
      </c>
      <c r="S7" s="2">
        <v>24</v>
      </c>
      <c r="T7" s="2">
        <v>3</v>
      </c>
      <c r="U7" s="9">
        <v>300000</v>
      </c>
      <c r="V7" s="2" t="s">
        <v>66</v>
      </c>
    </row>
    <row r="8" spans="1:61" ht="17.25" hidden="1" customHeight="1" x14ac:dyDescent="0.3">
      <c r="A8" s="31"/>
      <c r="B8" s="61"/>
      <c r="C8" s="60" t="str">
        <f>IF(AND(J4=3,K4=1),Q7,IF(AND(J4=3,K4=2),R7,IF(AND(J4=3,K4=3),P7,"-")))</f>
        <v>-</v>
      </c>
      <c r="D8" s="57"/>
      <c r="E8" s="57"/>
      <c r="F8" s="57"/>
      <c r="G8" s="58"/>
      <c r="N8" s="2" t="s">
        <v>72</v>
      </c>
      <c r="O8" s="12">
        <v>2.16</v>
      </c>
      <c r="P8" s="2">
        <v>0</v>
      </c>
      <c r="Q8" s="2">
        <v>1.72</v>
      </c>
      <c r="R8" s="2">
        <f>Q8</f>
        <v>1.72</v>
      </c>
      <c r="S8" s="2">
        <v>36</v>
      </c>
      <c r="T8" s="2">
        <v>3</v>
      </c>
      <c r="U8" s="9">
        <v>300000</v>
      </c>
    </row>
    <row r="9" spans="1:61" ht="17.25" hidden="1" customHeight="1" x14ac:dyDescent="0.3">
      <c r="A9" s="31"/>
      <c r="B9" s="61"/>
      <c r="C9" s="60" t="str">
        <f>IF(AND(J4=4,K4=1),Q8,IF(AND(J4=4,K4=2),R8,IF(AND(J4=4,K4=3),P8,"-")))</f>
        <v>-</v>
      </c>
      <c r="D9" s="57"/>
      <c r="E9" s="57"/>
      <c r="F9" s="57"/>
      <c r="G9" s="58"/>
      <c r="N9" s="2" t="s">
        <v>21</v>
      </c>
      <c r="O9" s="12">
        <f>O8</f>
        <v>2.16</v>
      </c>
      <c r="P9" s="2">
        <v>0</v>
      </c>
      <c r="Q9" s="2">
        <f>Q8</f>
        <v>1.72</v>
      </c>
      <c r="R9" s="2">
        <f>R8</f>
        <v>1.72</v>
      </c>
      <c r="S9" s="2">
        <v>36</v>
      </c>
      <c r="T9" s="2">
        <v>3</v>
      </c>
      <c r="U9" s="9">
        <v>300000</v>
      </c>
    </row>
    <row r="10" spans="1:61" ht="17.25" hidden="1" customHeight="1" x14ac:dyDescent="0.3">
      <c r="A10" s="31"/>
      <c r="B10" s="61"/>
      <c r="C10" s="60" t="str">
        <f>IF(AND(J4=5,K4=1),Q9,IF(AND(J4=5,K4=2),R9,IF(AND(J4=5,K4=3),P9,"-")))</f>
        <v>-</v>
      </c>
      <c r="D10" s="57"/>
      <c r="E10" s="57"/>
      <c r="F10" s="57"/>
      <c r="G10" s="58"/>
      <c r="N10" s="21" t="s">
        <v>205</v>
      </c>
      <c r="O10" s="2">
        <v>2.21</v>
      </c>
      <c r="P10" s="2">
        <v>0</v>
      </c>
      <c r="Q10" s="2">
        <v>1.77</v>
      </c>
      <c r="R10" s="2">
        <f t="shared" ref="R10:R11" si="0">Q10</f>
        <v>1.77</v>
      </c>
      <c r="S10" s="2">
        <v>36</v>
      </c>
      <c r="T10" s="2">
        <v>3</v>
      </c>
      <c r="U10" s="9">
        <v>300000</v>
      </c>
    </row>
    <row r="11" spans="1:61" ht="17.25" hidden="1" customHeight="1" x14ac:dyDescent="0.3">
      <c r="A11" s="31"/>
      <c r="B11" s="61"/>
      <c r="C11" s="62">
        <f>IF(AND(J4=6,K4=1),Q10,IF(AND(J4=6,K4=2),R10,IF(AND(J4=6,K4=3),P10,"-")))</f>
        <v>1.77</v>
      </c>
      <c r="D11" s="57"/>
      <c r="E11" s="57"/>
      <c r="F11" s="57"/>
      <c r="G11" s="58"/>
      <c r="N11" s="21" t="s">
        <v>76</v>
      </c>
      <c r="O11" s="21">
        <v>2.06</v>
      </c>
      <c r="P11" s="21">
        <v>1.65</v>
      </c>
      <c r="Q11" s="21">
        <f>P11</f>
        <v>1.65</v>
      </c>
      <c r="R11" s="12">
        <f t="shared" si="0"/>
        <v>1.65</v>
      </c>
      <c r="S11" s="21">
        <v>36</v>
      </c>
      <c r="T11" s="21">
        <v>3</v>
      </c>
      <c r="U11" s="22">
        <v>21000</v>
      </c>
    </row>
    <row r="12" spans="1:61" ht="16.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</row>
    <row r="13" spans="1:61" ht="17.25" hidden="1" customHeight="1" x14ac:dyDescent="0.25">
      <c r="B13" s="21"/>
    </row>
    <row r="14" spans="1:61" ht="28.5" customHeight="1" x14ac:dyDescent="0.35">
      <c r="A14" s="237" t="s">
        <v>17</v>
      </c>
      <c r="B14" s="238"/>
      <c r="C14" s="238"/>
      <c r="D14" s="238"/>
      <c r="E14" s="238"/>
      <c r="F14" s="239"/>
      <c r="G14" s="2"/>
      <c r="H14" s="118"/>
      <c r="I14" s="199"/>
      <c r="J14" s="118"/>
      <c r="K14" s="118"/>
      <c r="L14" s="118"/>
      <c r="M14" s="118"/>
      <c r="BI14" s="2" t="s">
        <v>145</v>
      </c>
    </row>
    <row r="15" spans="1:61" ht="35.25" customHeight="1" x14ac:dyDescent="0.25">
      <c r="A15" s="34" t="s">
        <v>10</v>
      </c>
      <c r="B15" s="150">
        <v>60000</v>
      </c>
      <c r="C15" s="63" t="s">
        <v>49</v>
      </c>
      <c r="D15" s="152"/>
      <c r="E15" s="201">
        <f ca="1">AJ22</f>
        <v>-1.0961245385661122E-3</v>
      </c>
      <c r="F15" s="176">
        <f>IF(AA1=1,IF(B15&lt;=3000,50,IF(B15&lt;=21000,IF(B15*0.03&lt;=420,B15*1.015*0.03,420),IF(B15&lt;=100000,B15*0.02,2000+B15*0.005))),IF(B15*1.015&lt;=3000,50,IF(B15*1.015&lt;=21000,IF(B15*1.015*0.03&lt;=420,B15*1.015*0.03,420),IF(B15&lt;=100000,B15*1.015*0.02,2000+B15*1.015*0.005))))</f>
        <v>1217.9999999999998</v>
      </c>
      <c r="G15" s="200"/>
      <c r="H15"/>
      <c r="I15" s="90">
        <f>IF(B15&lt;=3000,50,IF(B15&lt;=21000,IF(B15*0.03&lt;=420,B15*0.03,420),IF(B15&lt;=100000,B15*0.02,2000+B15*0.005)))</f>
        <v>1200</v>
      </c>
      <c r="J15" s="2">
        <v>4</v>
      </c>
      <c r="K15"/>
      <c r="L15" s="7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61" ht="35.25" customHeight="1" x14ac:dyDescent="0.25">
      <c r="A16" s="35" t="s">
        <v>6</v>
      </c>
      <c r="B16" s="133">
        <v>6</v>
      </c>
      <c r="C16" s="64" t="s">
        <v>52</v>
      </c>
      <c r="D16" s="152">
        <v>5.0000000000000001E-3</v>
      </c>
      <c r="E16" s="51"/>
      <c r="F16" s="177">
        <f ca="1">IF(AB1=1,AF24,AF24*1.03)</f>
        <v>931.63499999999999</v>
      </c>
      <c r="G16" s="172"/>
      <c r="H16"/>
      <c r="I16">
        <f>IF(B15*0.03&lt;=420,B15*0.03,420)</f>
        <v>420</v>
      </c>
      <c r="J16" s="2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L16"/>
      <c r="AO16" s="2"/>
      <c r="AQ16" s="23"/>
    </row>
    <row r="17" spans="1:64" ht="35.25" customHeight="1" x14ac:dyDescent="0.25">
      <c r="A17" s="35" t="s">
        <v>22</v>
      </c>
      <c r="B17" s="133">
        <v>60</v>
      </c>
      <c r="C17" s="34" t="s">
        <v>11</v>
      </c>
      <c r="D17" s="147">
        <f ca="1">TODAY()</f>
        <v>46240</v>
      </c>
      <c r="E17" s="120"/>
      <c r="F17" s="198">
        <f>IF(J16=1,IF(J21=TRUE,M24,0),IF(J21=TRUE,M24*1.001,0))</f>
        <v>0</v>
      </c>
      <c r="G17" s="200"/>
      <c r="H17" s="185"/>
      <c r="I17"/>
      <c r="J17" s="2" t="s">
        <v>41</v>
      </c>
      <c r="K17"/>
      <c r="L17" t="b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L17" s="189" t="s">
        <v>187</v>
      </c>
      <c r="AM17" s="213" t="e">
        <f ca="1">SUM(AM18:AM19)</f>
        <v>#VALUE!</v>
      </c>
      <c r="AN17" s="92" t="s">
        <v>188</v>
      </c>
      <c r="AO17" s="92" t="s">
        <v>190</v>
      </c>
      <c r="AP17" s="2" t="s">
        <v>192</v>
      </c>
      <c r="AQ17" s="23" t="e">
        <f ca="1">AQ18-AQ19</f>
        <v>#VALUE!</v>
      </c>
      <c r="AR17" s="95" t="e">
        <f ca="1">AQ17/D22</f>
        <v>#VALUE!</v>
      </c>
    </row>
    <row r="18" spans="1:64" ht="23.25" customHeight="1" x14ac:dyDescent="0.25">
      <c r="A18" s="124" t="s">
        <v>65</v>
      </c>
      <c r="B18" s="124"/>
      <c r="C18" s="125"/>
      <c r="D18" s="125"/>
      <c r="E18" s="242"/>
      <c r="F18" s="243"/>
      <c r="H18"/>
      <c r="I18"/>
      <c r="J18" s="2" t="s">
        <v>42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L18" s="209" t="s">
        <v>37</v>
      </c>
      <c r="AM18" s="212">
        <f>F15</f>
        <v>1217.9999999999998</v>
      </c>
      <c r="AN18" s="2" t="s">
        <v>189</v>
      </c>
      <c r="AO18" s="23" t="e">
        <f ca="1">D22*0.014</f>
        <v>#VALUE!</v>
      </c>
      <c r="AP18" s="2" t="s">
        <v>193</v>
      </c>
      <c r="AQ18" s="23" t="e">
        <f ca="1">AM17</f>
        <v>#VALUE!</v>
      </c>
    </row>
    <row r="19" spans="1:64" ht="34.5" customHeight="1" x14ac:dyDescent="0.25">
      <c r="A19" s="34" t="s">
        <v>63</v>
      </c>
      <c r="B19" s="43">
        <f ca="1">IF(LARGE(F23:F241,1)*3&lt;2424,2424,LARGE(F23:F241,1)*3)</f>
        <v>4385.0020249999998</v>
      </c>
      <c r="C19" s="42" t="s">
        <v>64</v>
      </c>
      <c r="D19" s="43">
        <f>IF(J21=TRUE,(B15-F19)*1.5/0.7,B15*1.5/0.7)</f>
        <v>128571.42857142858</v>
      </c>
      <c r="E19" s="197">
        <v>0.8</v>
      </c>
      <c r="F19" s="165">
        <f>IF(J21=TRUE,E19*B15,0)</f>
        <v>0</v>
      </c>
      <c r="H19"/>
      <c r="I19"/>
      <c r="J19" t="s">
        <v>68</v>
      </c>
      <c r="K19"/>
      <c r="L19" s="2" t="b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L19" t="s">
        <v>14</v>
      </c>
      <c r="AM19" s="185" t="e">
        <f ca="1">C22</f>
        <v>#VALUE!</v>
      </c>
      <c r="AN19" s="92" t="s">
        <v>191</v>
      </c>
      <c r="AO19" s="26">
        <v>300</v>
      </c>
      <c r="AP19" s="2" t="s">
        <v>188</v>
      </c>
      <c r="AQ19" s="23" t="e">
        <f ca="1">AO20</f>
        <v>#VALUE!</v>
      </c>
    </row>
    <row r="20" spans="1:64" s="25" customFormat="1" ht="23.25" x14ac:dyDescent="0.25">
      <c r="A20" s="229" t="s">
        <v>31</v>
      </c>
      <c r="B20" s="230"/>
      <c r="C20" s="230"/>
      <c r="D20" s="230"/>
      <c r="E20" s="230"/>
      <c r="F20" s="231"/>
      <c r="G20" s="21"/>
      <c r="J20" s="25" t="s">
        <v>42</v>
      </c>
      <c r="AM20" s="26"/>
      <c r="AO20" s="214" t="e">
        <f ca="1">SUM(AO18:AO19)</f>
        <v>#VALUE!</v>
      </c>
      <c r="AQ20" s="26"/>
      <c r="AW20" s="26">
        <v>16681309.68</v>
      </c>
    </row>
    <row r="21" spans="1:64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56</v>
      </c>
      <c r="J21" s="118" t="b">
        <v>0</v>
      </c>
      <c r="K21" s="2" t="s">
        <v>177</v>
      </c>
      <c r="L21" s="2" t="s">
        <v>47</v>
      </c>
      <c r="M21" s="190">
        <f>B15*E19*0.001*B17</f>
        <v>2880</v>
      </c>
      <c r="AB21" s="232" t="s">
        <v>45</v>
      </c>
      <c r="AC21" s="232"/>
      <c r="AD21" s="232"/>
      <c r="AE21" s="232"/>
      <c r="AF21" s="232"/>
      <c r="AG21" s="232"/>
      <c r="AJ21" s="202" t="s">
        <v>179</v>
      </c>
      <c r="AK21" s="202" t="s">
        <v>180</v>
      </c>
      <c r="AW21" s="23">
        <v>8540394.5148313474</v>
      </c>
      <c r="AX21" s="140">
        <f>AW21*12</f>
        <v>102484734.17797616</v>
      </c>
    </row>
    <row r="22" spans="1:64" ht="18.75" x14ac:dyDescent="0.25">
      <c r="A22" s="235" t="s">
        <v>60</v>
      </c>
      <c r="B22" s="236"/>
      <c r="C22" s="169" t="e">
        <f ca="1">SUM(C23:C242)</f>
        <v>#VALUE!</v>
      </c>
      <c r="D22" s="169" t="e">
        <f ca="1">SUM(D23:D242)</f>
        <v>#VALUE!</v>
      </c>
      <c r="E22" s="234"/>
      <c r="F22" s="169">
        <f ca="1">SUM(F23:F242)</f>
        <v>58299.810387500009</v>
      </c>
      <c r="K22" s="2" t="s">
        <v>178</v>
      </c>
      <c r="L22" s="2" t="s">
        <v>164</v>
      </c>
      <c r="M22" s="190">
        <f ca="1">'Fator K - FGI'!I30</f>
        <v>3133.5950420168074</v>
      </c>
      <c r="AB22" s="232"/>
      <c r="AC22" s="232"/>
      <c r="AD22" s="232"/>
      <c r="AE22" s="232"/>
      <c r="AF22" s="232"/>
      <c r="AG22" s="232"/>
      <c r="AJ22" s="183">
        <f ca="1">IRR(AJ23:AJ107)</f>
        <v>-1.0961245385661122E-3</v>
      </c>
      <c r="AK22" s="183" t="e">
        <f ca="1">IRR(AK23:AK107)</f>
        <v>#VALUE!</v>
      </c>
      <c r="AW22" s="23">
        <v>86881821.25</v>
      </c>
      <c r="BL22" s="203">
        <f ca="1">F22-B15</f>
        <v>-1700.1896124999912</v>
      </c>
    </row>
    <row r="23" spans="1:64" x14ac:dyDescent="0.25">
      <c r="A23" s="68">
        <v>0</v>
      </c>
      <c r="B23" s="68"/>
      <c r="C23" s="166">
        <f>D16</f>
        <v>5.0000000000000001E-3</v>
      </c>
      <c r="D23" s="156"/>
      <c r="E23" s="162">
        <f ca="1">IF(AND(AA1=1,AB1=1,J16=1),B15,IF(AND(AA1=1,AB1=1,J16=2),B15+F17,IF(AND(AA1=1,AB1=2,J16=1),B15+F16,IF(AND(AA1=1,AB1=2,J16=3),B15+F16,IF(AND(AA1=2,AB1=1,J16=1),B15+F15,IF(AND(AA1=2,AB1=1,J16=2),B15+F15+F17,IF(AND(AA1=2,AB1=2,J16=2),B15+F17+F16+F15,IF(AND(AA1=2,AB1=2,J16=3),B15+F15+F16,IF(AND(AA1=2,AB1=2,J16=1),B15+F15+F16,IF(AND(AA1=1,AB1=2,J16=2),B15+F16+F17, IF(AND(AA1=1,AB1=1,J16=3),B15)))))))))))</f>
        <v>62149.635000000002</v>
      </c>
      <c r="F23" s="163"/>
      <c r="G23" s="67"/>
      <c r="K23" s="2" t="s">
        <v>177</v>
      </c>
      <c r="L23" s="2" t="s">
        <v>167</v>
      </c>
      <c r="M23" s="190">
        <f>B15*E19*0.001*B17</f>
        <v>2880</v>
      </c>
      <c r="AB23" s="232"/>
      <c r="AC23" s="232"/>
      <c r="AD23" s="232"/>
      <c r="AE23" s="232"/>
      <c r="AF23" s="232"/>
      <c r="AG23" s="232"/>
      <c r="AJ23" s="190">
        <f>-B15</f>
        <v>-60000</v>
      </c>
      <c r="AK23" s="190">
        <f>AJ23</f>
        <v>-60000</v>
      </c>
      <c r="AN23" s="23">
        <v>5881</v>
      </c>
      <c r="AO23" s="84">
        <f>AN23/AN24</f>
        <v>4.2164960279904788E-2</v>
      </c>
    </row>
    <row r="24" spans="1:64" x14ac:dyDescent="0.25">
      <c r="A24" s="68">
        <f t="shared" ref="A24:A65" si="1">IF(A23&lt;B$17,A23+1,"")</f>
        <v>1</v>
      </c>
      <c r="B24" s="68" t="str">
        <f t="shared" ref="B24:B65" si="2">IF(A24="","",IF(A24&lt;=B$16,"carência","amortização"))</f>
        <v>carência</v>
      </c>
      <c r="C24" s="156">
        <f ca="1">IF(B24="","",E23*$C$23)</f>
        <v>310.748175</v>
      </c>
      <c r="D24" s="156">
        <f ca="1">IF(C24="","",IF(A24&lt;=B$16,0,$E$23/(B$17-B$16)))</f>
        <v>0</v>
      </c>
      <c r="E24" s="162">
        <f t="shared" ref="E24:E77" ca="1" si="3">IF(F24="","",E23-D24)</f>
        <v>62149.635000000002</v>
      </c>
      <c r="F24" s="156">
        <f t="shared" ref="F24:F71" ca="1" si="4">IF(D24="","",D24+C24)</f>
        <v>310.748175</v>
      </c>
      <c r="G24" s="67"/>
      <c r="I24" s="190">
        <f ca="1">B15+F15+F16+F17</f>
        <v>62149.635000000002</v>
      </c>
      <c r="L24" s="2">
        <v>1</v>
      </c>
      <c r="M24" s="23">
        <f>IF(L24=1,M21,IF(L24=2,M22,M23))</f>
        <v>2880</v>
      </c>
      <c r="AB24" s="2" t="s">
        <v>38</v>
      </c>
      <c r="AC24" s="6">
        <v>3.8E-3</v>
      </c>
      <c r="AE24" s="13">
        <f>AC27*AC24</f>
        <v>228</v>
      </c>
      <c r="AF24" s="13">
        <f ca="1">IF(L19=FALSE,0,IF(AND(AH25=TRUE,B15&lt;=30000),AE24+AE26,AE24+AE25))</f>
        <v>904.5</v>
      </c>
      <c r="AJ24" s="190">
        <f ca="1">IF(A24&lt;=$B$17,F24,0)</f>
        <v>310.748175</v>
      </c>
      <c r="AK24" s="190">
        <f ca="1">IF(A24&lt;=$B$17,E23*$D$15+D24,0)</f>
        <v>0</v>
      </c>
      <c r="AN24" s="23">
        <v>139476</v>
      </c>
      <c r="AW24" s="216">
        <f ca="1">SUM(E23:E34)</f>
        <v>728531.83250000002</v>
      </c>
    </row>
    <row r="25" spans="1:64" x14ac:dyDescent="0.25">
      <c r="A25" s="68">
        <f t="shared" si="1"/>
        <v>2</v>
      </c>
      <c r="B25" s="68" t="str">
        <f t="shared" si="2"/>
        <v>carência</v>
      </c>
      <c r="C25" s="156">
        <f ca="1">IF(B25="","",E24*$C$23)</f>
        <v>310.748175</v>
      </c>
      <c r="D25" s="156">
        <f t="shared" ref="D25:D78" ca="1" si="5">IF(C25="","",IF(A25&lt;=B$16,0,$E$23/(B$17-B$16)))</f>
        <v>0</v>
      </c>
      <c r="E25" s="162">
        <f t="shared" ca="1" si="3"/>
        <v>62149.635000000002</v>
      </c>
      <c r="F25" s="156">
        <f t="shared" ca="1" si="4"/>
        <v>310.748175</v>
      </c>
      <c r="G25" s="67"/>
      <c r="AA25" s="3"/>
      <c r="AB25" s="2" t="s">
        <v>46</v>
      </c>
      <c r="AC25" s="6">
        <v>4.1E-5</v>
      </c>
      <c r="AE25" s="5">
        <f ca="1">SUM(AG30:AG83)</f>
        <v>676.5</v>
      </c>
      <c r="AG25" s="13"/>
      <c r="AH25" s="14" t="b">
        <v>1</v>
      </c>
      <c r="AJ25" s="190">
        <f t="shared" ref="AJ25:AJ88" ca="1" si="6">IF(A25&lt;=$B$17,F25,0)</f>
        <v>310.748175</v>
      </c>
      <c r="AK25" s="190">
        <f t="shared" ref="AK25:AK88" ca="1" si="7">IF(A25&lt;=$B$17,E24*$D$15+D25,0)</f>
        <v>0</v>
      </c>
    </row>
    <row r="26" spans="1:64" x14ac:dyDescent="0.25">
      <c r="A26" s="68">
        <f t="shared" si="1"/>
        <v>3</v>
      </c>
      <c r="B26" s="68" t="str">
        <f t="shared" si="2"/>
        <v>carência</v>
      </c>
      <c r="C26" s="156">
        <f t="shared" ref="C26:C65" ca="1" si="8">IF(B26="","",E25*$C$23)</f>
        <v>310.748175</v>
      </c>
      <c r="D26" s="156">
        <f t="shared" ca="1" si="5"/>
        <v>0</v>
      </c>
      <c r="E26" s="162">
        <f t="shared" ca="1" si="3"/>
        <v>62149.635000000002</v>
      </c>
      <c r="F26" s="156">
        <f t="shared" ca="1" si="4"/>
        <v>310.748175</v>
      </c>
      <c r="G26" s="67"/>
      <c r="AB26" s="2" t="s">
        <v>51</v>
      </c>
      <c r="AC26" s="24">
        <f>0.00137/100</f>
        <v>1.3699999999999999E-5</v>
      </c>
      <c r="AE26" s="5">
        <f ca="1">SUM(AH30:AH308)</f>
        <v>226.04999999999987</v>
      </c>
      <c r="AJ26" s="190">
        <f t="shared" ca="1" si="6"/>
        <v>310.748175</v>
      </c>
      <c r="AK26" s="190">
        <f t="shared" ca="1" si="7"/>
        <v>0</v>
      </c>
      <c r="AW26" s="190">
        <f ca="1">SUM(C24:C35)</f>
        <v>3642.6591625000001</v>
      </c>
    </row>
    <row r="27" spans="1:64" x14ac:dyDescent="0.25">
      <c r="A27" s="68">
        <f t="shared" si="1"/>
        <v>4</v>
      </c>
      <c r="B27" s="68" t="str">
        <f t="shared" si="2"/>
        <v>carência</v>
      </c>
      <c r="C27" s="156">
        <f t="shared" ca="1" si="8"/>
        <v>310.748175</v>
      </c>
      <c r="D27" s="156">
        <f t="shared" ca="1" si="5"/>
        <v>0</v>
      </c>
      <c r="E27" s="162">
        <f t="shared" ca="1" si="3"/>
        <v>62149.635000000002</v>
      </c>
      <c r="F27" s="156">
        <f t="shared" ca="1" si="4"/>
        <v>310.748175</v>
      </c>
      <c r="G27" s="67"/>
      <c r="AB27" s="2" t="s">
        <v>16</v>
      </c>
      <c r="AC27" s="5">
        <f>B15</f>
        <v>60000</v>
      </c>
      <c r="AG27" s="5"/>
      <c r="AJ27" s="190">
        <f t="shared" ca="1" si="6"/>
        <v>310.748175</v>
      </c>
      <c r="AK27" s="190">
        <f t="shared" ca="1" si="7"/>
        <v>0</v>
      </c>
    </row>
    <row r="28" spans="1:64" x14ac:dyDescent="0.25">
      <c r="A28" s="68">
        <f t="shared" si="1"/>
        <v>5</v>
      </c>
      <c r="B28" s="68" t="str">
        <f t="shared" si="2"/>
        <v>carência</v>
      </c>
      <c r="C28" s="156">
        <f t="shared" ca="1" si="8"/>
        <v>310.748175</v>
      </c>
      <c r="D28" s="156">
        <f t="shared" ca="1" si="5"/>
        <v>0</v>
      </c>
      <c r="E28" s="162">
        <f t="shared" ca="1" si="3"/>
        <v>62149.635000000002</v>
      </c>
      <c r="F28" s="156">
        <f t="shared" ca="1" si="4"/>
        <v>310.748175</v>
      </c>
      <c r="G28" s="67"/>
      <c r="AG28" s="2" t="s">
        <v>53</v>
      </c>
      <c r="AH28" s="2" t="s">
        <v>54</v>
      </c>
      <c r="AJ28" s="190">
        <f t="shared" ca="1" si="6"/>
        <v>310.748175</v>
      </c>
      <c r="AK28" s="190">
        <f t="shared" ca="1" si="7"/>
        <v>0</v>
      </c>
    </row>
    <row r="29" spans="1:64" x14ac:dyDescent="0.25">
      <c r="A29" s="68">
        <f t="shared" si="1"/>
        <v>6</v>
      </c>
      <c r="B29" s="68" t="str">
        <f t="shared" si="2"/>
        <v>carência</v>
      </c>
      <c r="C29" s="156">
        <f t="shared" ca="1" si="8"/>
        <v>310.748175</v>
      </c>
      <c r="D29" s="156">
        <f t="shared" ca="1" si="5"/>
        <v>0</v>
      </c>
      <c r="E29" s="162">
        <f t="shared" ca="1" si="3"/>
        <v>62149.635000000002</v>
      </c>
      <c r="F29" s="156">
        <f t="shared" ca="1" si="4"/>
        <v>310.748175</v>
      </c>
      <c r="G29" s="67"/>
      <c r="AA29" s="2">
        <v>0</v>
      </c>
      <c r="AB29" s="8">
        <f ca="1">D17</f>
        <v>46240</v>
      </c>
      <c r="AC29" s="9">
        <f ca="1">IF(AB29="","",AC27)</f>
        <v>60000</v>
      </c>
      <c r="AD29" s="9">
        <f>IF(AA29="","",IF(AA29&lt;=B$16,0,B$15/(B$17-B$16)))</f>
        <v>0</v>
      </c>
      <c r="AJ29" s="190">
        <f t="shared" ca="1" si="6"/>
        <v>310.748175</v>
      </c>
      <c r="AK29" s="190">
        <f t="shared" ca="1" si="7"/>
        <v>0</v>
      </c>
      <c r="AW29" s="190">
        <f ca="1">E23</f>
        <v>62149.635000000002</v>
      </c>
    </row>
    <row r="30" spans="1:64" x14ac:dyDescent="0.25">
      <c r="A30" s="68">
        <f t="shared" si="1"/>
        <v>7</v>
      </c>
      <c r="B30" s="68" t="str">
        <f t="shared" si="2"/>
        <v>amortização</v>
      </c>
      <c r="C30" s="156">
        <f t="shared" ca="1" si="8"/>
        <v>310.748175</v>
      </c>
      <c r="D30" s="156">
        <f t="shared" ca="1" si="5"/>
        <v>1150.9191666666668</v>
      </c>
      <c r="E30" s="162">
        <f t="shared" ca="1" si="3"/>
        <v>60998.715833333335</v>
      </c>
      <c r="F30" s="156">
        <f t="shared" ca="1" si="4"/>
        <v>1461.6673416666667</v>
      </c>
      <c r="G30" s="67"/>
      <c r="AA30" s="2">
        <f>IF(AA29&lt;B$17,AA29+1,"")</f>
        <v>1</v>
      </c>
      <c r="AB30" s="8">
        <f ca="1">IF(AA30="","",AB29+30)</f>
        <v>46270</v>
      </c>
      <c r="AC30" s="9">
        <f ca="1">IF(AB30="","",IF(AA30&lt;=B$16,AC29,AC29-AD30))</f>
        <v>60000</v>
      </c>
      <c r="AD30" s="9">
        <f t="shared" ref="AD30:AD93" si="9">IF(AA30="","",IF(AA30&lt;=B$16,0,B$15/(B$17-B$16)))</f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J30" s="190">
        <f t="shared" ca="1" si="6"/>
        <v>1461.6673416666667</v>
      </c>
      <c r="AK30" s="190">
        <f t="shared" ca="1" si="7"/>
        <v>1150.9191666666668</v>
      </c>
      <c r="AW30" s="190">
        <f ca="1">AW29*0.016</f>
        <v>994.39416000000006</v>
      </c>
    </row>
    <row r="31" spans="1:64" x14ac:dyDescent="0.25">
      <c r="A31" s="68">
        <f t="shared" si="1"/>
        <v>8</v>
      </c>
      <c r="B31" s="68" t="str">
        <f t="shared" si="2"/>
        <v>amortização</v>
      </c>
      <c r="C31" s="156">
        <f t="shared" ca="1" si="8"/>
        <v>304.99357916666668</v>
      </c>
      <c r="D31" s="156">
        <f t="shared" ca="1" si="5"/>
        <v>1150.9191666666668</v>
      </c>
      <c r="E31" s="162">
        <f t="shared" ca="1" si="3"/>
        <v>59847.796666666669</v>
      </c>
      <c r="F31" s="156">
        <f t="shared" ca="1" si="4"/>
        <v>1455.9127458333335</v>
      </c>
      <c r="G31" s="67"/>
      <c r="AA31" s="2">
        <f t="shared" ref="AA31:AA94" si="10">IF(AA30&lt;B$17,AA30+1,"")</f>
        <v>2</v>
      </c>
      <c r="AB31" s="8">
        <f t="shared" ref="AB31:AB77" ca="1" si="11">IF(AA31="","",AB30+30)</f>
        <v>46300</v>
      </c>
      <c r="AC31" s="9">
        <f t="shared" ref="AC31:AC94" ca="1" si="12">IF(AB31="","",IF(AA31&lt;=B$16,AC30,AC30-AD31))</f>
        <v>60000</v>
      </c>
      <c r="AD31" s="9">
        <f t="shared" si="9"/>
        <v>0</v>
      </c>
      <c r="AE31" s="2">
        <f t="shared" ref="AE31:AE77" ca="1" si="13">IF(AD31="","",AB31-AB30)</f>
        <v>30</v>
      </c>
      <c r="AF31" s="2">
        <f t="shared" ref="AF31:AF94" ca="1" si="14">IF(AE31="","",AB31-AB$29)</f>
        <v>60</v>
      </c>
      <c r="AG31" s="9">
        <f t="shared" ref="AG31:AG94" ca="1" si="15">IF(AF31="","",IF(AF31&lt;365,AF31*AC$25*AD31,365*AD31*AC$25))</f>
        <v>0</v>
      </c>
      <c r="AH31" s="9">
        <f t="shared" ref="AH31:AH94" ca="1" si="16">IF(AF31="","",IF(AF31&lt;365,AF31*AC$26*AD31,365*AD31*AC$26))</f>
        <v>0</v>
      </c>
      <c r="AJ31" s="190">
        <f t="shared" ca="1" si="6"/>
        <v>1455.9127458333335</v>
      </c>
      <c r="AK31" s="190">
        <f t="shared" ca="1" si="7"/>
        <v>1150.9191666666668</v>
      </c>
    </row>
    <row r="32" spans="1:64" x14ac:dyDescent="0.25">
      <c r="A32" s="68">
        <f t="shared" si="1"/>
        <v>9</v>
      </c>
      <c r="B32" s="68" t="str">
        <f t="shared" si="2"/>
        <v>amortização</v>
      </c>
      <c r="C32" s="156">
        <f t="shared" ca="1" si="8"/>
        <v>299.23898333333335</v>
      </c>
      <c r="D32" s="156">
        <f t="shared" ca="1" si="5"/>
        <v>1150.9191666666668</v>
      </c>
      <c r="E32" s="162">
        <f t="shared" ca="1" si="3"/>
        <v>58696.877500000002</v>
      </c>
      <c r="F32" s="156">
        <f t="shared" ca="1" si="4"/>
        <v>1450.1581500000002</v>
      </c>
      <c r="G32" s="67"/>
      <c r="AA32" s="2">
        <f t="shared" si="10"/>
        <v>3</v>
      </c>
      <c r="AB32" s="8">
        <f t="shared" ca="1" si="11"/>
        <v>46330</v>
      </c>
      <c r="AC32" s="9">
        <f t="shared" ca="1" si="12"/>
        <v>60000</v>
      </c>
      <c r="AD32" s="9">
        <f t="shared" si="9"/>
        <v>0</v>
      </c>
      <c r="AE32" s="2">
        <f t="shared" ca="1" si="13"/>
        <v>30</v>
      </c>
      <c r="AF32" s="2">
        <f t="shared" ca="1" si="14"/>
        <v>90</v>
      </c>
      <c r="AG32" s="9">
        <f t="shared" ca="1" si="15"/>
        <v>0</v>
      </c>
      <c r="AH32" s="9">
        <f t="shared" ca="1" si="16"/>
        <v>0</v>
      </c>
      <c r="AJ32" s="190">
        <f t="shared" ca="1" si="6"/>
        <v>1450.1581500000002</v>
      </c>
      <c r="AK32" s="190">
        <f t="shared" ca="1" si="7"/>
        <v>1150.9191666666668</v>
      </c>
      <c r="AV32" s="217"/>
      <c r="AW32" s="220" t="s">
        <v>200</v>
      </c>
      <c r="AX32" s="217" t="s">
        <v>201</v>
      </c>
    </row>
    <row r="33" spans="1:51" x14ac:dyDescent="0.25">
      <c r="A33" s="68">
        <f t="shared" si="1"/>
        <v>10</v>
      </c>
      <c r="B33" s="68" t="str">
        <f t="shared" si="2"/>
        <v>amortização</v>
      </c>
      <c r="C33" s="156">
        <f t="shared" ca="1" si="8"/>
        <v>293.48438750000003</v>
      </c>
      <c r="D33" s="156">
        <f t="shared" ca="1" si="5"/>
        <v>1150.9191666666668</v>
      </c>
      <c r="E33" s="162">
        <f t="shared" ca="1" si="3"/>
        <v>57545.958333333336</v>
      </c>
      <c r="F33" s="156">
        <f t="shared" ca="1" si="4"/>
        <v>1444.4035541666667</v>
      </c>
      <c r="G33" s="67"/>
      <c r="AA33" s="2">
        <f t="shared" si="10"/>
        <v>4</v>
      </c>
      <c r="AB33" s="8">
        <f t="shared" ca="1" si="11"/>
        <v>46360</v>
      </c>
      <c r="AC33" s="9">
        <f t="shared" ca="1" si="12"/>
        <v>60000</v>
      </c>
      <c r="AD33" s="9">
        <f t="shared" si="9"/>
        <v>0</v>
      </c>
      <c r="AE33" s="2">
        <f t="shared" ca="1" si="13"/>
        <v>30</v>
      </c>
      <c r="AF33" s="2">
        <f t="shared" ca="1" si="14"/>
        <v>120</v>
      </c>
      <c r="AG33" s="9">
        <f t="shared" ca="1" si="15"/>
        <v>0</v>
      </c>
      <c r="AH33" s="9">
        <f t="shared" ca="1" si="16"/>
        <v>0</v>
      </c>
      <c r="AJ33" s="190">
        <f t="shared" ca="1" si="6"/>
        <v>1444.4035541666667</v>
      </c>
      <c r="AK33" s="190">
        <f t="shared" ca="1" si="7"/>
        <v>1150.9191666666668</v>
      </c>
      <c r="AV33" s="217" t="s">
        <v>169</v>
      </c>
      <c r="AW33" s="221">
        <v>100000</v>
      </c>
      <c r="AX33" s="221">
        <v>100000</v>
      </c>
    </row>
    <row r="34" spans="1:51" x14ac:dyDescent="0.25">
      <c r="A34" s="68">
        <f t="shared" si="1"/>
        <v>11</v>
      </c>
      <c r="B34" s="68" t="str">
        <f t="shared" si="2"/>
        <v>amortização</v>
      </c>
      <c r="C34" s="156">
        <f t="shared" ca="1" si="8"/>
        <v>287.7297916666667</v>
      </c>
      <c r="D34" s="156">
        <f t="shared" ca="1" si="5"/>
        <v>1150.9191666666668</v>
      </c>
      <c r="E34" s="162">
        <f t="shared" ca="1" si="3"/>
        <v>56395.039166666669</v>
      </c>
      <c r="F34" s="156">
        <f t="shared" ca="1" si="4"/>
        <v>1438.6489583333334</v>
      </c>
      <c r="G34" s="67"/>
      <c r="AA34" s="2">
        <f t="shared" si="10"/>
        <v>5</v>
      </c>
      <c r="AB34" s="8">
        <f t="shared" ca="1" si="11"/>
        <v>46390</v>
      </c>
      <c r="AC34" s="9">
        <f t="shared" ca="1" si="12"/>
        <v>60000</v>
      </c>
      <c r="AD34" s="9">
        <f t="shared" si="9"/>
        <v>0</v>
      </c>
      <c r="AE34" s="2">
        <f t="shared" ca="1" si="13"/>
        <v>30</v>
      </c>
      <c r="AF34" s="2">
        <f t="shared" ca="1" si="14"/>
        <v>150</v>
      </c>
      <c r="AG34" s="9">
        <f t="shared" ca="1" si="15"/>
        <v>0</v>
      </c>
      <c r="AH34" s="9">
        <f t="shared" ca="1" si="16"/>
        <v>0</v>
      </c>
      <c r="AJ34" s="190">
        <f t="shared" ca="1" si="6"/>
        <v>1438.6489583333334</v>
      </c>
      <c r="AK34" s="190">
        <f t="shared" ca="1" si="7"/>
        <v>1150.9191666666668</v>
      </c>
      <c r="AV34" s="217" t="s">
        <v>168</v>
      </c>
      <c r="AW34" s="217">
        <v>36</v>
      </c>
      <c r="AX34" s="217">
        <v>48</v>
      </c>
    </row>
    <row r="35" spans="1:51" x14ac:dyDescent="0.25">
      <c r="A35" s="68">
        <f t="shared" si="1"/>
        <v>12</v>
      </c>
      <c r="B35" s="68" t="str">
        <f t="shared" si="2"/>
        <v>amortização</v>
      </c>
      <c r="C35" s="156">
        <f t="shared" ca="1" si="8"/>
        <v>281.97519583333337</v>
      </c>
      <c r="D35" s="156">
        <f t="shared" ca="1" si="5"/>
        <v>1150.9191666666668</v>
      </c>
      <c r="E35" s="162">
        <f t="shared" ca="1" si="3"/>
        <v>55244.12</v>
      </c>
      <c r="F35" s="156">
        <f t="shared" ca="1" si="4"/>
        <v>1432.8943625000002</v>
      </c>
      <c r="G35" s="67"/>
      <c r="AA35" s="2">
        <f t="shared" si="10"/>
        <v>6</v>
      </c>
      <c r="AB35" s="8">
        <f t="shared" ca="1" si="11"/>
        <v>46420</v>
      </c>
      <c r="AC35" s="9">
        <f t="shared" ca="1" si="12"/>
        <v>60000</v>
      </c>
      <c r="AD35" s="9">
        <f t="shared" si="9"/>
        <v>0</v>
      </c>
      <c r="AE35" s="2">
        <f t="shared" ca="1" si="13"/>
        <v>30</v>
      </c>
      <c r="AF35" s="2">
        <f t="shared" ca="1" si="14"/>
        <v>180</v>
      </c>
      <c r="AG35" s="9">
        <f t="shared" ca="1" si="15"/>
        <v>0</v>
      </c>
      <c r="AH35" s="9">
        <f t="shared" ca="1" si="16"/>
        <v>0</v>
      </c>
      <c r="AJ35" s="190">
        <f t="shared" ca="1" si="6"/>
        <v>1432.8943625000002</v>
      </c>
      <c r="AK35" s="190">
        <f t="shared" ca="1" si="7"/>
        <v>1150.9191666666668</v>
      </c>
      <c r="AV35" s="217" t="s">
        <v>202</v>
      </c>
      <c r="AW35" s="217">
        <v>6</v>
      </c>
      <c r="AX35" s="217">
        <v>6</v>
      </c>
    </row>
    <row r="36" spans="1:51" x14ac:dyDescent="0.25">
      <c r="A36" s="68">
        <f t="shared" si="1"/>
        <v>13</v>
      </c>
      <c r="B36" s="68" t="str">
        <f t="shared" si="2"/>
        <v>amortização</v>
      </c>
      <c r="C36" s="156">
        <f t="shared" ca="1" si="8"/>
        <v>276.22060000000005</v>
      </c>
      <c r="D36" s="156">
        <f t="shared" ca="1" si="5"/>
        <v>1150.9191666666668</v>
      </c>
      <c r="E36" s="162">
        <f t="shared" ca="1" si="3"/>
        <v>54093.200833333336</v>
      </c>
      <c r="F36" s="156">
        <f t="shared" ca="1" si="4"/>
        <v>1427.1397666666669</v>
      </c>
      <c r="G36" s="67"/>
      <c r="AA36" s="2">
        <f t="shared" si="10"/>
        <v>7</v>
      </c>
      <c r="AB36" s="8">
        <f t="shared" ca="1" si="11"/>
        <v>46450</v>
      </c>
      <c r="AC36" s="9">
        <f t="shared" ca="1" si="12"/>
        <v>58888.888888888891</v>
      </c>
      <c r="AD36" s="9">
        <f t="shared" si="9"/>
        <v>1111.1111111111111</v>
      </c>
      <c r="AE36" s="2">
        <f t="shared" ca="1" si="13"/>
        <v>30</v>
      </c>
      <c r="AF36" s="2">
        <f t="shared" ca="1" si="14"/>
        <v>210</v>
      </c>
      <c r="AG36" s="9">
        <f t="shared" ca="1" si="15"/>
        <v>9.5666666666666664</v>
      </c>
      <c r="AH36" s="9">
        <f t="shared" ca="1" si="16"/>
        <v>3.1966666666666663</v>
      </c>
      <c r="AJ36" s="190">
        <f t="shared" ca="1" si="6"/>
        <v>1427.1397666666669</v>
      </c>
      <c r="AK36" s="190">
        <f t="shared" ca="1" si="7"/>
        <v>1150.9191666666668</v>
      </c>
      <c r="AV36" s="217" t="s">
        <v>203</v>
      </c>
      <c r="AW36" s="222">
        <v>1.55E-2</v>
      </c>
      <c r="AX36" s="222">
        <f>(1.05)^(1/12)-1</f>
        <v>4.0741237836483535E-3</v>
      </c>
      <c r="AY36" s="207"/>
    </row>
    <row r="37" spans="1:51" x14ac:dyDescent="0.25">
      <c r="A37" s="68">
        <f t="shared" si="1"/>
        <v>14</v>
      </c>
      <c r="B37" s="68" t="str">
        <f t="shared" si="2"/>
        <v>amortização</v>
      </c>
      <c r="C37" s="156">
        <f t="shared" ca="1" si="8"/>
        <v>270.46600416666666</v>
      </c>
      <c r="D37" s="156">
        <f t="shared" ca="1" si="5"/>
        <v>1150.9191666666668</v>
      </c>
      <c r="E37" s="162">
        <f t="shared" ca="1" si="3"/>
        <v>52942.281666666669</v>
      </c>
      <c r="F37" s="156">
        <f t="shared" ca="1" si="4"/>
        <v>1421.3851708333334</v>
      </c>
      <c r="G37" s="67"/>
      <c r="AA37" s="2">
        <f t="shared" si="10"/>
        <v>8</v>
      </c>
      <c r="AB37" s="8">
        <f t="shared" ca="1" si="11"/>
        <v>46480</v>
      </c>
      <c r="AC37" s="9">
        <f t="shared" ca="1" si="12"/>
        <v>57777.777777777781</v>
      </c>
      <c r="AD37" s="9">
        <f t="shared" si="9"/>
        <v>1111.1111111111111</v>
      </c>
      <c r="AE37" s="2">
        <f t="shared" ca="1" si="13"/>
        <v>30</v>
      </c>
      <c r="AF37" s="2">
        <f t="shared" ca="1" si="14"/>
        <v>240</v>
      </c>
      <c r="AG37" s="9">
        <f t="shared" ca="1" si="15"/>
        <v>10.933333333333334</v>
      </c>
      <c r="AH37" s="9">
        <f t="shared" ca="1" si="16"/>
        <v>3.6533333333333329</v>
      </c>
      <c r="AJ37" s="190">
        <f t="shared" ca="1" si="6"/>
        <v>1421.3851708333334</v>
      </c>
      <c r="AK37" s="190">
        <f t="shared" ca="1" si="7"/>
        <v>1150.9191666666668</v>
      </c>
      <c r="AV37" s="223" t="s">
        <v>199</v>
      </c>
      <c r="AW37" s="218">
        <v>18519.324212749998</v>
      </c>
      <c r="AX37" s="218">
        <v>5090.8380027953126</v>
      </c>
      <c r="AY37" s="207">
        <f>AW37/AX37-1</f>
        <v>2.6377751958678077</v>
      </c>
    </row>
    <row r="38" spans="1:51" x14ac:dyDescent="0.25">
      <c r="A38" s="68">
        <f t="shared" si="1"/>
        <v>15</v>
      </c>
      <c r="B38" s="68" t="str">
        <f t="shared" si="2"/>
        <v>amortização</v>
      </c>
      <c r="C38" s="156">
        <f t="shared" ca="1" si="8"/>
        <v>264.71140833333334</v>
      </c>
      <c r="D38" s="156">
        <f t="shared" ca="1" si="5"/>
        <v>1150.9191666666668</v>
      </c>
      <c r="E38" s="162">
        <f t="shared" ca="1" si="3"/>
        <v>51791.362500000003</v>
      </c>
      <c r="F38" s="156">
        <f t="shared" ca="1" si="4"/>
        <v>1415.6305750000001</v>
      </c>
      <c r="G38" s="67"/>
      <c r="AA38" s="2">
        <f t="shared" si="10"/>
        <v>9</v>
      </c>
      <c r="AB38" s="8">
        <f t="shared" ca="1" si="11"/>
        <v>46510</v>
      </c>
      <c r="AC38" s="9">
        <f t="shared" ca="1" si="12"/>
        <v>56666.666666666672</v>
      </c>
      <c r="AD38" s="9">
        <f t="shared" si="9"/>
        <v>1111.1111111111111</v>
      </c>
      <c r="AE38" s="2">
        <f t="shared" ca="1" si="13"/>
        <v>30</v>
      </c>
      <c r="AF38" s="2">
        <f t="shared" ca="1" si="14"/>
        <v>270</v>
      </c>
      <c r="AG38" s="9">
        <f t="shared" ca="1" si="15"/>
        <v>12.299999999999999</v>
      </c>
      <c r="AH38" s="9">
        <f t="shared" ca="1" si="16"/>
        <v>4.1099999999999994</v>
      </c>
      <c r="AJ38" s="190">
        <f t="shared" ca="1" si="6"/>
        <v>1415.6305750000001</v>
      </c>
      <c r="AK38" s="190">
        <f t="shared" ca="1" si="7"/>
        <v>1150.9191666666668</v>
      </c>
      <c r="AV38" s="217" t="s">
        <v>204</v>
      </c>
      <c r="AW38" s="219">
        <f>AW37/AW33</f>
        <v>0.18519324212749999</v>
      </c>
      <c r="AX38" s="219">
        <f>AX37/AX33</f>
        <v>5.0908380027953129E-2</v>
      </c>
      <c r="AY38" s="207">
        <f>AW38/AX38-1</f>
        <v>2.6377751958678077</v>
      </c>
    </row>
    <row r="39" spans="1:51" x14ac:dyDescent="0.25">
      <c r="A39" s="68">
        <f t="shared" si="1"/>
        <v>16</v>
      </c>
      <c r="B39" s="68" t="str">
        <f t="shared" si="2"/>
        <v>amortização</v>
      </c>
      <c r="C39" s="156">
        <f t="shared" ca="1" si="8"/>
        <v>258.95681250000001</v>
      </c>
      <c r="D39" s="156">
        <f t="shared" ca="1" si="5"/>
        <v>1150.9191666666668</v>
      </c>
      <c r="E39" s="162">
        <f t="shared" ca="1" si="3"/>
        <v>50640.443333333336</v>
      </c>
      <c r="F39" s="156">
        <f t="shared" ca="1" si="4"/>
        <v>1409.8759791666669</v>
      </c>
      <c r="G39" s="67"/>
      <c r="AA39" s="2">
        <f t="shared" si="10"/>
        <v>10</v>
      </c>
      <c r="AB39" s="8">
        <f t="shared" ca="1" si="11"/>
        <v>46540</v>
      </c>
      <c r="AC39" s="9">
        <f t="shared" ca="1" si="12"/>
        <v>55555.555555555562</v>
      </c>
      <c r="AD39" s="9">
        <f t="shared" si="9"/>
        <v>1111.1111111111111</v>
      </c>
      <c r="AE39" s="2">
        <f t="shared" ca="1" si="13"/>
        <v>30</v>
      </c>
      <c r="AF39" s="2">
        <f t="shared" ca="1" si="14"/>
        <v>300</v>
      </c>
      <c r="AG39" s="9">
        <f t="shared" ca="1" si="15"/>
        <v>13.666666666666666</v>
      </c>
      <c r="AH39" s="9">
        <f t="shared" ca="1" si="16"/>
        <v>4.5666666666666664</v>
      </c>
      <c r="AJ39" s="190">
        <f t="shared" ca="1" si="6"/>
        <v>1409.8759791666669</v>
      </c>
      <c r="AK39" s="190">
        <f t="shared" ca="1" si="7"/>
        <v>1150.9191666666668</v>
      </c>
    </row>
    <row r="40" spans="1:51" x14ac:dyDescent="0.25">
      <c r="A40" s="68">
        <f t="shared" si="1"/>
        <v>17</v>
      </c>
      <c r="B40" s="68" t="str">
        <f t="shared" si="2"/>
        <v>amortização</v>
      </c>
      <c r="C40" s="156">
        <f t="shared" ca="1" si="8"/>
        <v>253.20221666666669</v>
      </c>
      <c r="D40" s="156">
        <f t="shared" ca="1" si="5"/>
        <v>1150.9191666666668</v>
      </c>
      <c r="E40" s="162">
        <f t="shared" ca="1" si="3"/>
        <v>49489.52416666667</v>
      </c>
      <c r="F40" s="156">
        <f t="shared" ca="1" si="4"/>
        <v>1404.1213833333336</v>
      </c>
      <c r="G40" s="67"/>
      <c r="AA40" s="2">
        <f t="shared" si="10"/>
        <v>11</v>
      </c>
      <c r="AB40" s="8">
        <f t="shared" ca="1" si="11"/>
        <v>46570</v>
      </c>
      <c r="AC40" s="9">
        <f t="shared" ca="1" si="12"/>
        <v>54444.444444444453</v>
      </c>
      <c r="AD40" s="9">
        <f t="shared" si="9"/>
        <v>1111.1111111111111</v>
      </c>
      <c r="AE40" s="2">
        <f t="shared" ca="1" si="13"/>
        <v>30</v>
      </c>
      <c r="AF40" s="2">
        <f t="shared" ca="1" si="14"/>
        <v>330</v>
      </c>
      <c r="AG40" s="9">
        <f t="shared" ca="1" si="15"/>
        <v>15.033333333333333</v>
      </c>
      <c r="AH40" s="9">
        <f t="shared" ca="1" si="16"/>
        <v>5.0233333333333334</v>
      </c>
      <c r="AJ40" s="190">
        <f t="shared" ca="1" si="6"/>
        <v>1404.1213833333336</v>
      </c>
      <c r="AK40" s="190">
        <f t="shared" ca="1" si="7"/>
        <v>1150.9191666666668</v>
      </c>
    </row>
    <row r="41" spans="1:51" x14ac:dyDescent="0.25">
      <c r="A41" s="68">
        <f t="shared" si="1"/>
        <v>18</v>
      </c>
      <c r="B41" s="68" t="str">
        <f t="shared" si="2"/>
        <v>amortização</v>
      </c>
      <c r="C41" s="156">
        <f t="shared" ca="1" si="8"/>
        <v>247.44762083333336</v>
      </c>
      <c r="D41" s="156">
        <f t="shared" ca="1" si="5"/>
        <v>1150.9191666666668</v>
      </c>
      <c r="E41" s="162">
        <f t="shared" ca="1" si="3"/>
        <v>48338.605000000003</v>
      </c>
      <c r="F41" s="156">
        <f t="shared" ca="1" si="4"/>
        <v>1398.3667875000001</v>
      </c>
      <c r="G41" s="67"/>
      <c r="AA41" s="2">
        <f t="shared" si="10"/>
        <v>12</v>
      </c>
      <c r="AB41" s="8">
        <f t="shared" ca="1" si="11"/>
        <v>46600</v>
      </c>
      <c r="AC41" s="9">
        <f t="shared" ca="1" si="12"/>
        <v>53333.333333333343</v>
      </c>
      <c r="AD41" s="9">
        <f t="shared" si="9"/>
        <v>1111.1111111111111</v>
      </c>
      <c r="AE41" s="2">
        <f t="shared" ca="1" si="13"/>
        <v>30</v>
      </c>
      <c r="AF41" s="2">
        <f t="shared" ca="1" si="14"/>
        <v>360</v>
      </c>
      <c r="AG41" s="9">
        <f t="shared" ca="1" si="15"/>
        <v>16.399999999999999</v>
      </c>
      <c r="AH41" s="9">
        <f t="shared" ca="1" si="16"/>
        <v>5.4799999999999995</v>
      </c>
      <c r="AJ41" s="190">
        <f t="shared" ca="1" si="6"/>
        <v>1398.3667875000001</v>
      </c>
      <c r="AK41" s="190">
        <f t="shared" ca="1" si="7"/>
        <v>1150.9191666666668</v>
      </c>
    </row>
    <row r="42" spans="1:51" x14ac:dyDescent="0.25">
      <c r="A42" s="68">
        <f t="shared" si="1"/>
        <v>19</v>
      </c>
      <c r="B42" s="68" t="str">
        <f t="shared" si="2"/>
        <v>amortização</v>
      </c>
      <c r="C42" s="156">
        <f t="shared" ca="1" si="8"/>
        <v>241.69302500000003</v>
      </c>
      <c r="D42" s="156">
        <f t="shared" ca="1" si="5"/>
        <v>1150.9191666666668</v>
      </c>
      <c r="E42" s="162">
        <f t="shared" ca="1" si="3"/>
        <v>47187.685833333337</v>
      </c>
      <c r="F42" s="156">
        <f t="shared" ca="1" si="4"/>
        <v>1392.6121916666668</v>
      </c>
      <c r="G42" s="67"/>
      <c r="AA42" s="2">
        <f t="shared" si="10"/>
        <v>13</v>
      </c>
      <c r="AB42" s="8">
        <f t="shared" ca="1" si="11"/>
        <v>46630</v>
      </c>
      <c r="AC42" s="9">
        <f ca="1">IF(AA42="","",IF(AB42&lt;=B$16,AC27,AC41-AD42))</f>
        <v>52222.222222222234</v>
      </c>
      <c r="AD42" s="9">
        <f t="shared" si="9"/>
        <v>1111.1111111111111</v>
      </c>
      <c r="AE42" s="2">
        <f t="shared" ca="1" si="13"/>
        <v>30</v>
      </c>
      <c r="AF42" s="2">
        <f t="shared" ca="1" si="14"/>
        <v>390</v>
      </c>
      <c r="AG42" s="9">
        <f t="shared" ca="1" si="15"/>
        <v>16.62777777777778</v>
      </c>
      <c r="AH42" s="9">
        <f t="shared" ca="1" si="16"/>
        <v>5.556111111111111</v>
      </c>
      <c r="AJ42" s="190">
        <f t="shared" ca="1" si="6"/>
        <v>1392.6121916666668</v>
      </c>
      <c r="AK42" s="190">
        <f t="shared" ca="1" si="7"/>
        <v>1150.9191666666668</v>
      </c>
    </row>
    <row r="43" spans="1:51" x14ac:dyDescent="0.25">
      <c r="A43" s="68">
        <f t="shared" si="1"/>
        <v>20</v>
      </c>
      <c r="B43" s="68" t="str">
        <f t="shared" si="2"/>
        <v>amortização</v>
      </c>
      <c r="C43" s="156">
        <f t="shared" ca="1" si="8"/>
        <v>235.93842916666668</v>
      </c>
      <c r="D43" s="156">
        <f t="shared" ca="1" si="5"/>
        <v>1150.9191666666668</v>
      </c>
      <c r="E43" s="162">
        <f t="shared" ca="1" si="3"/>
        <v>46036.76666666667</v>
      </c>
      <c r="F43" s="156">
        <f t="shared" ca="1" si="4"/>
        <v>1386.8575958333336</v>
      </c>
      <c r="G43" s="67"/>
      <c r="AA43" s="2">
        <f t="shared" si="10"/>
        <v>14</v>
      </c>
      <c r="AB43" s="8">
        <f t="shared" ca="1" si="11"/>
        <v>46660</v>
      </c>
      <c r="AC43" s="9">
        <f t="shared" ca="1" si="12"/>
        <v>51111.111111111124</v>
      </c>
      <c r="AD43" s="9">
        <f t="shared" si="9"/>
        <v>1111.1111111111111</v>
      </c>
      <c r="AE43" s="2">
        <f t="shared" ca="1" si="13"/>
        <v>30</v>
      </c>
      <c r="AF43" s="2">
        <f t="shared" ca="1" si="14"/>
        <v>420</v>
      </c>
      <c r="AG43" s="9">
        <f t="shared" ca="1" si="15"/>
        <v>16.62777777777778</v>
      </c>
      <c r="AH43" s="9">
        <f t="shared" ca="1" si="16"/>
        <v>5.556111111111111</v>
      </c>
      <c r="AJ43" s="190">
        <f t="shared" ca="1" si="6"/>
        <v>1386.8575958333336</v>
      </c>
      <c r="AK43" s="190">
        <f t="shared" ca="1" si="7"/>
        <v>1150.9191666666668</v>
      </c>
    </row>
    <row r="44" spans="1:51" x14ac:dyDescent="0.25">
      <c r="A44" s="68">
        <f t="shared" si="1"/>
        <v>21</v>
      </c>
      <c r="B44" s="68" t="str">
        <f t="shared" si="2"/>
        <v>amortização</v>
      </c>
      <c r="C44" s="156">
        <f t="shared" ca="1" si="8"/>
        <v>230.18383333333335</v>
      </c>
      <c r="D44" s="156">
        <f t="shared" ca="1" si="5"/>
        <v>1150.9191666666668</v>
      </c>
      <c r="E44" s="162">
        <f t="shared" ca="1" si="3"/>
        <v>44885.847500000003</v>
      </c>
      <c r="F44" s="156">
        <f t="shared" ca="1" si="4"/>
        <v>1381.1030000000001</v>
      </c>
      <c r="G44" s="67"/>
      <c r="AA44" s="2">
        <f t="shared" si="10"/>
        <v>15</v>
      </c>
      <c r="AB44" s="8">
        <f t="shared" ca="1" si="11"/>
        <v>46690</v>
      </c>
      <c r="AC44" s="9">
        <f t="shared" ca="1" si="12"/>
        <v>50000.000000000015</v>
      </c>
      <c r="AD44" s="9">
        <f t="shared" si="9"/>
        <v>1111.1111111111111</v>
      </c>
      <c r="AE44" s="2">
        <f t="shared" ca="1" si="13"/>
        <v>30</v>
      </c>
      <c r="AF44" s="2">
        <f t="shared" ca="1" si="14"/>
        <v>450</v>
      </c>
      <c r="AG44" s="9">
        <f t="shared" ca="1" si="15"/>
        <v>16.62777777777778</v>
      </c>
      <c r="AH44" s="9">
        <f t="shared" ca="1" si="16"/>
        <v>5.556111111111111</v>
      </c>
      <c r="AJ44" s="190">
        <f t="shared" ca="1" si="6"/>
        <v>1381.1030000000001</v>
      </c>
      <c r="AK44" s="190">
        <f t="shared" ca="1" si="7"/>
        <v>1150.9191666666668</v>
      </c>
    </row>
    <row r="45" spans="1:51" x14ac:dyDescent="0.25">
      <c r="A45" s="68">
        <f t="shared" si="1"/>
        <v>22</v>
      </c>
      <c r="B45" s="68" t="str">
        <f t="shared" si="2"/>
        <v>amortização</v>
      </c>
      <c r="C45" s="156">
        <f t="shared" ca="1" si="8"/>
        <v>224.42923750000003</v>
      </c>
      <c r="D45" s="156">
        <f t="shared" ca="1" si="5"/>
        <v>1150.9191666666668</v>
      </c>
      <c r="E45" s="162">
        <f t="shared" ca="1" si="3"/>
        <v>43734.928333333337</v>
      </c>
      <c r="F45" s="156">
        <f t="shared" ca="1" si="4"/>
        <v>1375.3484041666668</v>
      </c>
      <c r="G45" s="67"/>
      <c r="AA45" s="2">
        <f t="shared" si="10"/>
        <v>16</v>
      </c>
      <c r="AB45" s="8">
        <f t="shared" ca="1" si="11"/>
        <v>46720</v>
      </c>
      <c r="AC45" s="9">
        <f t="shared" ca="1" si="12"/>
        <v>48888.888888888905</v>
      </c>
      <c r="AD45" s="9">
        <f t="shared" si="9"/>
        <v>1111.1111111111111</v>
      </c>
      <c r="AE45" s="2">
        <f t="shared" ca="1" si="13"/>
        <v>30</v>
      </c>
      <c r="AF45" s="2">
        <f t="shared" ca="1" si="14"/>
        <v>480</v>
      </c>
      <c r="AG45" s="9">
        <f t="shared" ca="1" si="15"/>
        <v>16.62777777777778</v>
      </c>
      <c r="AH45" s="9">
        <f t="shared" ca="1" si="16"/>
        <v>5.556111111111111</v>
      </c>
      <c r="AJ45" s="190">
        <f t="shared" ca="1" si="6"/>
        <v>1375.3484041666668</v>
      </c>
      <c r="AK45" s="190">
        <f t="shared" ca="1" si="7"/>
        <v>1150.9191666666668</v>
      </c>
    </row>
    <row r="46" spans="1:51" x14ac:dyDescent="0.25">
      <c r="A46" s="68">
        <f t="shared" si="1"/>
        <v>23</v>
      </c>
      <c r="B46" s="68" t="str">
        <f t="shared" si="2"/>
        <v>amortização</v>
      </c>
      <c r="C46" s="156">
        <f t="shared" ca="1" si="8"/>
        <v>218.6746416666667</v>
      </c>
      <c r="D46" s="156">
        <f t="shared" ca="1" si="5"/>
        <v>1150.9191666666668</v>
      </c>
      <c r="E46" s="162">
        <f t="shared" ca="1" si="3"/>
        <v>42584.00916666667</v>
      </c>
      <c r="F46" s="156">
        <f t="shared" ca="1" si="4"/>
        <v>1369.5938083333335</v>
      </c>
      <c r="G46" s="67"/>
      <c r="AA46" s="2">
        <f t="shared" si="10"/>
        <v>17</v>
      </c>
      <c r="AB46" s="8">
        <f t="shared" ca="1" si="11"/>
        <v>46750</v>
      </c>
      <c r="AC46" s="9">
        <f t="shared" ca="1" si="12"/>
        <v>47777.777777777796</v>
      </c>
      <c r="AD46" s="9">
        <f t="shared" si="9"/>
        <v>1111.1111111111111</v>
      </c>
      <c r="AE46" s="2">
        <f t="shared" ca="1" si="13"/>
        <v>30</v>
      </c>
      <c r="AF46" s="2">
        <f t="shared" ca="1" si="14"/>
        <v>510</v>
      </c>
      <c r="AG46" s="9">
        <f t="shared" ca="1" si="15"/>
        <v>16.62777777777778</v>
      </c>
      <c r="AH46" s="9">
        <f t="shared" ca="1" si="16"/>
        <v>5.556111111111111</v>
      </c>
      <c r="AJ46" s="190">
        <f t="shared" ca="1" si="6"/>
        <v>1369.5938083333335</v>
      </c>
      <c r="AK46" s="190">
        <f t="shared" ca="1" si="7"/>
        <v>1150.9191666666668</v>
      </c>
    </row>
    <row r="47" spans="1:51" x14ac:dyDescent="0.25">
      <c r="A47" s="68">
        <f t="shared" si="1"/>
        <v>24</v>
      </c>
      <c r="B47" s="68" t="str">
        <f t="shared" si="2"/>
        <v>amortização</v>
      </c>
      <c r="C47" s="156">
        <f t="shared" ca="1" si="8"/>
        <v>212.92004583333335</v>
      </c>
      <c r="D47" s="156">
        <f t="shared" ca="1" si="5"/>
        <v>1150.9191666666668</v>
      </c>
      <c r="E47" s="162">
        <f t="shared" ca="1" si="3"/>
        <v>41433.090000000004</v>
      </c>
      <c r="F47" s="156">
        <f t="shared" ca="1" si="4"/>
        <v>1363.8392125</v>
      </c>
      <c r="G47" s="67"/>
      <c r="AA47" s="2">
        <f t="shared" si="10"/>
        <v>18</v>
      </c>
      <c r="AB47" s="8">
        <f t="shared" ca="1" si="11"/>
        <v>46780</v>
      </c>
      <c r="AC47" s="9">
        <f t="shared" ca="1" si="12"/>
        <v>46666.666666666686</v>
      </c>
      <c r="AD47" s="9">
        <f t="shared" si="9"/>
        <v>1111.1111111111111</v>
      </c>
      <c r="AE47" s="2">
        <f t="shared" ca="1" si="13"/>
        <v>30</v>
      </c>
      <c r="AF47" s="2">
        <f t="shared" ca="1" si="14"/>
        <v>540</v>
      </c>
      <c r="AG47" s="9">
        <f t="shared" ca="1" si="15"/>
        <v>16.62777777777778</v>
      </c>
      <c r="AH47" s="9">
        <f t="shared" ca="1" si="16"/>
        <v>5.556111111111111</v>
      </c>
      <c r="AJ47" s="190">
        <f t="shared" ca="1" si="6"/>
        <v>1363.8392125</v>
      </c>
      <c r="AK47" s="190">
        <f t="shared" ca="1" si="7"/>
        <v>1150.9191666666668</v>
      </c>
    </row>
    <row r="48" spans="1:51" x14ac:dyDescent="0.25">
      <c r="A48" s="68">
        <f t="shared" si="1"/>
        <v>25</v>
      </c>
      <c r="B48" s="68" t="str">
        <f t="shared" si="2"/>
        <v>amortização</v>
      </c>
      <c r="C48" s="156">
        <f t="shared" ca="1" si="8"/>
        <v>207.16545000000002</v>
      </c>
      <c r="D48" s="156">
        <f t="shared" ca="1" si="5"/>
        <v>1150.9191666666668</v>
      </c>
      <c r="E48" s="162">
        <f t="shared" ca="1" si="3"/>
        <v>40282.170833333337</v>
      </c>
      <c r="F48" s="156">
        <f t="shared" ca="1" si="4"/>
        <v>1358.0846166666668</v>
      </c>
      <c r="G48" s="67"/>
      <c r="AA48" s="2">
        <f t="shared" si="10"/>
        <v>19</v>
      </c>
      <c r="AB48" s="8">
        <f t="shared" ca="1" si="11"/>
        <v>46810</v>
      </c>
      <c r="AC48" s="9">
        <f t="shared" ca="1" si="12"/>
        <v>45555.555555555577</v>
      </c>
      <c r="AD48" s="9">
        <f t="shared" si="9"/>
        <v>1111.1111111111111</v>
      </c>
      <c r="AE48" s="2">
        <f t="shared" ca="1" si="13"/>
        <v>30</v>
      </c>
      <c r="AF48" s="2">
        <f t="shared" ca="1" si="14"/>
        <v>570</v>
      </c>
      <c r="AG48" s="9">
        <f t="shared" ca="1" si="15"/>
        <v>16.62777777777778</v>
      </c>
      <c r="AH48" s="9">
        <f t="shared" ca="1" si="16"/>
        <v>5.556111111111111</v>
      </c>
      <c r="AJ48" s="190">
        <f t="shared" ca="1" si="6"/>
        <v>1358.0846166666668</v>
      </c>
      <c r="AK48" s="190">
        <f t="shared" ca="1" si="7"/>
        <v>1150.9191666666668</v>
      </c>
    </row>
    <row r="49" spans="1:37" x14ac:dyDescent="0.25">
      <c r="A49" s="68">
        <f t="shared" si="1"/>
        <v>26</v>
      </c>
      <c r="B49" s="68" t="str">
        <f t="shared" si="2"/>
        <v>amortização</v>
      </c>
      <c r="C49" s="156">
        <f t="shared" ca="1" si="8"/>
        <v>201.4108541666667</v>
      </c>
      <c r="D49" s="156">
        <f t="shared" ca="1" si="5"/>
        <v>1150.9191666666668</v>
      </c>
      <c r="E49" s="162">
        <f t="shared" ca="1" si="3"/>
        <v>39131.251666666671</v>
      </c>
      <c r="F49" s="156">
        <f t="shared" ca="1" si="4"/>
        <v>1352.3300208333335</v>
      </c>
      <c r="G49" s="67"/>
      <c r="AA49" s="2">
        <f t="shared" si="10"/>
        <v>20</v>
      </c>
      <c r="AB49" s="8">
        <f t="shared" ca="1" si="11"/>
        <v>46840</v>
      </c>
      <c r="AC49" s="9">
        <f t="shared" ca="1" si="12"/>
        <v>44444.444444444467</v>
      </c>
      <c r="AD49" s="9">
        <f t="shared" si="9"/>
        <v>1111.1111111111111</v>
      </c>
      <c r="AE49" s="2">
        <f t="shared" ca="1" si="13"/>
        <v>30</v>
      </c>
      <c r="AF49" s="2">
        <f t="shared" ca="1" si="14"/>
        <v>600</v>
      </c>
      <c r="AG49" s="9">
        <f t="shared" ca="1" si="15"/>
        <v>16.62777777777778</v>
      </c>
      <c r="AH49" s="9">
        <f t="shared" ca="1" si="16"/>
        <v>5.556111111111111</v>
      </c>
      <c r="AJ49" s="190">
        <f t="shared" ca="1" si="6"/>
        <v>1352.3300208333335</v>
      </c>
      <c r="AK49" s="190">
        <f t="shared" ca="1" si="7"/>
        <v>1150.9191666666668</v>
      </c>
    </row>
    <row r="50" spans="1:37" x14ac:dyDescent="0.25">
      <c r="A50" s="68">
        <f t="shared" si="1"/>
        <v>27</v>
      </c>
      <c r="B50" s="68" t="str">
        <f t="shared" si="2"/>
        <v>amortização</v>
      </c>
      <c r="C50" s="156">
        <f t="shared" ca="1" si="8"/>
        <v>195.65625833333337</v>
      </c>
      <c r="D50" s="156">
        <f t="shared" ca="1" si="5"/>
        <v>1150.9191666666668</v>
      </c>
      <c r="E50" s="162">
        <f t="shared" ca="1" si="3"/>
        <v>37980.332500000004</v>
      </c>
      <c r="F50" s="156">
        <f t="shared" ca="1" si="4"/>
        <v>1346.5754250000002</v>
      </c>
      <c r="G50" s="67"/>
      <c r="AA50" s="2">
        <f t="shared" si="10"/>
        <v>21</v>
      </c>
      <c r="AB50" s="8">
        <f t="shared" ca="1" si="11"/>
        <v>46870</v>
      </c>
      <c r="AC50" s="9">
        <f t="shared" ca="1" si="12"/>
        <v>43333.333333333358</v>
      </c>
      <c r="AD50" s="9">
        <f t="shared" si="9"/>
        <v>1111.1111111111111</v>
      </c>
      <c r="AE50" s="2">
        <f t="shared" ca="1" si="13"/>
        <v>30</v>
      </c>
      <c r="AF50" s="2">
        <f t="shared" ca="1" si="14"/>
        <v>630</v>
      </c>
      <c r="AG50" s="9">
        <f t="shared" ca="1" si="15"/>
        <v>16.62777777777778</v>
      </c>
      <c r="AH50" s="9">
        <f t="shared" ca="1" si="16"/>
        <v>5.556111111111111</v>
      </c>
      <c r="AJ50" s="190">
        <f t="shared" ca="1" si="6"/>
        <v>1346.5754250000002</v>
      </c>
      <c r="AK50" s="190">
        <f t="shared" ca="1" si="7"/>
        <v>1150.9191666666668</v>
      </c>
    </row>
    <row r="51" spans="1:37" x14ac:dyDescent="0.25">
      <c r="A51" s="68">
        <f t="shared" si="1"/>
        <v>28</v>
      </c>
      <c r="B51" s="68" t="str">
        <f t="shared" si="2"/>
        <v>amortização</v>
      </c>
      <c r="C51" s="156">
        <f t="shared" ca="1" si="8"/>
        <v>189.90166250000001</v>
      </c>
      <c r="D51" s="156">
        <f t="shared" ca="1" si="5"/>
        <v>1150.9191666666668</v>
      </c>
      <c r="E51" s="162">
        <f t="shared" ca="1" si="3"/>
        <v>36829.413333333338</v>
      </c>
      <c r="F51" s="156">
        <f t="shared" ca="1" si="4"/>
        <v>1340.8208291666667</v>
      </c>
      <c r="G51" s="67"/>
      <c r="AA51" s="2">
        <f t="shared" si="10"/>
        <v>22</v>
      </c>
      <c r="AB51" s="8">
        <f t="shared" ca="1" si="11"/>
        <v>46900</v>
      </c>
      <c r="AC51" s="9">
        <f t="shared" ca="1" si="12"/>
        <v>42222.222222222248</v>
      </c>
      <c r="AD51" s="9">
        <f t="shared" si="9"/>
        <v>1111.1111111111111</v>
      </c>
      <c r="AE51" s="2">
        <f t="shared" ca="1" si="13"/>
        <v>30</v>
      </c>
      <c r="AF51" s="2">
        <f t="shared" ca="1" si="14"/>
        <v>660</v>
      </c>
      <c r="AG51" s="9">
        <f t="shared" ca="1" si="15"/>
        <v>16.62777777777778</v>
      </c>
      <c r="AH51" s="9">
        <f t="shared" ca="1" si="16"/>
        <v>5.556111111111111</v>
      </c>
      <c r="AJ51" s="190">
        <f t="shared" ca="1" si="6"/>
        <v>1340.8208291666667</v>
      </c>
      <c r="AK51" s="190">
        <f t="shared" ca="1" si="7"/>
        <v>1150.9191666666668</v>
      </c>
    </row>
    <row r="52" spans="1:37" x14ac:dyDescent="0.25">
      <c r="A52" s="68">
        <f t="shared" si="1"/>
        <v>29</v>
      </c>
      <c r="B52" s="68" t="str">
        <f t="shared" si="2"/>
        <v>amortização</v>
      </c>
      <c r="C52" s="156">
        <f t="shared" ca="1" si="8"/>
        <v>184.14706666666669</v>
      </c>
      <c r="D52" s="156">
        <f t="shared" ca="1" si="5"/>
        <v>1150.9191666666668</v>
      </c>
      <c r="E52" s="162">
        <f t="shared" ca="1" si="3"/>
        <v>35678.494166666671</v>
      </c>
      <c r="F52" s="156">
        <f t="shared" ca="1" si="4"/>
        <v>1335.0662333333335</v>
      </c>
      <c r="G52" s="67"/>
      <c r="AA52" s="2">
        <f t="shared" si="10"/>
        <v>23</v>
      </c>
      <c r="AB52" s="8">
        <f t="shared" ca="1" si="11"/>
        <v>46930</v>
      </c>
      <c r="AC52" s="9">
        <f t="shared" ca="1" si="12"/>
        <v>41111.111111111139</v>
      </c>
      <c r="AD52" s="9">
        <f t="shared" si="9"/>
        <v>1111.1111111111111</v>
      </c>
      <c r="AE52" s="2">
        <f t="shared" ca="1" si="13"/>
        <v>30</v>
      </c>
      <c r="AF52" s="2">
        <f t="shared" ca="1" si="14"/>
        <v>690</v>
      </c>
      <c r="AG52" s="9">
        <f t="shared" ca="1" si="15"/>
        <v>16.62777777777778</v>
      </c>
      <c r="AH52" s="9">
        <f t="shared" ca="1" si="16"/>
        <v>5.556111111111111</v>
      </c>
      <c r="AJ52" s="190">
        <f t="shared" ca="1" si="6"/>
        <v>1335.0662333333335</v>
      </c>
      <c r="AK52" s="190">
        <f t="shared" ca="1" si="7"/>
        <v>1150.9191666666668</v>
      </c>
    </row>
    <row r="53" spans="1:37" x14ac:dyDescent="0.25">
      <c r="A53" s="68">
        <f t="shared" si="1"/>
        <v>30</v>
      </c>
      <c r="B53" s="68" t="str">
        <f t="shared" si="2"/>
        <v>amortização</v>
      </c>
      <c r="C53" s="156">
        <f t="shared" ca="1" si="8"/>
        <v>178.39247083333336</v>
      </c>
      <c r="D53" s="156">
        <f t="shared" ca="1" si="5"/>
        <v>1150.9191666666668</v>
      </c>
      <c r="E53" s="162">
        <f t="shared" ca="1" si="3"/>
        <v>34527.575000000004</v>
      </c>
      <c r="F53" s="156">
        <f t="shared" ca="1" si="4"/>
        <v>1329.3116375000002</v>
      </c>
      <c r="G53" s="67"/>
      <c r="AA53" s="2">
        <f t="shared" si="10"/>
        <v>24</v>
      </c>
      <c r="AB53" s="8">
        <f t="shared" ca="1" si="11"/>
        <v>46960</v>
      </c>
      <c r="AC53" s="9">
        <f t="shared" ca="1" si="12"/>
        <v>40000.000000000029</v>
      </c>
      <c r="AD53" s="9">
        <f t="shared" si="9"/>
        <v>1111.1111111111111</v>
      </c>
      <c r="AE53" s="2">
        <f t="shared" ca="1" si="13"/>
        <v>30</v>
      </c>
      <c r="AF53" s="2">
        <f t="shared" ca="1" si="14"/>
        <v>720</v>
      </c>
      <c r="AG53" s="9">
        <f t="shared" ca="1" si="15"/>
        <v>16.62777777777778</v>
      </c>
      <c r="AH53" s="9">
        <f t="shared" ca="1" si="16"/>
        <v>5.556111111111111</v>
      </c>
      <c r="AJ53" s="190">
        <f t="shared" ca="1" si="6"/>
        <v>1329.3116375000002</v>
      </c>
      <c r="AK53" s="190">
        <f t="shared" ca="1" si="7"/>
        <v>1150.9191666666668</v>
      </c>
    </row>
    <row r="54" spans="1:37" x14ac:dyDescent="0.25">
      <c r="A54" s="68">
        <f t="shared" si="1"/>
        <v>31</v>
      </c>
      <c r="B54" s="68" t="str">
        <f t="shared" si="2"/>
        <v>amortização</v>
      </c>
      <c r="C54" s="156">
        <f t="shared" ca="1" si="8"/>
        <v>172.63787500000004</v>
      </c>
      <c r="D54" s="156">
        <f t="shared" ca="1" si="5"/>
        <v>1150.9191666666668</v>
      </c>
      <c r="E54" s="162">
        <f t="shared" ca="1" si="3"/>
        <v>33376.655833333338</v>
      </c>
      <c r="F54" s="156">
        <f t="shared" ca="1" si="4"/>
        <v>1323.5570416666669</v>
      </c>
      <c r="G54" s="67"/>
      <c r="AA54" s="2">
        <f t="shared" si="10"/>
        <v>25</v>
      </c>
      <c r="AB54" s="8">
        <f t="shared" ca="1" si="11"/>
        <v>46990</v>
      </c>
      <c r="AC54" s="9">
        <f t="shared" ca="1" si="12"/>
        <v>38888.88888888892</v>
      </c>
      <c r="AD54" s="9">
        <f t="shared" si="9"/>
        <v>1111.1111111111111</v>
      </c>
      <c r="AE54" s="2">
        <f t="shared" ca="1" si="13"/>
        <v>30</v>
      </c>
      <c r="AF54" s="2">
        <f t="shared" ca="1" si="14"/>
        <v>750</v>
      </c>
      <c r="AG54" s="9">
        <f t="shared" ca="1" si="15"/>
        <v>16.62777777777778</v>
      </c>
      <c r="AH54" s="9">
        <f t="shared" ca="1" si="16"/>
        <v>5.556111111111111</v>
      </c>
      <c r="AJ54" s="190">
        <f t="shared" ca="1" si="6"/>
        <v>1323.5570416666669</v>
      </c>
      <c r="AK54" s="190">
        <f t="shared" ca="1" si="7"/>
        <v>1150.9191666666668</v>
      </c>
    </row>
    <row r="55" spans="1:37" x14ac:dyDescent="0.25">
      <c r="A55" s="68">
        <f t="shared" si="1"/>
        <v>32</v>
      </c>
      <c r="B55" s="68" t="str">
        <f t="shared" si="2"/>
        <v>amortização</v>
      </c>
      <c r="C55" s="156">
        <f t="shared" ca="1" si="8"/>
        <v>166.88327916666668</v>
      </c>
      <c r="D55" s="156">
        <f t="shared" ca="1" si="5"/>
        <v>1150.9191666666668</v>
      </c>
      <c r="E55" s="162">
        <f t="shared" ca="1" si="3"/>
        <v>32225.736666666671</v>
      </c>
      <c r="F55" s="156">
        <f t="shared" ca="1" si="4"/>
        <v>1317.8024458333334</v>
      </c>
      <c r="G55" s="67"/>
      <c r="AA55" s="2">
        <f t="shared" si="10"/>
        <v>26</v>
      </c>
      <c r="AB55" s="8">
        <f t="shared" ca="1" si="11"/>
        <v>47020</v>
      </c>
      <c r="AC55" s="9">
        <f t="shared" ca="1" si="12"/>
        <v>37777.77777777781</v>
      </c>
      <c r="AD55" s="9">
        <f t="shared" si="9"/>
        <v>1111.1111111111111</v>
      </c>
      <c r="AE55" s="2">
        <f t="shared" ca="1" si="13"/>
        <v>30</v>
      </c>
      <c r="AF55" s="2">
        <f t="shared" ca="1" si="14"/>
        <v>780</v>
      </c>
      <c r="AG55" s="9">
        <f t="shared" ca="1" si="15"/>
        <v>16.62777777777778</v>
      </c>
      <c r="AH55" s="9">
        <f t="shared" ca="1" si="16"/>
        <v>5.556111111111111</v>
      </c>
      <c r="AJ55" s="190">
        <f t="shared" ca="1" si="6"/>
        <v>1317.8024458333334</v>
      </c>
      <c r="AK55" s="190">
        <f t="shared" ca="1" si="7"/>
        <v>1150.9191666666668</v>
      </c>
    </row>
    <row r="56" spans="1:37" x14ac:dyDescent="0.25">
      <c r="A56" s="68">
        <f t="shared" si="1"/>
        <v>33</v>
      </c>
      <c r="B56" s="68" t="str">
        <f t="shared" si="2"/>
        <v>amortização</v>
      </c>
      <c r="C56" s="156">
        <f t="shared" ca="1" si="8"/>
        <v>161.12868333333336</v>
      </c>
      <c r="D56" s="156">
        <f t="shared" ca="1" si="5"/>
        <v>1150.9191666666668</v>
      </c>
      <c r="E56" s="162">
        <f t="shared" ca="1" si="3"/>
        <v>31074.817500000005</v>
      </c>
      <c r="F56" s="156">
        <f t="shared" ca="1" si="4"/>
        <v>1312.0478500000002</v>
      </c>
      <c r="G56" s="67"/>
      <c r="AA56" s="2">
        <f t="shared" si="10"/>
        <v>27</v>
      </c>
      <c r="AB56" s="8">
        <f t="shared" ca="1" si="11"/>
        <v>47050</v>
      </c>
      <c r="AC56" s="9">
        <f t="shared" ca="1" si="12"/>
        <v>36666.666666666701</v>
      </c>
      <c r="AD56" s="9">
        <f t="shared" si="9"/>
        <v>1111.1111111111111</v>
      </c>
      <c r="AE56" s="2">
        <f t="shared" ca="1" si="13"/>
        <v>30</v>
      </c>
      <c r="AF56" s="2">
        <f t="shared" ca="1" si="14"/>
        <v>810</v>
      </c>
      <c r="AG56" s="9">
        <f t="shared" ca="1" si="15"/>
        <v>16.62777777777778</v>
      </c>
      <c r="AH56" s="9">
        <f t="shared" ca="1" si="16"/>
        <v>5.556111111111111</v>
      </c>
      <c r="AJ56" s="190">
        <f t="shared" ca="1" si="6"/>
        <v>1312.0478500000002</v>
      </c>
      <c r="AK56" s="190">
        <f t="shared" ca="1" si="7"/>
        <v>1150.9191666666668</v>
      </c>
    </row>
    <row r="57" spans="1:37" x14ac:dyDescent="0.25">
      <c r="A57" s="68">
        <f t="shared" si="1"/>
        <v>34</v>
      </c>
      <c r="B57" s="68" t="str">
        <f t="shared" si="2"/>
        <v>amortização</v>
      </c>
      <c r="C57" s="156">
        <f t="shared" ca="1" si="8"/>
        <v>155.37408750000003</v>
      </c>
      <c r="D57" s="156">
        <f t="shared" ca="1" si="5"/>
        <v>1150.9191666666668</v>
      </c>
      <c r="E57" s="162">
        <f t="shared" ca="1" si="3"/>
        <v>29923.898333333338</v>
      </c>
      <c r="F57" s="156">
        <f t="shared" ca="1" si="4"/>
        <v>1306.2932541666669</v>
      </c>
      <c r="G57" s="67"/>
      <c r="AA57" s="2">
        <f t="shared" si="10"/>
        <v>28</v>
      </c>
      <c r="AB57" s="8">
        <f t="shared" ca="1" si="11"/>
        <v>47080</v>
      </c>
      <c r="AC57" s="9">
        <f t="shared" ca="1" si="12"/>
        <v>35555.555555555591</v>
      </c>
      <c r="AD57" s="9">
        <f t="shared" si="9"/>
        <v>1111.1111111111111</v>
      </c>
      <c r="AE57" s="2">
        <f t="shared" ca="1" si="13"/>
        <v>30</v>
      </c>
      <c r="AF57" s="2">
        <f t="shared" ca="1" si="14"/>
        <v>840</v>
      </c>
      <c r="AG57" s="9">
        <f t="shared" ca="1" si="15"/>
        <v>16.62777777777778</v>
      </c>
      <c r="AH57" s="9">
        <f t="shared" ca="1" si="16"/>
        <v>5.556111111111111</v>
      </c>
      <c r="AJ57" s="190">
        <f t="shared" ca="1" si="6"/>
        <v>1306.2932541666669</v>
      </c>
      <c r="AK57" s="190">
        <f t="shared" ca="1" si="7"/>
        <v>1150.9191666666668</v>
      </c>
    </row>
    <row r="58" spans="1:37" x14ac:dyDescent="0.25">
      <c r="A58" s="68">
        <f t="shared" si="1"/>
        <v>35</v>
      </c>
      <c r="B58" s="68" t="str">
        <f t="shared" si="2"/>
        <v>amortização</v>
      </c>
      <c r="C58" s="156">
        <f t="shared" ca="1" si="8"/>
        <v>149.6194916666667</v>
      </c>
      <c r="D58" s="156">
        <f t="shared" ca="1" si="5"/>
        <v>1150.9191666666668</v>
      </c>
      <c r="E58" s="162">
        <f t="shared" ca="1" si="3"/>
        <v>28772.979166666672</v>
      </c>
      <c r="F58" s="156">
        <f t="shared" ca="1" si="4"/>
        <v>1300.5386583333334</v>
      </c>
      <c r="G58" s="67"/>
      <c r="AA58" s="2">
        <f t="shared" si="10"/>
        <v>29</v>
      </c>
      <c r="AB58" s="8">
        <f t="shared" ca="1" si="11"/>
        <v>47110</v>
      </c>
      <c r="AC58" s="9">
        <f t="shared" ca="1" si="12"/>
        <v>34444.444444444482</v>
      </c>
      <c r="AD58" s="9">
        <f t="shared" si="9"/>
        <v>1111.1111111111111</v>
      </c>
      <c r="AE58" s="2">
        <f t="shared" ca="1" si="13"/>
        <v>30</v>
      </c>
      <c r="AF58" s="2">
        <f t="shared" ca="1" si="14"/>
        <v>870</v>
      </c>
      <c r="AG58" s="9">
        <f t="shared" ca="1" si="15"/>
        <v>16.62777777777778</v>
      </c>
      <c r="AH58" s="9">
        <f t="shared" ca="1" si="16"/>
        <v>5.556111111111111</v>
      </c>
      <c r="AJ58" s="190">
        <f t="shared" ca="1" si="6"/>
        <v>1300.5386583333334</v>
      </c>
      <c r="AK58" s="190">
        <f t="shared" ca="1" si="7"/>
        <v>1150.9191666666668</v>
      </c>
    </row>
    <row r="59" spans="1:37" x14ac:dyDescent="0.25">
      <c r="A59" s="68">
        <f t="shared" si="1"/>
        <v>36</v>
      </c>
      <c r="B59" s="68" t="str">
        <f t="shared" si="2"/>
        <v>amortização</v>
      </c>
      <c r="C59" s="156">
        <f t="shared" ca="1" si="8"/>
        <v>143.86489583333335</v>
      </c>
      <c r="D59" s="156">
        <f t="shared" ca="1" si="5"/>
        <v>1150.9191666666668</v>
      </c>
      <c r="E59" s="162">
        <f t="shared" ca="1" si="3"/>
        <v>27622.060000000005</v>
      </c>
      <c r="F59" s="156">
        <f t="shared" ca="1" si="4"/>
        <v>1294.7840625000001</v>
      </c>
      <c r="G59" s="67"/>
      <c r="AA59" s="2">
        <f t="shared" si="10"/>
        <v>30</v>
      </c>
      <c r="AB59" s="8">
        <f t="shared" ca="1" si="11"/>
        <v>47140</v>
      </c>
      <c r="AC59" s="9">
        <f t="shared" ca="1" si="12"/>
        <v>33333.333333333372</v>
      </c>
      <c r="AD59" s="9">
        <f t="shared" si="9"/>
        <v>1111.1111111111111</v>
      </c>
      <c r="AE59" s="2">
        <f t="shared" ca="1" si="13"/>
        <v>30</v>
      </c>
      <c r="AF59" s="2">
        <f t="shared" ca="1" si="14"/>
        <v>900</v>
      </c>
      <c r="AG59" s="9">
        <f t="shared" ca="1" si="15"/>
        <v>16.62777777777778</v>
      </c>
      <c r="AH59" s="9">
        <f t="shared" ca="1" si="16"/>
        <v>5.556111111111111</v>
      </c>
      <c r="AJ59" s="190">
        <f t="shared" ca="1" si="6"/>
        <v>1294.7840625000001</v>
      </c>
      <c r="AK59" s="190">
        <f t="shared" ca="1" si="7"/>
        <v>1150.9191666666668</v>
      </c>
    </row>
    <row r="60" spans="1:37" x14ac:dyDescent="0.25">
      <c r="A60" s="68">
        <f t="shared" si="1"/>
        <v>37</v>
      </c>
      <c r="B60" s="68" t="str">
        <f t="shared" si="2"/>
        <v>amortização</v>
      </c>
      <c r="C60" s="156">
        <f t="shared" ca="1" si="8"/>
        <v>138.11030000000002</v>
      </c>
      <c r="D60" s="156">
        <f t="shared" ca="1" si="5"/>
        <v>1150.9191666666668</v>
      </c>
      <c r="E60" s="162">
        <f t="shared" ca="1" si="3"/>
        <v>26471.140833333338</v>
      </c>
      <c r="F60" s="156">
        <f t="shared" ca="1" si="4"/>
        <v>1289.0294666666668</v>
      </c>
      <c r="G60" s="67"/>
      <c r="AA60" s="2">
        <f t="shared" si="10"/>
        <v>31</v>
      </c>
      <c r="AB60" s="8">
        <f t="shared" ca="1" si="11"/>
        <v>47170</v>
      </c>
      <c r="AC60" s="9">
        <f t="shared" ca="1" si="12"/>
        <v>32222.222222222263</v>
      </c>
      <c r="AD60" s="9">
        <f t="shared" si="9"/>
        <v>1111.1111111111111</v>
      </c>
      <c r="AE60" s="2">
        <f t="shared" ca="1" si="13"/>
        <v>30</v>
      </c>
      <c r="AF60" s="2">
        <f t="shared" ca="1" si="14"/>
        <v>930</v>
      </c>
      <c r="AG60" s="9">
        <f t="shared" ca="1" si="15"/>
        <v>16.62777777777778</v>
      </c>
      <c r="AH60" s="9">
        <f t="shared" ca="1" si="16"/>
        <v>5.556111111111111</v>
      </c>
      <c r="AJ60" s="190">
        <f t="shared" ca="1" si="6"/>
        <v>1289.0294666666668</v>
      </c>
      <c r="AK60" s="190">
        <f t="shared" ca="1" si="7"/>
        <v>1150.9191666666668</v>
      </c>
    </row>
    <row r="61" spans="1:37" x14ac:dyDescent="0.25">
      <c r="A61" s="68">
        <f t="shared" si="1"/>
        <v>38</v>
      </c>
      <c r="B61" s="68" t="str">
        <f t="shared" si="2"/>
        <v>amortização</v>
      </c>
      <c r="C61" s="156">
        <f t="shared" ca="1" si="8"/>
        <v>132.3557041666667</v>
      </c>
      <c r="D61" s="156">
        <f t="shared" ca="1" si="5"/>
        <v>1150.9191666666668</v>
      </c>
      <c r="E61" s="162">
        <f t="shared" ca="1" si="3"/>
        <v>25320.221666666672</v>
      </c>
      <c r="F61" s="156">
        <f t="shared" ca="1" si="4"/>
        <v>1283.2748708333336</v>
      </c>
      <c r="G61" s="67"/>
      <c r="AA61" s="2">
        <f t="shared" si="10"/>
        <v>32</v>
      </c>
      <c r="AB61" s="8">
        <f t="shared" ca="1" si="11"/>
        <v>47200</v>
      </c>
      <c r="AC61" s="9">
        <f t="shared" ca="1" si="12"/>
        <v>31111.111111111153</v>
      </c>
      <c r="AD61" s="9">
        <f t="shared" si="9"/>
        <v>1111.1111111111111</v>
      </c>
      <c r="AE61" s="2">
        <f t="shared" ca="1" si="13"/>
        <v>30</v>
      </c>
      <c r="AF61" s="2">
        <f t="shared" ca="1" si="14"/>
        <v>960</v>
      </c>
      <c r="AG61" s="9">
        <f t="shared" ca="1" si="15"/>
        <v>16.62777777777778</v>
      </c>
      <c r="AH61" s="9">
        <f t="shared" ca="1" si="16"/>
        <v>5.556111111111111</v>
      </c>
      <c r="AJ61" s="190">
        <f t="shared" ca="1" si="6"/>
        <v>1283.2748708333336</v>
      </c>
      <c r="AK61" s="190">
        <f t="shared" ca="1" si="7"/>
        <v>1150.9191666666668</v>
      </c>
    </row>
    <row r="62" spans="1:37" x14ac:dyDescent="0.25">
      <c r="A62" s="68">
        <f t="shared" si="1"/>
        <v>39</v>
      </c>
      <c r="B62" s="68" t="str">
        <f t="shared" si="2"/>
        <v>amortização</v>
      </c>
      <c r="C62" s="156">
        <f t="shared" ca="1" si="8"/>
        <v>126.60110833333336</v>
      </c>
      <c r="D62" s="156">
        <f t="shared" ca="1" si="5"/>
        <v>1150.9191666666668</v>
      </c>
      <c r="E62" s="162">
        <f t="shared" ca="1" si="3"/>
        <v>24169.302500000005</v>
      </c>
      <c r="F62" s="156">
        <f t="shared" ca="1" si="4"/>
        <v>1277.5202750000001</v>
      </c>
      <c r="G62" s="67"/>
      <c r="AA62" s="2">
        <f t="shared" si="10"/>
        <v>33</v>
      </c>
      <c r="AB62" s="8">
        <f t="shared" ca="1" si="11"/>
        <v>47230</v>
      </c>
      <c r="AC62" s="9">
        <f t="shared" ca="1" si="12"/>
        <v>30000.000000000044</v>
      </c>
      <c r="AD62" s="9">
        <f t="shared" si="9"/>
        <v>1111.1111111111111</v>
      </c>
      <c r="AE62" s="2">
        <f t="shared" ca="1" si="13"/>
        <v>30</v>
      </c>
      <c r="AF62" s="2">
        <f t="shared" ca="1" si="14"/>
        <v>990</v>
      </c>
      <c r="AG62" s="9">
        <f t="shared" ca="1" si="15"/>
        <v>16.62777777777778</v>
      </c>
      <c r="AH62" s="9">
        <f t="shared" ca="1" si="16"/>
        <v>5.556111111111111</v>
      </c>
      <c r="AJ62" s="190">
        <f t="shared" ca="1" si="6"/>
        <v>1277.5202750000001</v>
      </c>
      <c r="AK62" s="190">
        <f t="shared" ca="1" si="7"/>
        <v>1150.9191666666668</v>
      </c>
    </row>
    <row r="63" spans="1:37" x14ac:dyDescent="0.25">
      <c r="A63" s="68">
        <f t="shared" si="1"/>
        <v>40</v>
      </c>
      <c r="B63" s="68" t="str">
        <f t="shared" si="2"/>
        <v>amortização</v>
      </c>
      <c r="C63" s="156">
        <f t="shared" ca="1" si="8"/>
        <v>120.84651250000003</v>
      </c>
      <c r="D63" s="156">
        <f t="shared" ca="1" si="5"/>
        <v>1150.9191666666668</v>
      </c>
      <c r="E63" s="162">
        <f t="shared" ca="1" si="3"/>
        <v>23018.383333333339</v>
      </c>
      <c r="F63" s="156">
        <f t="shared" ca="1" si="4"/>
        <v>1271.7656791666668</v>
      </c>
      <c r="G63" s="67"/>
      <c r="AA63" s="2">
        <f t="shared" si="10"/>
        <v>34</v>
      </c>
      <c r="AB63" s="8">
        <f t="shared" ca="1" si="11"/>
        <v>47260</v>
      </c>
      <c r="AC63" s="9">
        <f t="shared" ca="1" si="12"/>
        <v>28888.888888888934</v>
      </c>
      <c r="AD63" s="9">
        <f t="shared" si="9"/>
        <v>1111.1111111111111</v>
      </c>
      <c r="AE63" s="2">
        <f t="shared" ca="1" si="13"/>
        <v>30</v>
      </c>
      <c r="AF63" s="2">
        <f t="shared" ca="1" si="14"/>
        <v>1020</v>
      </c>
      <c r="AG63" s="9">
        <f t="shared" ca="1" si="15"/>
        <v>16.62777777777778</v>
      </c>
      <c r="AH63" s="9">
        <f t="shared" ca="1" si="16"/>
        <v>5.556111111111111</v>
      </c>
      <c r="AJ63" s="190">
        <f t="shared" ca="1" si="6"/>
        <v>1271.7656791666668</v>
      </c>
      <c r="AK63" s="190">
        <f t="shared" ca="1" si="7"/>
        <v>1150.9191666666668</v>
      </c>
    </row>
    <row r="64" spans="1:37" x14ac:dyDescent="0.25">
      <c r="A64" s="68">
        <f t="shared" si="1"/>
        <v>41</v>
      </c>
      <c r="B64" s="68" t="str">
        <f t="shared" si="2"/>
        <v>amortização</v>
      </c>
      <c r="C64" s="156">
        <f t="shared" ca="1" si="8"/>
        <v>115.09191666666669</v>
      </c>
      <c r="D64" s="156">
        <f t="shared" ca="1" si="5"/>
        <v>1150.9191666666668</v>
      </c>
      <c r="E64" s="162">
        <f t="shared" ca="1" si="3"/>
        <v>21867.464166666672</v>
      </c>
      <c r="F64" s="156">
        <f t="shared" ca="1" si="4"/>
        <v>1266.0110833333335</v>
      </c>
      <c r="G64" s="67"/>
      <c r="AA64" s="2">
        <f t="shared" si="10"/>
        <v>35</v>
      </c>
      <c r="AB64" s="8">
        <f t="shared" ca="1" si="11"/>
        <v>47290</v>
      </c>
      <c r="AC64" s="9">
        <f t="shared" ca="1" si="12"/>
        <v>27777.777777777825</v>
      </c>
      <c r="AD64" s="9">
        <f t="shared" si="9"/>
        <v>1111.1111111111111</v>
      </c>
      <c r="AE64" s="2">
        <f t="shared" ca="1" si="13"/>
        <v>30</v>
      </c>
      <c r="AF64" s="2">
        <f t="shared" ca="1" si="14"/>
        <v>1050</v>
      </c>
      <c r="AG64" s="9">
        <f t="shared" ca="1" si="15"/>
        <v>16.62777777777778</v>
      </c>
      <c r="AH64" s="9">
        <f t="shared" ca="1" si="16"/>
        <v>5.556111111111111</v>
      </c>
      <c r="AJ64" s="190">
        <f t="shared" ca="1" si="6"/>
        <v>1266.0110833333335</v>
      </c>
      <c r="AK64" s="190">
        <f t="shared" ca="1" si="7"/>
        <v>1150.9191666666668</v>
      </c>
    </row>
    <row r="65" spans="1:37" x14ac:dyDescent="0.25">
      <c r="A65" s="68">
        <f t="shared" si="1"/>
        <v>42</v>
      </c>
      <c r="B65" s="68" t="str">
        <f t="shared" si="2"/>
        <v>amortização</v>
      </c>
      <c r="C65" s="156">
        <f t="shared" ca="1" si="8"/>
        <v>109.33732083333337</v>
      </c>
      <c r="D65" s="156">
        <f t="shared" ca="1" si="5"/>
        <v>1150.9191666666668</v>
      </c>
      <c r="E65" s="162">
        <f t="shared" ca="1" si="3"/>
        <v>20716.545000000006</v>
      </c>
      <c r="F65" s="156">
        <f t="shared" ca="1" si="4"/>
        <v>1260.2564875000003</v>
      </c>
      <c r="G65" s="67"/>
      <c r="AA65" s="2">
        <f t="shared" si="10"/>
        <v>36</v>
      </c>
      <c r="AB65" s="8">
        <f t="shared" ca="1" si="11"/>
        <v>47320</v>
      </c>
      <c r="AC65" s="9">
        <f t="shared" ca="1" si="12"/>
        <v>26666.666666666715</v>
      </c>
      <c r="AD65" s="9">
        <f t="shared" si="9"/>
        <v>1111.1111111111111</v>
      </c>
      <c r="AE65" s="2">
        <f t="shared" ca="1" si="13"/>
        <v>30</v>
      </c>
      <c r="AF65" s="2">
        <f t="shared" ca="1" si="14"/>
        <v>1080</v>
      </c>
      <c r="AG65" s="9">
        <f t="shared" ca="1" si="15"/>
        <v>16.62777777777778</v>
      </c>
      <c r="AH65" s="9">
        <f t="shared" ca="1" si="16"/>
        <v>5.556111111111111</v>
      </c>
      <c r="AJ65" s="190">
        <f t="shared" ca="1" si="6"/>
        <v>1260.2564875000003</v>
      </c>
      <c r="AK65" s="190">
        <f t="shared" ca="1" si="7"/>
        <v>1150.9191666666668</v>
      </c>
    </row>
    <row r="66" spans="1:37" x14ac:dyDescent="0.25">
      <c r="A66" s="68">
        <f t="shared" ref="A66:A80" si="17">IF(A65&lt;B$17,A65+1,"")</f>
        <v>43</v>
      </c>
      <c r="B66" s="68" t="str">
        <f t="shared" ref="B66:B80" si="18">IF(A66="","",IF(A66&lt;=B$16,"carência","amortização"))</f>
        <v>amortização</v>
      </c>
      <c r="C66" s="156">
        <f t="shared" ref="C66:C80" ca="1" si="19">IF(B66="","",E65*$C$23)</f>
        <v>103.58272500000002</v>
      </c>
      <c r="D66" s="156">
        <f t="shared" ca="1" si="5"/>
        <v>1150.9191666666668</v>
      </c>
      <c r="E66" s="162">
        <f t="shared" ca="1" si="3"/>
        <v>19565.625833333339</v>
      </c>
      <c r="F66" s="156">
        <f t="shared" ca="1" si="4"/>
        <v>1254.5018916666668</v>
      </c>
      <c r="G66" s="67"/>
      <c r="AA66" s="2">
        <f t="shared" si="10"/>
        <v>37</v>
      </c>
      <c r="AB66" s="8">
        <f t="shared" ca="1" si="11"/>
        <v>47350</v>
      </c>
      <c r="AC66" s="9">
        <f t="shared" ca="1" si="12"/>
        <v>25555.555555555606</v>
      </c>
      <c r="AD66" s="9">
        <f t="shared" si="9"/>
        <v>1111.1111111111111</v>
      </c>
      <c r="AE66" s="2">
        <f t="shared" ca="1" si="13"/>
        <v>30</v>
      </c>
      <c r="AF66" s="2">
        <f t="shared" ca="1" si="14"/>
        <v>1110</v>
      </c>
      <c r="AG66" s="9">
        <f t="shared" ca="1" si="15"/>
        <v>16.62777777777778</v>
      </c>
      <c r="AH66" s="9">
        <f t="shared" ca="1" si="16"/>
        <v>5.556111111111111</v>
      </c>
      <c r="AJ66" s="190">
        <f t="shared" ca="1" si="6"/>
        <v>1254.5018916666668</v>
      </c>
      <c r="AK66" s="190">
        <f t="shared" ca="1" si="7"/>
        <v>1150.9191666666668</v>
      </c>
    </row>
    <row r="67" spans="1:37" x14ac:dyDescent="0.25">
      <c r="A67" s="68">
        <f t="shared" si="17"/>
        <v>44</v>
      </c>
      <c r="B67" s="68" t="str">
        <f t="shared" si="18"/>
        <v>amortização</v>
      </c>
      <c r="C67" s="156">
        <f t="shared" ca="1" si="19"/>
        <v>97.828129166666699</v>
      </c>
      <c r="D67" s="156">
        <f t="shared" ca="1" si="5"/>
        <v>1150.9191666666668</v>
      </c>
      <c r="E67" s="162">
        <f t="shared" ca="1" si="3"/>
        <v>18414.706666666672</v>
      </c>
      <c r="F67" s="156">
        <f t="shared" ca="1" si="4"/>
        <v>1248.7472958333335</v>
      </c>
      <c r="G67" s="67"/>
      <c r="AA67" s="2">
        <f t="shared" si="10"/>
        <v>38</v>
      </c>
      <c r="AB67" s="8">
        <f t="shared" ca="1" si="11"/>
        <v>47380</v>
      </c>
      <c r="AC67" s="9">
        <f t="shared" ca="1" si="12"/>
        <v>24444.444444444496</v>
      </c>
      <c r="AD67" s="9">
        <f t="shared" si="9"/>
        <v>1111.1111111111111</v>
      </c>
      <c r="AE67" s="2">
        <f t="shared" ca="1" si="13"/>
        <v>30</v>
      </c>
      <c r="AF67" s="2">
        <f t="shared" ca="1" si="14"/>
        <v>1140</v>
      </c>
      <c r="AG67" s="9">
        <f t="shared" ca="1" si="15"/>
        <v>16.62777777777778</v>
      </c>
      <c r="AH67" s="9">
        <f t="shared" ca="1" si="16"/>
        <v>5.556111111111111</v>
      </c>
      <c r="AJ67" s="190">
        <f t="shared" ca="1" si="6"/>
        <v>1248.7472958333335</v>
      </c>
      <c r="AK67" s="190">
        <f t="shared" ca="1" si="7"/>
        <v>1150.9191666666668</v>
      </c>
    </row>
    <row r="68" spans="1:37" x14ac:dyDescent="0.25">
      <c r="A68" s="68">
        <f t="shared" si="17"/>
        <v>45</v>
      </c>
      <c r="B68" s="68" t="str">
        <f t="shared" si="18"/>
        <v>amortização</v>
      </c>
      <c r="C68" s="156">
        <f t="shared" ca="1" si="19"/>
        <v>92.073533333333359</v>
      </c>
      <c r="D68" s="156">
        <f t="shared" ca="1" si="5"/>
        <v>1150.9191666666668</v>
      </c>
      <c r="E68" s="162">
        <f t="shared" ca="1" si="3"/>
        <v>17263.787500000006</v>
      </c>
      <c r="F68" s="156">
        <f t="shared" ca="1" si="4"/>
        <v>1242.9927000000002</v>
      </c>
      <c r="G68" s="67"/>
      <c r="AA68" s="2">
        <f t="shared" si="10"/>
        <v>39</v>
      </c>
      <c r="AB68" s="8">
        <f t="shared" ca="1" si="11"/>
        <v>47410</v>
      </c>
      <c r="AC68" s="9">
        <f t="shared" ca="1" si="12"/>
        <v>23333.333333333387</v>
      </c>
      <c r="AD68" s="9">
        <f t="shared" si="9"/>
        <v>1111.1111111111111</v>
      </c>
      <c r="AE68" s="2">
        <f t="shared" ca="1" si="13"/>
        <v>30</v>
      </c>
      <c r="AF68" s="2">
        <f t="shared" ca="1" si="14"/>
        <v>1170</v>
      </c>
      <c r="AG68" s="9">
        <f t="shared" ca="1" si="15"/>
        <v>16.62777777777778</v>
      </c>
      <c r="AH68" s="9">
        <f t="shared" ca="1" si="16"/>
        <v>5.556111111111111</v>
      </c>
      <c r="AJ68" s="190">
        <f t="shared" ca="1" si="6"/>
        <v>1242.9927000000002</v>
      </c>
      <c r="AK68" s="190">
        <f t="shared" ca="1" si="7"/>
        <v>1150.9191666666668</v>
      </c>
    </row>
    <row r="69" spans="1:37" x14ac:dyDescent="0.25">
      <c r="A69" s="68">
        <f t="shared" si="17"/>
        <v>46</v>
      </c>
      <c r="B69" s="68" t="str">
        <f t="shared" si="18"/>
        <v>amortização</v>
      </c>
      <c r="C69" s="156">
        <f t="shared" ca="1" si="19"/>
        <v>86.318937500000033</v>
      </c>
      <c r="D69" s="156">
        <f t="shared" ca="1" si="5"/>
        <v>1150.9191666666668</v>
      </c>
      <c r="E69" s="162">
        <f t="shared" ca="1" si="3"/>
        <v>16112.868333333339</v>
      </c>
      <c r="F69" s="156">
        <f t="shared" ca="1" si="4"/>
        <v>1237.2381041666667</v>
      </c>
      <c r="G69" s="67"/>
      <c r="AA69" s="2">
        <f t="shared" si="10"/>
        <v>40</v>
      </c>
      <c r="AB69" s="8">
        <f t="shared" ca="1" si="11"/>
        <v>47440</v>
      </c>
      <c r="AC69" s="9">
        <f t="shared" ca="1" si="12"/>
        <v>22222.222222222277</v>
      </c>
      <c r="AD69" s="9">
        <f t="shared" si="9"/>
        <v>1111.1111111111111</v>
      </c>
      <c r="AE69" s="2">
        <f t="shared" ca="1" si="13"/>
        <v>30</v>
      </c>
      <c r="AF69" s="2">
        <f t="shared" ca="1" si="14"/>
        <v>1200</v>
      </c>
      <c r="AG69" s="9">
        <f t="shared" ca="1" si="15"/>
        <v>16.62777777777778</v>
      </c>
      <c r="AH69" s="9">
        <f t="shared" ca="1" si="16"/>
        <v>5.556111111111111</v>
      </c>
      <c r="AJ69" s="190">
        <f t="shared" ca="1" si="6"/>
        <v>1237.2381041666667</v>
      </c>
      <c r="AK69" s="190">
        <f t="shared" ca="1" si="7"/>
        <v>1150.9191666666668</v>
      </c>
    </row>
    <row r="70" spans="1:37" x14ac:dyDescent="0.25">
      <c r="A70" s="68">
        <f t="shared" si="17"/>
        <v>47</v>
      </c>
      <c r="B70" s="68" t="str">
        <f t="shared" si="18"/>
        <v>amortização</v>
      </c>
      <c r="C70" s="156">
        <f t="shared" ca="1" si="19"/>
        <v>80.564341666666692</v>
      </c>
      <c r="D70" s="156">
        <f t="shared" ca="1" si="5"/>
        <v>1150.9191666666668</v>
      </c>
      <c r="E70" s="162">
        <f t="shared" ca="1" si="3"/>
        <v>14961.949166666673</v>
      </c>
      <c r="F70" s="156">
        <f t="shared" ca="1" si="4"/>
        <v>1231.4835083333335</v>
      </c>
      <c r="G70" s="67"/>
      <c r="AA70" s="2">
        <f t="shared" si="10"/>
        <v>41</v>
      </c>
      <c r="AB70" s="8">
        <f t="shared" ca="1" si="11"/>
        <v>47470</v>
      </c>
      <c r="AC70" s="9">
        <f t="shared" ca="1" si="12"/>
        <v>21111.111111111168</v>
      </c>
      <c r="AD70" s="9">
        <f t="shared" si="9"/>
        <v>1111.1111111111111</v>
      </c>
      <c r="AE70" s="2">
        <f t="shared" ca="1" si="13"/>
        <v>30</v>
      </c>
      <c r="AF70" s="2">
        <f t="shared" ca="1" si="14"/>
        <v>1230</v>
      </c>
      <c r="AG70" s="9">
        <f t="shared" ca="1" si="15"/>
        <v>16.62777777777778</v>
      </c>
      <c r="AH70" s="9">
        <f t="shared" ca="1" si="16"/>
        <v>5.556111111111111</v>
      </c>
      <c r="AJ70" s="190">
        <f t="shared" ca="1" si="6"/>
        <v>1231.4835083333335</v>
      </c>
      <c r="AK70" s="190">
        <f t="shared" ca="1" si="7"/>
        <v>1150.9191666666668</v>
      </c>
    </row>
    <row r="71" spans="1:37" x14ac:dyDescent="0.25">
      <c r="A71" s="68">
        <f t="shared" si="17"/>
        <v>48</v>
      </c>
      <c r="B71" s="68" t="str">
        <f t="shared" si="18"/>
        <v>amortização</v>
      </c>
      <c r="C71" s="156">
        <f t="shared" ca="1" si="19"/>
        <v>74.809745833333366</v>
      </c>
      <c r="D71" s="156">
        <f t="shared" ca="1" si="5"/>
        <v>1150.9191666666668</v>
      </c>
      <c r="E71" s="162">
        <f t="shared" ca="1" si="3"/>
        <v>13811.030000000006</v>
      </c>
      <c r="F71" s="156">
        <f t="shared" ca="1" si="4"/>
        <v>1225.7289125000002</v>
      </c>
      <c r="G71" s="67"/>
      <c r="AA71" s="2">
        <f t="shared" si="10"/>
        <v>42</v>
      </c>
      <c r="AB71" s="8">
        <f t="shared" ca="1" si="11"/>
        <v>47500</v>
      </c>
      <c r="AC71" s="9">
        <f t="shared" ca="1" si="12"/>
        <v>20000.000000000058</v>
      </c>
      <c r="AD71" s="9">
        <f t="shared" si="9"/>
        <v>1111.1111111111111</v>
      </c>
      <c r="AE71" s="2">
        <f t="shared" ca="1" si="13"/>
        <v>30</v>
      </c>
      <c r="AF71" s="2">
        <f t="shared" ca="1" si="14"/>
        <v>1260</v>
      </c>
      <c r="AG71" s="9">
        <f t="shared" ca="1" si="15"/>
        <v>16.62777777777778</v>
      </c>
      <c r="AH71" s="9">
        <f t="shared" ca="1" si="16"/>
        <v>5.556111111111111</v>
      </c>
      <c r="AJ71" s="190">
        <f t="shared" ca="1" si="6"/>
        <v>1225.7289125000002</v>
      </c>
      <c r="AK71" s="190">
        <f t="shared" ca="1" si="7"/>
        <v>1150.9191666666668</v>
      </c>
    </row>
    <row r="72" spans="1:37" x14ac:dyDescent="0.25">
      <c r="A72" s="68">
        <f t="shared" si="17"/>
        <v>49</v>
      </c>
      <c r="B72" s="68" t="str">
        <f t="shared" si="18"/>
        <v>amortização</v>
      </c>
      <c r="C72" s="156">
        <f t="shared" ca="1" si="19"/>
        <v>69.055150000000026</v>
      </c>
      <c r="D72" s="156">
        <f t="shared" ca="1" si="5"/>
        <v>1150.9191666666668</v>
      </c>
      <c r="E72" s="162" t="str">
        <f t="shared" si="3"/>
        <v/>
      </c>
      <c r="F72" s="156"/>
      <c r="G72" s="67"/>
      <c r="AA72" s="2">
        <f t="shared" si="10"/>
        <v>43</v>
      </c>
      <c r="AB72" s="8">
        <f t="shared" ca="1" si="11"/>
        <v>47530</v>
      </c>
      <c r="AC72" s="9">
        <f t="shared" ca="1" si="12"/>
        <v>18888.888888888949</v>
      </c>
      <c r="AD72" s="9">
        <f t="shared" si="9"/>
        <v>1111.1111111111111</v>
      </c>
      <c r="AE72" s="2">
        <f t="shared" ca="1" si="13"/>
        <v>30</v>
      </c>
      <c r="AF72" s="2">
        <f t="shared" ca="1" si="14"/>
        <v>1290</v>
      </c>
      <c r="AG72" s="9">
        <f t="shared" ca="1" si="15"/>
        <v>16.62777777777778</v>
      </c>
      <c r="AH72" s="9">
        <f t="shared" ca="1" si="16"/>
        <v>5.556111111111111</v>
      </c>
      <c r="AJ72" s="190">
        <f t="shared" si="6"/>
        <v>0</v>
      </c>
      <c r="AK72" s="190">
        <f ca="1">IF(A72&lt;=$B$17,E71*$D$15+D72,0)</f>
        <v>1150.9191666666668</v>
      </c>
    </row>
    <row r="73" spans="1:37" x14ac:dyDescent="0.25">
      <c r="A73" s="68">
        <f t="shared" si="17"/>
        <v>50</v>
      </c>
      <c r="B73" s="68" t="str">
        <f t="shared" si="18"/>
        <v>amortização</v>
      </c>
      <c r="C73" s="156" t="e">
        <f t="shared" si="19"/>
        <v>#VALUE!</v>
      </c>
      <c r="D73" s="156" t="e">
        <f t="shared" si="5"/>
        <v>#VALUE!</v>
      </c>
      <c r="E73" s="162" t="str">
        <f t="shared" si="3"/>
        <v/>
      </c>
      <c r="F73" s="156"/>
      <c r="G73" s="67"/>
      <c r="AA73" s="2">
        <f t="shared" si="10"/>
        <v>44</v>
      </c>
      <c r="AB73" s="8">
        <f t="shared" ca="1" si="11"/>
        <v>47560</v>
      </c>
      <c r="AC73" s="9">
        <f t="shared" ca="1" si="12"/>
        <v>17777.777777777839</v>
      </c>
      <c r="AD73" s="9">
        <f t="shared" si="9"/>
        <v>1111.1111111111111</v>
      </c>
      <c r="AE73" s="2">
        <f t="shared" ca="1" si="13"/>
        <v>30</v>
      </c>
      <c r="AF73" s="2">
        <f t="shared" ca="1" si="14"/>
        <v>1320</v>
      </c>
      <c r="AG73" s="9">
        <f t="shared" ca="1" si="15"/>
        <v>16.62777777777778</v>
      </c>
      <c r="AH73" s="9">
        <f t="shared" ca="1" si="16"/>
        <v>5.556111111111111</v>
      </c>
      <c r="AJ73" s="190">
        <f t="shared" si="6"/>
        <v>0</v>
      </c>
      <c r="AK73" s="190" t="e">
        <f t="shared" si="7"/>
        <v>#VALUE!</v>
      </c>
    </row>
    <row r="74" spans="1:37" x14ac:dyDescent="0.25">
      <c r="A74" s="68">
        <f t="shared" si="17"/>
        <v>51</v>
      </c>
      <c r="B74" s="68" t="str">
        <f t="shared" si="18"/>
        <v>amortização</v>
      </c>
      <c r="C74" s="156" t="e">
        <f t="shared" si="19"/>
        <v>#VALUE!</v>
      </c>
      <c r="D74" s="156" t="e">
        <f t="shared" si="5"/>
        <v>#VALUE!</v>
      </c>
      <c r="E74" s="162" t="str">
        <f t="shared" si="3"/>
        <v/>
      </c>
      <c r="F74" s="156"/>
      <c r="G74" s="67"/>
      <c r="AA74" s="2">
        <f t="shared" si="10"/>
        <v>45</v>
      </c>
      <c r="AB74" s="8">
        <f t="shared" ca="1" si="11"/>
        <v>47590</v>
      </c>
      <c r="AC74" s="9">
        <f t="shared" ca="1" si="12"/>
        <v>16666.66666666673</v>
      </c>
      <c r="AD74" s="9">
        <f t="shared" si="9"/>
        <v>1111.1111111111111</v>
      </c>
      <c r="AE74" s="2">
        <f t="shared" ca="1" si="13"/>
        <v>30</v>
      </c>
      <c r="AF74" s="2">
        <f t="shared" ca="1" si="14"/>
        <v>1350</v>
      </c>
      <c r="AG74" s="9">
        <f t="shared" ca="1" si="15"/>
        <v>16.62777777777778</v>
      </c>
      <c r="AH74" s="9">
        <f t="shared" ca="1" si="16"/>
        <v>5.556111111111111</v>
      </c>
      <c r="AJ74" s="190">
        <f t="shared" si="6"/>
        <v>0</v>
      </c>
      <c r="AK74" s="190" t="e">
        <f t="shared" si="7"/>
        <v>#VALUE!</v>
      </c>
    </row>
    <row r="75" spans="1:37" x14ac:dyDescent="0.25">
      <c r="A75" s="68">
        <f t="shared" si="17"/>
        <v>52</v>
      </c>
      <c r="B75" s="68" t="str">
        <f t="shared" si="18"/>
        <v>amortização</v>
      </c>
      <c r="C75" s="156" t="e">
        <f t="shared" si="19"/>
        <v>#VALUE!</v>
      </c>
      <c r="D75" s="156" t="e">
        <f t="shared" si="5"/>
        <v>#VALUE!</v>
      </c>
      <c r="E75" s="162" t="str">
        <f t="shared" si="3"/>
        <v/>
      </c>
      <c r="F75" s="156"/>
      <c r="G75" s="67"/>
      <c r="AA75" s="2">
        <f t="shared" si="10"/>
        <v>46</v>
      </c>
      <c r="AB75" s="8">
        <f t="shared" ca="1" si="11"/>
        <v>47620</v>
      </c>
      <c r="AC75" s="9">
        <f t="shared" ca="1" si="12"/>
        <v>15555.555555555618</v>
      </c>
      <c r="AD75" s="9">
        <f t="shared" si="9"/>
        <v>1111.1111111111111</v>
      </c>
      <c r="AE75" s="2">
        <f t="shared" ca="1" si="13"/>
        <v>30</v>
      </c>
      <c r="AF75" s="2">
        <f t="shared" ca="1" si="14"/>
        <v>1380</v>
      </c>
      <c r="AG75" s="9">
        <f t="shared" ca="1" si="15"/>
        <v>16.62777777777778</v>
      </c>
      <c r="AH75" s="9">
        <f t="shared" ca="1" si="16"/>
        <v>5.556111111111111</v>
      </c>
      <c r="AJ75" s="190">
        <f t="shared" si="6"/>
        <v>0</v>
      </c>
      <c r="AK75" s="190" t="e">
        <f t="shared" si="7"/>
        <v>#VALUE!</v>
      </c>
    </row>
    <row r="76" spans="1:37" x14ac:dyDescent="0.25">
      <c r="A76" s="68">
        <f t="shared" si="17"/>
        <v>53</v>
      </c>
      <c r="B76" s="68" t="str">
        <f t="shared" si="18"/>
        <v>amortização</v>
      </c>
      <c r="C76" s="156" t="e">
        <f t="shared" si="19"/>
        <v>#VALUE!</v>
      </c>
      <c r="D76" s="156" t="e">
        <f t="shared" si="5"/>
        <v>#VALUE!</v>
      </c>
      <c r="E76" s="162" t="str">
        <f t="shared" si="3"/>
        <v/>
      </c>
      <c r="F76" s="156"/>
      <c r="G76" s="67"/>
      <c r="AA76" s="2">
        <f t="shared" si="10"/>
        <v>47</v>
      </c>
      <c r="AB76" s="8">
        <f t="shared" ca="1" si="11"/>
        <v>47650</v>
      </c>
      <c r="AC76" s="9">
        <f t="shared" ca="1" si="12"/>
        <v>14444.444444444507</v>
      </c>
      <c r="AD76" s="9">
        <f t="shared" si="9"/>
        <v>1111.1111111111111</v>
      </c>
      <c r="AE76" s="2">
        <f t="shared" ca="1" si="13"/>
        <v>30</v>
      </c>
      <c r="AF76" s="2">
        <f t="shared" ca="1" si="14"/>
        <v>1410</v>
      </c>
      <c r="AG76" s="9">
        <f t="shared" ca="1" si="15"/>
        <v>16.62777777777778</v>
      </c>
      <c r="AH76" s="9">
        <f t="shared" ca="1" si="16"/>
        <v>5.556111111111111</v>
      </c>
      <c r="AJ76" s="190">
        <f t="shared" si="6"/>
        <v>0</v>
      </c>
      <c r="AK76" s="190" t="e">
        <f t="shared" si="7"/>
        <v>#VALUE!</v>
      </c>
    </row>
    <row r="77" spans="1:37" x14ac:dyDescent="0.25">
      <c r="A77" s="68">
        <f t="shared" si="17"/>
        <v>54</v>
      </c>
      <c r="B77" s="68" t="str">
        <f t="shared" si="18"/>
        <v>amortização</v>
      </c>
      <c r="C77" s="156" t="e">
        <f t="shared" si="19"/>
        <v>#VALUE!</v>
      </c>
      <c r="D77" s="156" t="e">
        <f t="shared" si="5"/>
        <v>#VALUE!</v>
      </c>
      <c r="E77" s="162" t="str">
        <f t="shared" si="3"/>
        <v/>
      </c>
      <c r="F77" s="156"/>
      <c r="G77" s="67"/>
      <c r="AA77" s="2">
        <f t="shared" si="10"/>
        <v>48</v>
      </c>
      <c r="AB77" s="8">
        <f t="shared" ca="1" si="11"/>
        <v>47680</v>
      </c>
      <c r="AC77" s="9">
        <f t="shared" ca="1" si="12"/>
        <v>13333.333333333396</v>
      </c>
      <c r="AD77" s="9">
        <f t="shared" si="9"/>
        <v>1111.1111111111111</v>
      </c>
      <c r="AE77" s="2">
        <f t="shared" ca="1" si="13"/>
        <v>30</v>
      </c>
      <c r="AF77" s="2">
        <f t="shared" ca="1" si="14"/>
        <v>1440</v>
      </c>
      <c r="AG77" s="9">
        <f t="shared" ca="1" si="15"/>
        <v>16.62777777777778</v>
      </c>
      <c r="AH77" s="9">
        <f t="shared" ca="1" si="16"/>
        <v>5.556111111111111</v>
      </c>
      <c r="AJ77" s="190">
        <f t="shared" si="6"/>
        <v>0</v>
      </c>
      <c r="AK77" s="190" t="e">
        <f t="shared" si="7"/>
        <v>#VALUE!</v>
      </c>
    </row>
    <row r="78" spans="1:37" x14ac:dyDescent="0.25">
      <c r="A78" s="68">
        <f t="shared" si="17"/>
        <v>55</v>
      </c>
      <c r="B78" s="68" t="str">
        <f t="shared" si="18"/>
        <v>amortização</v>
      </c>
      <c r="C78" s="156" t="e">
        <f t="shared" si="19"/>
        <v>#VALUE!</v>
      </c>
      <c r="D78" s="156" t="e">
        <f t="shared" si="5"/>
        <v>#VALUE!</v>
      </c>
      <c r="E78" s="162"/>
      <c r="F78" s="156"/>
      <c r="G78" s="67"/>
      <c r="AA78" s="2">
        <f t="shared" si="10"/>
        <v>49</v>
      </c>
      <c r="AC78" s="9" t="str">
        <f t="shared" si="12"/>
        <v/>
      </c>
      <c r="AD78" s="9">
        <f t="shared" si="9"/>
        <v>1111.1111111111111</v>
      </c>
      <c r="AF78" s="2" t="str">
        <f t="shared" si="14"/>
        <v/>
      </c>
      <c r="AG78" s="9" t="str">
        <f t="shared" si="15"/>
        <v/>
      </c>
      <c r="AH78" s="9" t="str">
        <f t="shared" si="16"/>
        <v/>
      </c>
      <c r="AJ78" s="190">
        <f t="shared" si="6"/>
        <v>0</v>
      </c>
      <c r="AK78" s="190" t="e">
        <f t="shared" si="7"/>
        <v>#VALUE!</v>
      </c>
    </row>
    <row r="79" spans="1:37" x14ac:dyDescent="0.25">
      <c r="A79" s="68">
        <f t="shared" si="17"/>
        <v>56</v>
      </c>
      <c r="B79" s="68" t="str">
        <f t="shared" si="18"/>
        <v>amortização</v>
      </c>
      <c r="C79" s="156">
        <f t="shared" si="19"/>
        <v>0</v>
      </c>
      <c r="D79" s="156"/>
      <c r="E79" s="162"/>
      <c r="F79" s="156"/>
      <c r="G79" s="67"/>
      <c r="AA79" s="2">
        <f t="shared" si="10"/>
        <v>50</v>
      </c>
      <c r="AC79" s="9" t="str">
        <f t="shared" si="12"/>
        <v/>
      </c>
      <c r="AD79" s="9">
        <f t="shared" si="9"/>
        <v>1111.1111111111111</v>
      </c>
      <c r="AF79" s="2" t="str">
        <f t="shared" si="14"/>
        <v/>
      </c>
      <c r="AG79" s="9" t="str">
        <f t="shared" si="15"/>
        <v/>
      </c>
      <c r="AH79" s="9" t="str">
        <f t="shared" si="16"/>
        <v/>
      </c>
      <c r="AJ79" s="190">
        <f t="shared" si="6"/>
        <v>0</v>
      </c>
      <c r="AK79" s="190">
        <f t="shared" si="7"/>
        <v>0</v>
      </c>
    </row>
    <row r="80" spans="1:37" x14ac:dyDescent="0.25">
      <c r="A80" s="68">
        <f t="shared" si="17"/>
        <v>57</v>
      </c>
      <c r="B80" s="68" t="str">
        <f t="shared" si="18"/>
        <v>amortização</v>
      </c>
      <c r="C80" s="156">
        <f t="shared" si="19"/>
        <v>0</v>
      </c>
      <c r="D80" s="156"/>
      <c r="E80" s="162"/>
      <c r="F80" s="156"/>
      <c r="G80" s="67"/>
      <c r="AA80" s="2">
        <f t="shared" si="10"/>
        <v>51</v>
      </c>
      <c r="AC80" s="9" t="str">
        <f t="shared" si="12"/>
        <v/>
      </c>
      <c r="AD80" s="9">
        <f t="shared" si="9"/>
        <v>1111.1111111111111</v>
      </c>
      <c r="AF80" s="2" t="str">
        <f t="shared" si="14"/>
        <v/>
      </c>
      <c r="AG80" s="9" t="str">
        <f t="shared" si="15"/>
        <v/>
      </c>
      <c r="AH80" s="9" t="str">
        <f t="shared" si="16"/>
        <v/>
      </c>
      <c r="AJ80" s="190">
        <f t="shared" si="6"/>
        <v>0</v>
      </c>
      <c r="AK80" s="190">
        <f t="shared" si="7"/>
        <v>0</v>
      </c>
    </row>
    <row r="81" spans="1:37" x14ac:dyDescent="0.25">
      <c r="A81" s="68"/>
      <c r="B81" s="68"/>
      <c r="C81" s="156"/>
      <c r="D81" s="156"/>
      <c r="E81" s="162"/>
      <c r="F81" s="156"/>
      <c r="G81" s="67"/>
      <c r="AA81" s="2">
        <f t="shared" si="10"/>
        <v>52</v>
      </c>
      <c r="AC81" s="9" t="str">
        <f t="shared" si="12"/>
        <v/>
      </c>
      <c r="AD81" s="9">
        <f t="shared" si="9"/>
        <v>1111.1111111111111</v>
      </c>
      <c r="AF81" s="2" t="str">
        <f t="shared" si="14"/>
        <v/>
      </c>
      <c r="AG81" s="9" t="str">
        <f t="shared" si="15"/>
        <v/>
      </c>
      <c r="AH81" s="9" t="str">
        <f t="shared" si="16"/>
        <v/>
      </c>
      <c r="AJ81" s="190">
        <f t="shared" si="6"/>
        <v>0</v>
      </c>
      <c r="AK81" s="190">
        <f t="shared" si="7"/>
        <v>0</v>
      </c>
    </row>
    <row r="82" spans="1:37" x14ac:dyDescent="0.25">
      <c r="A82" s="68"/>
      <c r="B82" s="68"/>
      <c r="C82" s="156"/>
      <c r="D82" s="156"/>
      <c r="E82" s="162"/>
      <c r="F82" s="156"/>
      <c r="G82" s="67"/>
      <c r="AA82" s="2">
        <f t="shared" si="10"/>
        <v>53</v>
      </c>
      <c r="AC82" s="9" t="str">
        <f t="shared" si="12"/>
        <v/>
      </c>
      <c r="AD82" s="9">
        <f t="shared" si="9"/>
        <v>1111.1111111111111</v>
      </c>
      <c r="AF82" s="2" t="str">
        <f t="shared" si="14"/>
        <v/>
      </c>
      <c r="AG82" s="9" t="str">
        <f t="shared" si="15"/>
        <v/>
      </c>
      <c r="AH82" s="9" t="str">
        <f t="shared" si="16"/>
        <v/>
      </c>
      <c r="AJ82" s="190">
        <f t="shared" si="6"/>
        <v>0</v>
      </c>
      <c r="AK82" s="190">
        <f t="shared" si="7"/>
        <v>0</v>
      </c>
    </row>
    <row r="83" spans="1:37" x14ac:dyDescent="0.25">
      <c r="A83" s="68"/>
      <c r="B83" s="68"/>
      <c r="C83" s="156"/>
      <c r="D83" s="156"/>
      <c r="E83" s="162"/>
      <c r="F83" s="156"/>
      <c r="G83" s="67"/>
      <c r="AA83" s="2">
        <f t="shared" si="10"/>
        <v>54</v>
      </c>
      <c r="AC83" s="9" t="str">
        <f t="shared" si="12"/>
        <v/>
      </c>
      <c r="AD83" s="9">
        <f t="shared" si="9"/>
        <v>1111.1111111111111</v>
      </c>
      <c r="AF83" s="2" t="str">
        <f t="shared" si="14"/>
        <v/>
      </c>
      <c r="AG83" s="9" t="str">
        <f t="shared" si="15"/>
        <v/>
      </c>
      <c r="AH83" s="9" t="str">
        <f t="shared" si="16"/>
        <v/>
      </c>
      <c r="AJ83" s="190">
        <f t="shared" si="6"/>
        <v>0</v>
      </c>
      <c r="AK83" s="190">
        <f t="shared" si="7"/>
        <v>0</v>
      </c>
    </row>
    <row r="84" spans="1:37" x14ac:dyDescent="0.25">
      <c r="A84" s="68"/>
      <c r="B84" s="68"/>
      <c r="C84" s="156"/>
      <c r="D84" s="156"/>
      <c r="E84" s="162"/>
      <c r="F84" s="156"/>
      <c r="G84" s="67"/>
      <c r="AA84" s="2">
        <f t="shared" si="10"/>
        <v>55</v>
      </c>
      <c r="AC84" s="9" t="str">
        <f t="shared" si="12"/>
        <v/>
      </c>
      <c r="AD84" s="9">
        <f t="shared" si="9"/>
        <v>1111.1111111111111</v>
      </c>
      <c r="AF84" s="2" t="str">
        <f t="shared" si="14"/>
        <v/>
      </c>
      <c r="AG84" s="9" t="str">
        <f t="shared" si="15"/>
        <v/>
      </c>
      <c r="AH84" s="9" t="str">
        <f t="shared" si="16"/>
        <v/>
      </c>
      <c r="AJ84" s="190">
        <f t="shared" si="6"/>
        <v>0</v>
      </c>
      <c r="AK84" s="190">
        <f t="shared" si="7"/>
        <v>0</v>
      </c>
    </row>
    <row r="85" spans="1:37" x14ac:dyDescent="0.25">
      <c r="A85" s="68"/>
      <c r="B85" s="68"/>
      <c r="C85" s="156"/>
      <c r="D85" s="156"/>
      <c r="E85" s="162"/>
      <c r="F85" s="156"/>
      <c r="G85" s="67"/>
      <c r="AA85" s="2">
        <f t="shared" si="10"/>
        <v>56</v>
      </c>
      <c r="AC85" s="9" t="str">
        <f t="shared" si="12"/>
        <v/>
      </c>
      <c r="AD85" s="9">
        <f t="shared" si="9"/>
        <v>1111.1111111111111</v>
      </c>
      <c r="AF85" s="2" t="str">
        <f t="shared" si="14"/>
        <v/>
      </c>
      <c r="AG85" s="9" t="str">
        <f t="shared" si="15"/>
        <v/>
      </c>
      <c r="AH85" s="9" t="str">
        <f t="shared" si="16"/>
        <v/>
      </c>
      <c r="AJ85" s="190">
        <f t="shared" si="6"/>
        <v>0</v>
      </c>
      <c r="AK85" s="190">
        <f t="shared" si="7"/>
        <v>0</v>
      </c>
    </row>
    <row r="86" spans="1:37" x14ac:dyDescent="0.25">
      <c r="A86" s="68"/>
      <c r="B86" s="68"/>
      <c r="C86" s="156"/>
      <c r="D86" s="156"/>
      <c r="E86" s="162"/>
      <c r="F86" s="156"/>
      <c r="G86" s="67"/>
      <c r="AA86" s="2">
        <f t="shared" si="10"/>
        <v>57</v>
      </c>
      <c r="AC86" s="9" t="str">
        <f t="shared" si="12"/>
        <v/>
      </c>
      <c r="AD86" s="9">
        <f t="shared" si="9"/>
        <v>1111.1111111111111</v>
      </c>
      <c r="AF86" s="2" t="str">
        <f t="shared" si="14"/>
        <v/>
      </c>
      <c r="AG86" s="9" t="str">
        <f t="shared" si="15"/>
        <v/>
      </c>
      <c r="AH86" s="9" t="str">
        <f t="shared" si="16"/>
        <v/>
      </c>
      <c r="AJ86" s="190">
        <f t="shared" si="6"/>
        <v>0</v>
      </c>
      <c r="AK86" s="190">
        <f t="shared" si="7"/>
        <v>0</v>
      </c>
    </row>
    <row r="87" spans="1:37" x14ac:dyDescent="0.25">
      <c r="A87" s="68"/>
      <c r="B87" s="68"/>
      <c r="C87" s="156"/>
      <c r="D87" s="156"/>
      <c r="E87" s="162"/>
      <c r="F87" s="156"/>
      <c r="G87" s="67"/>
      <c r="AA87" s="2">
        <f t="shared" si="10"/>
        <v>58</v>
      </c>
      <c r="AC87" s="9" t="str">
        <f t="shared" si="12"/>
        <v/>
      </c>
      <c r="AD87" s="9">
        <f t="shared" si="9"/>
        <v>1111.1111111111111</v>
      </c>
      <c r="AF87" s="2" t="str">
        <f t="shared" si="14"/>
        <v/>
      </c>
      <c r="AG87" s="9" t="str">
        <f t="shared" si="15"/>
        <v/>
      </c>
      <c r="AH87" s="9" t="str">
        <f t="shared" si="16"/>
        <v/>
      </c>
      <c r="AJ87" s="190">
        <f t="shared" si="6"/>
        <v>0</v>
      </c>
      <c r="AK87" s="190">
        <f t="shared" si="7"/>
        <v>0</v>
      </c>
    </row>
    <row r="88" spans="1:37" x14ac:dyDescent="0.25">
      <c r="A88" s="68"/>
      <c r="B88" s="68"/>
      <c r="C88" s="156"/>
      <c r="D88" s="156"/>
      <c r="E88" s="162"/>
      <c r="F88" s="156"/>
      <c r="G88" s="67"/>
      <c r="AA88" s="2">
        <f t="shared" si="10"/>
        <v>59</v>
      </c>
      <c r="AC88" s="9" t="str">
        <f t="shared" si="12"/>
        <v/>
      </c>
      <c r="AD88" s="9">
        <f t="shared" si="9"/>
        <v>1111.1111111111111</v>
      </c>
      <c r="AF88" s="2" t="str">
        <f t="shared" si="14"/>
        <v/>
      </c>
      <c r="AG88" s="9" t="str">
        <f t="shared" si="15"/>
        <v/>
      </c>
      <c r="AH88" s="9" t="str">
        <f t="shared" si="16"/>
        <v/>
      </c>
      <c r="AJ88" s="190">
        <f t="shared" si="6"/>
        <v>0</v>
      </c>
      <c r="AK88" s="190">
        <f t="shared" si="7"/>
        <v>0</v>
      </c>
    </row>
    <row r="89" spans="1:37" x14ac:dyDescent="0.25">
      <c r="A89" s="68"/>
      <c r="B89" s="68"/>
      <c r="C89" s="156"/>
      <c r="D89" s="156"/>
      <c r="E89" s="162"/>
      <c r="F89" s="156"/>
      <c r="G89" s="67"/>
      <c r="AA89" s="2">
        <f t="shared" si="10"/>
        <v>60</v>
      </c>
      <c r="AC89" s="9" t="str">
        <f t="shared" si="12"/>
        <v/>
      </c>
      <c r="AD89" s="9">
        <f t="shared" si="9"/>
        <v>1111.1111111111111</v>
      </c>
      <c r="AF89" s="2" t="str">
        <f t="shared" si="14"/>
        <v/>
      </c>
      <c r="AG89" s="9" t="str">
        <f t="shared" si="15"/>
        <v/>
      </c>
      <c r="AH89" s="9" t="str">
        <f t="shared" si="16"/>
        <v/>
      </c>
      <c r="AJ89" s="190">
        <f t="shared" ref="AJ89:AJ107" si="20">IF(A89&lt;=$B$17,F89,0)</f>
        <v>0</v>
      </c>
      <c r="AK89" s="190">
        <f t="shared" ref="AK89:AK107" si="21">IF(A89&lt;=$B$17,E88*$D$15+D89,0)</f>
        <v>0</v>
      </c>
    </row>
    <row r="90" spans="1:37" x14ac:dyDescent="0.25">
      <c r="A90" s="68"/>
      <c r="B90" s="68"/>
      <c r="C90" s="156"/>
      <c r="D90" s="156"/>
      <c r="E90" s="162"/>
      <c r="F90" s="156"/>
      <c r="G90" s="67"/>
      <c r="AA90" s="2" t="str">
        <f t="shared" si="10"/>
        <v/>
      </c>
      <c r="AC90" s="9" t="str">
        <f t="shared" si="12"/>
        <v/>
      </c>
      <c r="AD90" s="9" t="str">
        <f t="shared" si="9"/>
        <v/>
      </c>
      <c r="AF90" s="2" t="str">
        <f t="shared" si="14"/>
        <v/>
      </c>
      <c r="AG90" s="9" t="str">
        <f t="shared" si="15"/>
        <v/>
      </c>
      <c r="AH90" s="9" t="str">
        <f t="shared" si="16"/>
        <v/>
      </c>
      <c r="AJ90" s="190">
        <f t="shared" si="20"/>
        <v>0</v>
      </c>
      <c r="AK90" s="190">
        <f t="shared" si="21"/>
        <v>0</v>
      </c>
    </row>
    <row r="91" spans="1:37" x14ac:dyDescent="0.25">
      <c r="A91" s="68"/>
      <c r="B91" s="68"/>
      <c r="C91" s="156"/>
      <c r="D91" s="156"/>
      <c r="E91" s="162"/>
      <c r="F91" s="156"/>
      <c r="G91" s="67"/>
      <c r="AA91" s="2" t="str">
        <f t="shared" si="10"/>
        <v/>
      </c>
      <c r="AC91" s="9" t="str">
        <f t="shared" si="12"/>
        <v/>
      </c>
      <c r="AD91" s="9" t="str">
        <f t="shared" si="9"/>
        <v/>
      </c>
      <c r="AF91" s="2" t="str">
        <f t="shared" si="14"/>
        <v/>
      </c>
      <c r="AG91" s="9" t="str">
        <f t="shared" si="15"/>
        <v/>
      </c>
      <c r="AH91" s="9" t="str">
        <f t="shared" si="16"/>
        <v/>
      </c>
      <c r="AJ91" s="190">
        <f t="shared" si="20"/>
        <v>0</v>
      </c>
      <c r="AK91" s="190">
        <f t="shared" si="21"/>
        <v>0</v>
      </c>
    </row>
    <row r="92" spans="1:37" x14ac:dyDescent="0.25">
      <c r="A92" s="68"/>
      <c r="B92" s="68"/>
      <c r="C92" s="156"/>
      <c r="D92" s="156"/>
      <c r="E92" s="162"/>
      <c r="F92" s="156"/>
      <c r="G92" s="67"/>
      <c r="AA92" s="2" t="str">
        <f t="shared" si="10"/>
        <v/>
      </c>
      <c r="AC92" s="9" t="str">
        <f t="shared" si="12"/>
        <v/>
      </c>
      <c r="AD92" s="9" t="str">
        <f t="shared" si="9"/>
        <v/>
      </c>
      <c r="AF92" s="2" t="str">
        <f t="shared" si="14"/>
        <v/>
      </c>
      <c r="AG92" s="9" t="str">
        <f t="shared" si="15"/>
        <v/>
      </c>
      <c r="AH92" s="9" t="str">
        <f t="shared" si="16"/>
        <v/>
      </c>
      <c r="AJ92" s="190">
        <f t="shared" si="20"/>
        <v>0</v>
      </c>
      <c r="AK92" s="190">
        <f t="shared" si="21"/>
        <v>0</v>
      </c>
    </row>
    <row r="93" spans="1:37" x14ac:dyDescent="0.25">
      <c r="A93" s="68"/>
      <c r="B93" s="68"/>
      <c r="C93" s="156"/>
      <c r="D93" s="156"/>
      <c r="E93" s="162"/>
      <c r="F93" s="156"/>
      <c r="G93" s="67"/>
      <c r="AA93" s="2" t="str">
        <f t="shared" si="10"/>
        <v/>
      </c>
      <c r="AC93" s="9" t="str">
        <f t="shared" si="12"/>
        <v/>
      </c>
      <c r="AD93" s="9" t="str">
        <f t="shared" si="9"/>
        <v/>
      </c>
      <c r="AF93" s="2" t="str">
        <f t="shared" si="14"/>
        <v/>
      </c>
      <c r="AG93" s="9" t="str">
        <f t="shared" si="15"/>
        <v/>
      </c>
      <c r="AH93" s="9" t="str">
        <f t="shared" si="16"/>
        <v/>
      </c>
      <c r="AJ93" s="190">
        <f t="shared" si="20"/>
        <v>0</v>
      </c>
      <c r="AK93" s="190">
        <f t="shared" si="21"/>
        <v>0</v>
      </c>
    </row>
    <row r="94" spans="1:37" x14ac:dyDescent="0.25">
      <c r="A94" s="68"/>
      <c r="B94" s="68"/>
      <c r="C94" s="156"/>
      <c r="D94" s="156"/>
      <c r="E94" s="162"/>
      <c r="F94" s="156"/>
      <c r="G94" s="67"/>
      <c r="AA94" s="2" t="str">
        <f t="shared" si="10"/>
        <v/>
      </c>
      <c r="AC94" s="9" t="str">
        <f t="shared" si="12"/>
        <v/>
      </c>
      <c r="AD94" s="9" t="str">
        <f t="shared" ref="AD94:AD157" si="22">IF(AA94="","",IF(AA94&lt;=B$16,0,B$15/(B$17-B$16)))</f>
        <v/>
      </c>
      <c r="AF94" s="2" t="str">
        <f t="shared" si="14"/>
        <v/>
      </c>
      <c r="AG94" s="9" t="str">
        <f t="shared" si="15"/>
        <v/>
      </c>
      <c r="AH94" s="9" t="str">
        <f t="shared" si="16"/>
        <v/>
      </c>
      <c r="AJ94" s="190">
        <f t="shared" si="20"/>
        <v>0</v>
      </c>
      <c r="AK94" s="190">
        <f t="shared" si="21"/>
        <v>0</v>
      </c>
    </row>
    <row r="95" spans="1:37" x14ac:dyDescent="0.25">
      <c r="A95" s="68"/>
      <c r="B95" s="68"/>
      <c r="C95" s="156"/>
      <c r="D95" s="156"/>
      <c r="E95" s="162"/>
      <c r="F95" s="156"/>
      <c r="G95" s="67"/>
      <c r="AA95" s="2" t="str">
        <f t="shared" ref="AA95:AA158" si="23">IF(AA94&lt;B$17,AA94+1,"")</f>
        <v/>
      </c>
      <c r="AC95" s="9" t="str">
        <f t="shared" ref="AC95:AC158" si="24">IF(AB95="","",IF(AA95&lt;=B$16,AC94,AC94-AD95))</f>
        <v/>
      </c>
      <c r="AD95" s="9" t="str">
        <f t="shared" si="22"/>
        <v/>
      </c>
      <c r="AF95" s="2" t="str">
        <f t="shared" ref="AF95:AF158" si="25">IF(AE95="","",AB95-AB$29)</f>
        <v/>
      </c>
      <c r="AG95" s="9" t="str">
        <f t="shared" ref="AG95:AG158" si="26">IF(AF95="","",IF(AF95&lt;365,AF95*AC$25*AD95,365*AD95*AC$25))</f>
        <v/>
      </c>
      <c r="AH95" s="9" t="str">
        <f t="shared" ref="AH95:AH158" si="27">IF(AF95="","",IF(AF95&lt;365,AF95*AC$26*AD95,365*AD95*AC$26))</f>
        <v/>
      </c>
      <c r="AJ95" s="190">
        <f t="shared" si="20"/>
        <v>0</v>
      </c>
      <c r="AK95" s="190">
        <f t="shared" si="21"/>
        <v>0</v>
      </c>
    </row>
    <row r="96" spans="1:37" x14ac:dyDescent="0.25">
      <c r="A96" s="68"/>
      <c r="B96" s="68"/>
      <c r="C96" s="156"/>
      <c r="D96" s="156"/>
      <c r="E96" s="162"/>
      <c r="F96" s="156"/>
      <c r="G96" s="67"/>
      <c r="AA96" s="2" t="str">
        <f t="shared" si="23"/>
        <v/>
      </c>
      <c r="AC96" s="9" t="str">
        <f t="shared" si="24"/>
        <v/>
      </c>
      <c r="AD96" s="9" t="str">
        <f t="shared" si="22"/>
        <v/>
      </c>
      <c r="AF96" s="2" t="str">
        <f t="shared" si="25"/>
        <v/>
      </c>
      <c r="AG96" s="9" t="str">
        <f t="shared" si="26"/>
        <v/>
      </c>
      <c r="AH96" s="9" t="str">
        <f t="shared" si="27"/>
        <v/>
      </c>
      <c r="AJ96" s="190">
        <f t="shared" si="20"/>
        <v>0</v>
      </c>
      <c r="AK96" s="190">
        <f t="shared" si="21"/>
        <v>0</v>
      </c>
    </row>
    <row r="97" spans="1:37" x14ac:dyDescent="0.25">
      <c r="A97" s="68"/>
      <c r="B97" s="68"/>
      <c r="C97" s="156"/>
      <c r="D97" s="156"/>
      <c r="E97" s="162"/>
      <c r="F97" s="156"/>
      <c r="G97" s="67"/>
      <c r="AA97" s="2" t="str">
        <f t="shared" si="23"/>
        <v/>
      </c>
      <c r="AC97" s="9" t="str">
        <f t="shared" si="24"/>
        <v/>
      </c>
      <c r="AD97" s="9" t="str">
        <f t="shared" si="22"/>
        <v/>
      </c>
      <c r="AF97" s="2" t="str">
        <f t="shared" si="25"/>
        <v/>
      </c>
      <c r="AG97" s="9" t="str">
        <f t="shared" si="26"/>
        <v/>
      </c>
      <c r="AH97" s="9" t="str">
        <f t="shared" si="27"/>
        <v/>
      </c>
      <c r="AJ97" s="190">
        <f t="shared" si="20"/>
        <v>0</v>
      </c>
      <c r="AK97" s="190">
        <f t="shared" si="21"/>
        <v>0</v>
      </c>
    </row>
    <row r="98" spans="1:37" x14ac:dyDescent="0.25">
      <c r="A98" s="68"/>
      <c r="B98" s="68"/>
      <c r="C98" s="156"/>
      <c r="D98" s="156"/>
      <c r="E98" s="162"/>
      <c r="F98" s="156"/>
      <c r="G98" s="67"/>
      <c r="AA98" s="2" t="str">
        <f t="shared" si="23"/>
        <v/>
      </c>
      <c r="AC98" s="9" t="str">
        <f t="shared" si="24"/>
        <v/>
      </c>
      <c r="AD98" s="9" t="str">
        <f t="shared" si="22"/>
        <v/>
      </c>
      <c r="AF98" s="2" t="str">
        <f t="shared" si="25"/>
        <v/>
      </c>
      <c r="AG98" s="9" t="str">
        <f t="shared" si="26"/>
        <v/>
      </c>
      <c r="AH98" s="9" t="str">
        <f t="shared" si="27"/>
        <v/>
      </c>
      <c r="AJ98" s="190">
        <f t="shared" si="20"/>
        <v>0</v>
      </c>
      <c r="AK98" s="190">
        <f t="shared" si="21"/>
        <v>0</v>
      </c>
    </row>
    <row r="99" spans="1:37" x14ac:dyDescent="0.25">
      <c r="A99" s="68"/>
      <c r="B99" s="68"/>
      <c r="C99" s="156"/>
      <c r="D99" s="156"/>
      <c r="E99" s="162"/>
      <c r="F99" s="156"/>
      <c r="G99" s="67"/>
      <c r="AA99" s="2" t="str">
        <f t="shared" si="23"/>
        <v/>
      </c>
      <c r="AC99" s="9" t="str">
        <f t="shared" si="24"/>
        <v/>
      </c>
      <c r="AD99" s="9" t="str">
        <f t="shared" si="22"/>
        <v/>
      </c>
      <c r="AF99" s="2" t="str">
        <f t="shared" si="25"/>
        <v/>
      </c>
      <c r="AG99" s="9" t="str">
        <f t="shared" si="26"/>
        <v/>
      </c>
      <c r="AH99" s="9" t="str">
        <f t="shared" si="27"/>
        <v/>
      </c>
      <c r="AJ99" s="190">
        <f t="shared" si="20"/>
        <v>0</v>
      </c>
      <c r="AK99" s="190">
        <f t="shared" si="21"/>
        <v>0</v>
      </c>
    </row>
    <row r="100" spans="1:37" x14ac:dyDescent="0.25">
      <c r="A100" s="68"/>
      <c r="B100" s="68"/>
      <c r="C100" s="156"/>
      <c r="D100" s="156"/>
      <c r="E100" s="162"/>
      <c r="F100" s="156"/>
      <c r="G100" s="67"/>
      <c r="AA100" s="2" t="str">
        <f t="shared" si="23"/>
        <v/>
      </c>
      <c r="AC100" s="9" t="str">
        <f t="shared" si="24"/>
        <v/>
      </c>
      <c r="AD100" s="9" t="str">
        <f t="shared" si="22"/>
        <v/>
      </c>
      <c r="AF100" s="2" t="str">
        <f t="shared" si="25"/>
        <v/>
      </c>
      <c r="AG100" s="9" t="str">
        <f t="shared" si="26"/>
        <v/>
      </c>
      <c r="AH100" s="9" t="str">
        <f t="shared" si="27"/>
        <v/>
      </c>
      <c r="AJ100" s="190">
        <f t="shared" si="20"/>
        <v>0</v>
      </c>
      <c r="AK100" s="190">
        <f t="shared" si="21"/>
        <v>0</v>
      </c>
    </row>
    <row r="101" spans="1:37" x14ac:dyDescent="0.25">
      <c r="A101" s="68"/>
      <c r="B101" s="68"/>
      <c r="C101" s="156"/>
      <c r="D101" s="156"/>
      <c r="E101" s="162"/>
      <c r="F101" s="156"/>
      <c r="G101" s="67"/>
      <c r="AA101" s="2" t="str">
        <f t="shared" si="23"/>
        <v/>
      </c>
      <c r="AC101" s="9" t="str">
        <f t="shared" si="24"/>
        <v/>
      </c>
      <c r="AD101" s="9" t="str">
        <f t="shared" si="22"/>
        <v/>
      </c>
      <c r="AF101" s="2" t="str">
        <f t="shared" si="25"/>
        <v/>
      </c>
      <c r="AG101" s="9" t="str">
        <f t="shared" si="26"/>
        <v/>
      </c>
      <c r="AH101" s="9" t="str">
        <f t="shared" si="27"/>
        <v/>
      </c>
      <c r="AJ101" s="190">
        <f t="shared" si="20"/>
        <v>0</v>
      </c>
      <c r="AK101" s="190">
        <f t="shared" si="21"/>
        <v>0</v>
      </c>
    </row>
    <row r="102" spans="1:37" x14ac:dyDescent="0.25">
      <c r="A102" s="68"/>
      <c r="B102" s="68"/>
      <c r="C102" s="156"/>
      <c r="D102" s="156"/>
      <c r="E102" s="162"/>
      <c r="F102" s="156"/>
      <c r="G102" s="67"/>
      <c r="AA102" s="2" t="str">
        <f t="shared" si="23"/>
        <v/>
      </c>
      <c r="AC102" s="9" t="str">
        <f t="shared" si="24"/>
        <v/>
      </c>
      <c r="AD102" s="9" t="str">
        <f t="shared" si="22"/>
        <v/>
      </c>
      <c r="AF102" s="2" t="str">
        <f t="shared" si="25"/>
        <v/>
      </c>
      <c r="AG102" s="9" t="str">
        <f t="shared" si="26"/>
        <v/>
      </c>
      <c r="AH102" s="9" t="str">
        <f t="shared" si="27"/>
        <v/>
      </c>
      <c r="AJ102" s="190">
        <f t="shared" si="20"/>
        <v>0</v>
      </c>
      <c r="AK102" s="190">
        <f t="shared" si="21"/>
        <v>0</v>
      </c>
    </row>
    <row r="103" spans="1:37" x14ac:dyDescent="0.25">
      <c r="A103" s="68"/>
      <c r="B103" s="68"/>
      <c r="C103" s="156"/>
      <c r="D103" s="156"/>
      <c r="E103" s="162"/>
      <c r="F103" s="156"/>
      <c r="G103" s="67"/>
      <c r="AA103" s="2" t="str">
        <f t="shared" si="23"/>
        <v/>
      </c>
      <c r="AC103" s="9" t="str">
        <f t="shared" si="24"/>
        <v/>
      </c>
      <c r="AD103" s="9" t="str">
        <f t="shared" si="22"/>
        <v/>
      </c>
      <c r="AF103" s="2" t="str">
        <f t="shared" si="25"/>
        <v/>
      </c>
      <c r="AG103" s="9" t="str">
        <f t="shared" si="26"/>
        <v/>
      </c>
      <c r="AH103" s="9" t="str">
        <f t="shared" si="27"/>
        <v/>
      </c>
      <c r="AJ103" s="190">
        <f t="shared" si="20"/>
        <v>0</v>
      </c>
      <c r="AK103" s="190">
        <f t="shared" si="21"/>
        <v>0</v>
      </c>
    </row>
    <row r="104" spans="1:37" x14ac:dyDescent="0.25">
      <c r="A104" s="68"/>
      <c r="B104" s="68"/>
      <c r="C104" s="156"/>
      <c r="D104" s="156"/>
      <c r="E104" s="162"/>
      <c r="F104" s="156"/>
      <c r="G104" s="67"/>
      <c r="AA104" s="2" t="str">
        <f t="shared" si="23"/>
        <v/>
      </c>
      <c r="AC104" s="9" t="str">
        <f t="shared" si="24"/>
        <v/>
      </c>
      <c r="AD104" s="9" t="str">
        <f t="shared" si="22"/>
        <v/>
      </c>
      <c r="AF104" s="2" t="str">
        <f t="shared" si="25"/>
        <v/>
      </c>
      <c r="AG104" s="9" t="str">
        <f t="shared" si="26"/>
        <v/>
      </c>
      <c r="AH104" s="9" t="str">
        <f t="shared" si="27"/>
        <v/>
      </c>
      <c r="AJ104" s="190">
        <f t="shared" si="20"/>
        <v>0</v>
      </c>
      <c r="AK104" s="190">
        <f t="shared" si="21"/>
        <v>0</v>
      </c>
    </row>
    <row r="105" spans="1:37" x14ac:dyDescent="0.25">
      <c r="A105" s="68"/>
      <c r="B105" s="68"/>
      <c r="C105" s="156"/>
      <c r="D105" s="156"/>
      <c r="E105" s="162"/>
      <c r="F105" s="156"/>
      <c r="G105" s="67"/>
      <c r="AA105" s="2" t="str">
        <f t="shared" si="23"/>
        <v/>
      </c>
      <c r="AC105" s="9" t="str">
        <f t="shared" si="24"/>
        <v/>
      </c>
      <c r="AD105" s="9" t="str">
        <f t="shared" si="22"/>
        <v/>
      </c>
      <c r="AF105" s="2" t="str">
        <f t="shared" si="25"/>
        <v/>
      </c>
      <c r="AG105" s="9" t="str">
        <f t="shared" si="26"/>
        <v/>
      </c>
      <c r="AH105" s="9" t="str">
        <f t="shared" si="27"/>
        <v/>
      </c>
      <c r="AJ105" s="190">
        <f t="shared" si="20"/>
        <v>0</v>
      </c>
      <c r="AK105" s="190">
        <f t="shared" si="21"/>
        <v>0</v>
      </c>
    </row>
    <row r="106" spans="1:37" x14ac:dyDescent="0.25">
      <c r="A106" s="68"/>
      <c r="B106" s="68"/>
      <c r="C106" s="156"/>
      <c r="D106" s="156"/>
      <c r="E106" s="162"/>
      <c r="F106" s="156"/>
      <c r="G106" s="67"/>
      <c r="AA106" s="2" t="str">
        <f t="shared" si="23"/>
        <v/>
      </c>
      <c r="AC106" s="9" t="str">
        <f t="shared" si="24"/>
        <v/>
      </c>
      <c r="AD106" s="9" t="str">
        <f t="shared" si="22"/>
        <v/>
      </c>
      <c r="AF106" s="2" t="str">
        <f t="shared" si="25"/>
        <v/>
      </c>
      <c r="AG106" s="9" t="str">
        <f t="shared" si="26"/>
        <v/>
      </c>
      <c r="AH106" s="9" t="str">
        <f t="shared" si="27"/>
        <v/>
      </c>
      <c r="AJ106" s="190">
        <f t="shared" si="20"/>
        <v>0</v>
      </c>
      <c r="AK106" s="190">
        <f t="shared" si="21"/>
        <v>0</v>
      </c>
    </row>
    <row r="107" spans="1:37" x14ac:dyDescent="0.25">
      <c r="A107" s="68"/>
      <c r="B107" s="68"/>
      <c r="C107" s="156"/>
      <c r="D107" s="156"/>
      <c r="E107" s="162"/>
      <c r="F107" s="156"/>
      <c r="G107" s="67"/>
      <c r="AA107" s="2" t="str">
        <f t="shared" si="23"/>
        <v/>
      </c>
      <c r="AC107" s="9" t="str">
        <f t="shared" si="24"/>
        <v/>
      </c>
      <c r="AD107" s="9" t="str">
        <f t="shared" si="22"/>
        <v/>
      </c>
      <c r="AF107" s="2" t="str">
        <f t="shared" si="25"/>
        <v/>
      </c>
      <c r="AG107" s="9" t="str">
        <f t="shared" si="26"/>
        <v/>
      </c>
      <c r="AH107" s="9" t="str">
        <f t="shared" si="27"/>
        <v/>
      </c>
      <c r="AJ107" s="190">
        <f t="shared" si="20"/>
        <v>0</v>
      </c>
      <c r="AK107" s="190">
        <f t="shared" si="21"/>
        <v>0</v>
      </c>
    </row>
    <row r="108" spans="1:37" x14ac:dyDescent="0.25">
      <c r="A108" s="68"/>
      <c r="B108" s="68"/>
      <c r="C108" s="156"/>
      <c r="D108" s="156"/>
      <c r="E108" s="162"/>
      <c r="F108" s="156"/>
      <c r="G108" s="67"/>
      <c r="AA108" s="2" t="str">
        <f t="shared" si="23"/>
        <v/>
      </c>
      <c r="AC108" s="9" t="str">
        <f t="shared" si="24"/>
        <v/>
      </c>
      <c r="AD108" s="9" t="str">
        <f t="shared" si="22"/>
        <v/>
      </c>
      <c r="AF108" s="2" t="str">
        <f t="shared" si="25"/>
        <v/>
      </c>
      <c r="AG108" s="9" t="str">
        <f t="shared" si="26"/>
        <v/>
      </c>
      <c r="AH108" s="9" t="str">
        <f t="shared" si="27"/>
        <v/>
      </c>
    </row>
    <row r="109" spans="1:37" x14ac:dyDescent="0.25">
      <c r="A109" s="68"/>
      <c r="B109" s="68"/>
      <c r="C109" s="156"/>
      <c r="D109" s="156"/>
      <c r="E109" s="162"/>
      <c r="F109" s="156"/>
      <c r="G109" s="67"/>
      <c r="AA109" s="2" t="str">
        <f t="shared" si="23"/>
        <v/>
      </c>
      <c r="AC109" s="9" t="str">
        <f t="shared" si="24"/>
        <v/>
      </c>
      <c r="AD109" s="9" t="str">
        <f t="shared" si="22"/>
        <v/>
      </c>
      <c r="AF109" s="2" t="str">
        <f t="shared" si="25"/>
        <v/>
      </c>
      <c r="AG109" s="9" t="str">
        <f t="shared" si="26"/>
        <v/>
      </c>
      <c r="AH109" s="9" t="str">
        <f t="shared" si="27"/>
        <v/>
      </c>
    </row>
    <row r="110" spans="1:37" x14ac:dyDescent="0.25">
      <c r="A110" s="68"/>
      <c r="B110" s="68"/>
      <c r="C110" s="156"/>
      <c r="D110" s="156"/>
      <c r="E110" s="162"/>
      <c r="F110" s="156"/>
      <c r="G110" s="67"/>
      <c r="AA110" s="2" t="str">
        <f t="shared" si="23"/>
        <v/>
      </c>
      <c r="AC110" s="9" t="str">
        <f t="shared" si="24"/>
        <v/>
      </c>
      <c r="AD110" s="9" t="str">
        <f t="shared" si="22"/>
        <v/>
      </c>
      <c r="AF110" s="2" t="str">
        <f t="shared" si="25"/>
        <v/>
      </c>
      <c r="AG110" s="9" t="str">
        <f t="shared" si="26"/>
        <v/>
      </c>
      <c r="AH110" s="9" t="str">
        <f t="shared" si="27"/>
        <v/>
      </c>
    </row>
    <row r="111" spans="1:37" x14ac:dyDescent="0.25">
      <c r="A111" s="68"/>
      <c r="B111" s="68"/>
      <c r="C111" s="156"/>
      <c r="D111" s="156"/>
      <c r="E111" s="162"/>
      <c r="F111" s="156"/>
      <c r="G111" s="67"/>
      <c r="AA111" s="2" t="str">
        <f t="shared" si="23"/>
        <v/>
      </c>
      <c r="AC111" s="9" t="str">
        <f t="shared" si="24"/>
        <v/>
      </c>
      <c r="AD111" s="9" t="str">
        <f t="shared" si="22"/>
        <v/>
      </c>
      <c r="AF111" s="2" t="str">
        <f t="shared" si="25"/>
        <v/>
      </c>
      <c r="AG111" s="9" t="str">
        <f t="shared" si="26"/>
        <v/>
      </c>
      <c r="AH111" s="9" t="str">
        <f t="shared" si="27"/>
        <v/>
      </c>
    </row>
    <row r="112" spans="1:37" x14ac:dyDescent="0.25">
      <c r="A112" s="68"/>
      <c r="B112" s="68"/>
      <c r="C112" s="156"/>
      <c r="D112" s="156"/>
      <c r="E112" s="162"/>
      <c r="F112" s="156"/>
      <c r="G112" s="67"/>
      <c r="AA112" s="2" t="str">
        <f t="shared" si="23"/>
        <v/>
      </c>
      <c r="AC112" s="9" t="str">
        <f t="shared" si="24"/>
        <v/>
      </c>
      <c r="AD112" s="9" t="str">
        <f t="shared" si="22"/>
        <v/>
      </c>
      <c r="AF112" s="2" t="str">
        <f t="shared" si="25"/>
        <v/>
      </c>
      <c r="AG112" s="9" t="str">
        <f t="shared" si="26"/>
        <v/>
      </c>
      <c r="AH112" s="9" t="str">
        <f t="shared" si="27"/>
        <v/>
      </c>
    </row>
    <row r="113" spans="1:34" x14ac:dyDescent="0.25">
      <c r="A113" s="68"/>
      <c r="B113" s="68"/>
      <c r="C113" s="156"/>
      <c r="D113" s="156"/>
      <c r="E113" s="162"/>
      <c r="F113" s="156"/>
      <c r="G113" s="67"/>
      <c r="AA113" s="2" t="str">
        <f t="shared" si="23"/>
        <v/>
      </c>
      <c r="AC113" s="9" t="str">
        <f t="shared" si="24"/>
        <v/>
      </c>
      <c r="AD113" s="9" t="str">
        <f t="shared" si="22"/>
        <v/>
      </c>
      <c r="AF113" s="2" t="str">
        <f t="shared" si="25"/>
        <v/>
      </c>
      <c r="AG113" s="9" t="str">
        <f t="shared" si="26"/>
        <v/>
      </c>
      <c r="AH113" s="9" t="str">
        <f t="shared" si="27"/>
        <v/>
      </c>
    </row>
    <row r="114" spans="1:34" x14ac:dyDescent="0.25">
      <c r="A114" s="68"/>
      <c r="B114" s="68"/>
      <c r="C114" s="156"/>
      <c r="D114" s="156"/>
      <c r="E114" s="162"/>
      <c r="F114" s="156"/>
      <c r="G114" s="67"/>
      <c r="AA114" s="2" t="str">
        <f t="shared" si="23"/>
        <v/>
      </c>
      <c r="AC114" s="9" t="str">
        <f t="shared" si="24"/>
        <v/>
      </c>
      <c r="AD114" s="9" t="str">
        <f t="shared" si="22"/>
        <v/>
      </c>
      <c r="AF114" s="2" t="str">
        <f t="shared" si="25"/>
        <v/>
      </c>
      <c r="AG114" s="9" t="str">
        <f t="shared" si="26"/>
        <v/>
      </c>
      <c r="AH114" s="9" t="str">
        <f t="shared" si="27"/>
        <v/>
      </c>
    </row>
    <row r="115" spans="1:34" x14ac:dyDescent="0.25">
      <c r="A115" s="68"/>
      <c r="B115" s="68"/>
      <c r="C115" s="156"/>
      <c r="D115" s="156"/>
      <c r="E115" s="162"/>
      <c r="F115" s="156"/>
      <c r="G115" s="67"/>
      <c r="AA115" s="2" t="str">
        <f t="shared" si="23"/>
        <v/>
      </c>
      <c r="AC115" s="9" t="str">
        <f t="shared" si="24"/>
        <v/>
      </c>
      <c r="AD115" s="9" t="str">
        <f t="shared" si="22"/>
        <v/>
      </c>
      <c r="AF115" s="2" t="str">
        <f t="shared" si="25"/>
        <v/>
      </c>
      <c r="AG115" s="9" t="str">
        <f t="shared" si="26"/>
        <v/>
      </c>
      <c r="AH115" s="9" t="str">
        <f t="shared" si="27"/>
        <v/>
      </c>
    </row>
    <row r="116" spans="1:34" x14ac:dyDescent="0.25">
      <c r="A116" s="68"/>
      <c r="B116" s="68"/>
      <c r="C116" s="156"/>
      <c r="D116" s="156"/>
      <c r="E116" s="162"/>
      <c r="F116" s="156"/>
      <c r="G116" s="67"/>
      <c r="AA116" s="2" t="str">
        <f t="shared" si="23"/>
        <v/>
      </c>
      <c r="AC116" s="9" t="str">
        <f t="shared" si="24"/>
        <v/>
      </c>
      <c r="AD116" s="9" t="str">
        <f t="shared" si="22"/>
        <v/>
      </c>
      <c r="AF116" s="2" t="str">
        <f t="shared" si="25"/>
        <v/>
      </c>
      <c r="AG116" s="9" t="str">
        <f t="shared" si="26"/>
        <v/>
      </c>
      <c r="AH116" s="9" t="str">
        <f t="shared" si="27"/>
        <v/>
      </c>
    </row>
    <row r="117" spans="1:34" x14ac:dyDescent="0.25">
      <c r="A117" s="68"/>
      <c r="B117" s="68"/>
      <c r="C117" s="156"/>
      <c r="D117" s="156"/>
      <c r="E117" s="162"/>
      <c r="F117" s="156"/>
      <c r="G117" s="67"/>
      <c r="AA117" s="2" t="str">
        <f t="shared" si="23"/>
        <v/>
      </c>
      <c r="AC117" s="9" t="str">
        <f t="shared" si="24"/>
        <v/>
      </c>
      <c r="AD117" s="9" t="str">
        <f t="shared" si="22"/>
        <v/>
      </c>
      <c r="AF117" s="2" t="str">
        <f t="shared" si="25"/>
        <v/>
      </c>
      <c r="AG117" s="9" t="str">
        <f t="shared" si="26"/>
        <v/>
      </c>
      <c r="AH117" s="9" t="str">
        <f t="shared" si="27"/>
        <v/>
      </c>
    </row>
    <row r="118" spans="1:34" x14ac:dyDescent="0.25">
      <c r="A118" s="68"/>
      <c r="B118" s="68"/>
      <c r="C118" s="156"/>
      <c r="D118" s="156"/>
      <c r="E118" s="162"/>
      <c r="F118" s="156"/>
      <c r="G118" s="67"/>
      <c r="AA118" s="2" t="str">
        <f t="shared" si="23"/>
        <v/>
      </c>
      <c r="AC118" s="9" t="str">
        <f t="shared" si="24"/>
        <v/>
      </c>
      <c r="AD118" s="9" t="str">
        <f t="shared" si="22"/>
        <v/>
      </c>
      <c r="AF118" s="2" t="str">
        <f t="shared" si="25"/>
        <v/>
      </c>
      <c r="AG118" s="9" t="str">
        <f t="shared" si="26"/>
        <v/>
      </c>
      <c r="AH118" s="9" t="str">
        <f t="shared" si="27"/>
        <v/>
      </c>
    </row>
    <row r="119" spans="1:34" x14ac:dyDescent="0.25">
      <c r="A119" s="68"/>
      <c r="B119" s="68"/>
      <c r="C119" s="156"/>
      <c r="D119" s="156"/>
      <c r="E119" s="162"/>
      <c r="F119" s="156"/>
      <c r="G119" s="67"/>
      <c r="AA119" s="2" t="str">
        <f t="shared" si="23"/>
        <v/>
      </c>
      <c r="AC119" s="9" t="str">
        <f t="shared" si="24"/>
        <v/>
      </c>
      <c r="AD119" s="9" t="str">
        <f t="shared" si="22"/>
        <v/>
      </c>
      <c r="AF119" s="2" t="str">
        <f t="shared" si="25"/>
        <v/>
      </c>
      <c r="AG119" s="9" t="str">
        <f t="shared" si="26"/>
        <v/>
      </c>
      <c r="AH119" s="9" t="str">
        <f t="shared" si="27"/>
        <v/>
      </c>
    </row>
    <row r="120" spans="1:34" x14ac:dyDescent="0.25">
      <c r="A120" s="68"/>
      <c r="B120" s="68"/>
      <c r="C120" s="156"/>
      <c r="D120" s="156"/>
      <c r="E120" s="162"/>
      <c r="F120" s="156"/>
      <c r="G120" s="67"/>
      <c r="AA120" s="2" t="str">
        <f t="shared" si="23"/>
        <v/>
      </c>
      <c r="AC120" s="9" t="str">
        <f t="shared" si="24"/>
        <v/>
      </c>
      <c r="AD120" s="9" t="str">
        <f t="shared" si="22"/>
        <v/>
      </c>
      <c r="AF120" s="2" t="str">
        <f t="shared" si="25"/>
        <v/>
      </c>
      <c r="AG120" s="9" t="str">
        <f t="shared" si="26"/>
        <v/>
      </c>
      <c r="AH120" s="9" t="str">
        <f t="shared" si="27"/>
        <v/>
      </c>
    </row>
    <row r="121" spans="1:34" x14ac:dyDescent="0.25">
      <c r="A121" s="68"/>
      <c r="B121" s="68"/>
      <c r="C121" s="156"/>
      <c r="D121" s="156"/>
      <c r="E121" s="162"/>
      <c r="F121" s="156"/>
      <c r="G121" s="67"/>
      <c r="AA121" s="2" t="str">
        <f t="shared" si="23"/>
        <v/>
      </c>
      <c r="AC121" s="9" t="str">
        <f t="shared" si="24"/>
        <v/>
      </c>
      <c r="AD121" s="9" t="str">
        <f t="shared" si="22"/>
        <v/>
      </c>
      <c r="AF121" s="2" t="str">
        <f t="shared" si="25"/>
        <v/>
      </c>
      <c r="AG121" s="9" t="str">
        <f t="shared" si="26"/>
        <v/>
      </c>
      <c r="AH121" s="9" t="str">
        <f t="shared" si="27"/>
        <v/>
      </c>
    </row>
    <row r="122" spans="1:34" x14ac:dyDescent="0.25">
      <c r="A122" s="68"/>
      <c r="B122" s="68"/>
      <c r="C122" s="156"/>
      <c r="D122" s="156"/>
      <c r="E122" s="162"/>
      <c r="F122" s="156"/>
      <c r="G122" s="67"/>
      <c r="AA122" s="2" t="str">
        <f t="shared" si="23"/>
        <v/>
      </c>
      <c r="AC122" s="9" t="str">
        <f t="shared" si="24"/>
        <v/>
      </c>
      <c r="AD122" s="9" t="str">
        <f t="shared" si="22"/>
        <v/>
      </c>
      <c r="AF122" s="2" t="str">
        <f t="shared" si="25"/>
        <v/>
      </c>
      <c r="AG122" s="9" t="str">
        <f t="shared" si="26"/>
        <v/>
      </c>
      <c r="AH122" s="9" t="str">
        <f t="shared" si="27"/>
        <v/>
      </c>
    </row>
    <row r="123" spans="1:34" x14ac:dyDescent="0.25">
      <c r="A123" s="68"/>
      <c r="B123" s="68"/>
      <c r="C123" s="156"/>
      <c r="D123" s="156"/>
      <c r="E123" s="162"/>
      <c r="F123" s="156"/>
      <c r="G123" s="67"/>
      <c r="AA123" s="2" t="str">
        <f t="shared" si="23"/>
        <v/>
      </c>
      <c r="AC123" s="9" t="str">
        <f t="shared" si="24"/>
        <v/>
      </c>
      <c r="AD123" s="9" t="str">
        <f t="shared" si="22"/>
        <v/>
      </c>
      <c r="AF123" s="2" t="str">
        <f t="shared" si="25"/>
        <v/>
      </c>
      <c r="AG123" s="9" t="str">
        <f t="shared" si="26"/>
        <v/>
      </c>
      <c r="AH123" s="9" t="str">
        <f t="shared" si="27"/>
        <v/>
      </c>
    </row>
    <row r="124" spans="1:34" x14ac:dyDescent="0.25">
      <c r="A124" s="68"/>
      <c r="B124" s="68"/>
      <c r="C124" s="156"/>
      <c r="D124" s="156"/>
      <c r="E124" s="162"/>
      <c r="F124" s="156"/>
      <c r="G124" s="67"/>
      <c r="AA124" s="2" t="str">
        <f t="shared" si="23"/>
        <v/>
      </c>
      <c r="AC124" s="9" t="str">
        <f t="shared" si="24"/>
        <v/>
      </c>
      <c r="AD124" s="9" t="str">
        <f t="shared" si="22"/>
        <v/>
      </c>
      <c r="AF124" s="2" t="str">
        <f t="shared" si="25"/>
        <v/>
      </c>
      <c r="AG124" s="9" t="str">
        <f t="shared" si="26"/>
        <v/>
      </c>
      <c r="AH124" s="9" t="str">
        <f t="shared" si="27"/>
        <v/>
      </c>
    </row>
    <row r="125" spans="1:34" x14ac:dyDescent="0.25">
      <c r="A125" s="68"/>
      <c r="B125" s="68"/>
      <c r="C125" s="156"/>
      <c r="D125" s="156"/>
      <c r="E125" s="162"/>
      <c r="F125" s="156"/>
      <c r="G125" s="67"/>
      <c r="AA125" s="2" t="str">
        <f t="shared" si="23"/>
        <v/>
      </c>
      <c r="AC125" s="9" t="str">
        <f t="shared" si="24"/>
        <v/>
      </c>
      <c r="AD125" s="9" t="str">
        <f t="shared" si="22"/>
        <v/>
      </c>
      <c r="AF125" s="2" t="str">
        <f t="shared" si="25"/>
        <v/>
      </c>
      <c r="AG125" s="9" t="str">
        <f t="shared" si="26"/>
        <v/>
      </c>
      <c r="AH125" s="9" t="str">
        <f t="shared" si="27"/>
        <v/>
      </c>
    </row>
    <row r="126" spans="1:34" x14ac:dyDescent="0.25">
      <c r="A126" s="68"/>
      <c r="B126" s="68"/>
      <c r="C126" s="156"/>
      <c r="D126" s="156"/>
      <c r="E126" s="162"/>
      <c r="F126" s="156"/>
      <c r="G126" s="67"/>
      <c r="AA126" s="2" t="str">
        <f t="shared" si="23"/>
        <v/>
      </c>
      <c r="AC126" s="9" t="str">
        <f t="shared" si="24"/>
        <v/>
      </c>
      <c r="AD126" s="9" t="str">
        <f t="shared" si="22"/>
        <v/>
      </c>
      <c r="AF126" s="2" t="str">
        <f t="shared" si="25"/>
        <v/>
      </c>
      <c r="AG126" s="9" t="str">
        <f t="shared" si="26"/>
        <v/>
      </c>
      <c r="AH126" s="9" t="str">
        <f t="shared" si="27"/>
        <v/>
      </c>
    </row>
    <row r="127" spans="1:34" x14ac:dyDescent="0.25">
      <c r="A127" s="68"/>
      <c r="B127" s="68"/>
      <c r="C127" s="156"/>
      <c r="D127" s="156"/>
      <c r="E127" s="162"/>
      <c r="F127" s="156"/>
      <c r="G127" s="67"/>
      <c r="AA127" s="2" t="str">
        <f t="shared" si="23"/>
        <v/>
      </c>
      <c r="AC127" s="9" t="str">
        <f t="shared" si="24"/>
        <v/>
      </c>
      <c r="AD127" s="9" t="str">
        <f t="shared" si="22"/>
        <v/>
      </c>
      <c r="AF127" s="2" t="str">
        <f t="shared" si="25"/>
        <v/>
      </c>
      <c r="AG127" s="9" t="str">
        <f t="shared" si="26"/>
        <v/>
      </c>
      <c r="AH127" s="9" t="str">
        <f t="shared" si="27"/>
        <v/>
      </c>
    </row>
    <row r="128" spans="1:34" x14ac:dyDescent="0.25">
      <c r="A128" s="68"/>
      <c r="B128" s="68"/>
      <c r="C128" s="65"/>
      <c r="D128" s="65"/>
      <c r="E128" s="66"/>
      <c r="F128" s="65"/>
      <c r="G128" s="67"/>
      <c r="AA128" s="2" t="str">
        <f t="shared" si="23"/>
        <v/>
      </c>
      <c r="AC128" s="9" t="str">
        <f t="shared" si="24"/>
        <v/>
      </c>
      <c r="AD128" s="9" t="str">
        <f t="shared" si="22"/>
        <v/>
      </c>
      <c r="AF128" s="2" t="str">
        <f t="shared" si="25"/>
        <v/>
      </c>
      <c r="AG128" s="9" t="str">
        <f t="shared" si="26"/>
        <v/>
      </c>
      <c r="AH128" s="9" t="str">
        <f t="shared" si="27"/>
        <v/>
      </c>
    </row>
    <row r="129" spans="1:34" x14ac:dyDescent="0.25">
      <c r="A129" s="68"/>
      <c r="B129" s="68"/>
      <c r="C129" s="65"/>
      <c r="D129" s="65"/>
      <c r="E129" s="66"/>
      <c r="F129" s="65"/>
      <c r="G129" s="67"/>
      <c r="AA129" s="2" t="str">
        <f t="shared" si="23"/>
        <v/>
      </c>
      <c r="AC129" s="9" t="str">
        <f t="shared" si="24"/>
        <v/>
      </c>
      <c r="AD129" s="9" t="str">
        <f t="shared" si="22"/>
        <v/>
      </c>
      <c r="AF129" s="2" t="str">
        <f t="shared" si="25"/>
        <v/>
      </c>
      <c r="AG129" s="9" t="str">
        <f t="shared" si="26"/>
        <v/>
      </c>
      <c r="AH129" s="9" t="str">
        <f t="shared" si="27"/>
        <v/>
      </c>
    </row>
    <row r="130" spans="1:34" x14ac:dyDescent="0.25">
      <c r="A130" s="68"/>
      <c r="B130" s="68"/>
      <c r="C130" s="65"/>
      <c r="D130" s="65"/>
      <c r="E130" s="66"/>
      <c r="F130" s="65"/>
      <c r="G130" s="67"/>
      <c r="AA130" s="2" t="str">
        <f t="shared" si="23"/>
        <v/>
      </c>
      <c r="AC130" s="9" t="str">
        <f t="shared" si="24"/>
        <v/>
      </c>
      <c r="AD130" s="9" t="str">
        <f t="shared" si="22"/>
        <v/>
      </c>
      <c r="AF130" s="2" t="str">
        <f t="shared" si="25"/>
        <v/>
      </c>
      <c r="AG130" s="9" t="str">
        <f t="shared" si="26"/>
        <v/>
      </c>
      <c r="AH130" s="9" t="str">
        <f t="shared" si="27"/>
        <v/>
      </c>
    </row>
    <row r="131" spans="1:34" x14ac:dyDescent="0.25">
      <c r="A131" s="68"/>
      <c r="B131" s="68"/>
      <c r="C131" s="65"/>
      <c r="D131" s="65"/>
      <c r="E131" s="66"/>
      <c r="F131" s="65"/>
      <c r="G131" s="67"/>
      <c r="AA131" s="2" t="str">
        <f t="shared" si="23"/>
        <v/>
      </c>
      <c r="AC131" s="9" t="str">
        <f t="shared" si="24"/>
        <v/>
      </c>
      <c r="AD131" s="9" t="str">
        <f t="shared" si="22"/>
        <v/>
      </c>
      <c r="AF131" s="2" t="str">
        <f t="shared" si="25"/>
        <v/>
      </c>
      <c r="AG131" s="9" t="str">
        <f t="shared" si="26"/>
        <v/>
      </c>
      <c r="AH131" s="9" t="str">
        <f t="shared" si="27"/>
        <v/>
      </c>
    </row>
    <row r="132" spans="1:34" x14ac:dyDescent="0.25">
      <c r="A132" s="68"/>
      <c r="B132" s="68"/>
      <c r="C132" s="65"/>
      <c r="D132" s="65"/>
      <c r="E132" s="66"/>
      <c r="F132" s="65"/>
      <c r="G132" s="67"/>
      <c r="AA132" s="2" t="str">
        <f t="shared" si="23"/>
        <v/>
      </c>
      <c r="AC132" s="9" t="str">
        <f t="shared" si="24"/>
        <v/>
      </c>
      <c r="AD132" s="9" t="str">
        <f t="shared" si="22"/>
        <v/>
      </c>
      <c r="AF132" s="2" t="str">
        <f t="shared" si="25"/>
        <v/>
      </c>
      <c r="AG132" s="9" t="str">
        <f t="shared" si="26"/>
        <v/>
      </c>
      <c r="AH132" s="9" t="str">
        <f t="shared" si="27"/>
        <v/>
      </c>
    </row>
    <row r="133" spans="1:34" x14ac:dyDescent="0.25">
      <c r="A133" s="68"/>
      <c r="B133" s="68"/>
      <c r="C133" s="65"/>
      <c r="D133" s="65"/>
      <c r="E133" s="66"/>
      <c r="F133" s="65"/>
      <c r="G133" s="67"/>
      <c r="AA133" s="2" t="str">
        <f t="shared" si="23"/>
        <v/>
      </c>
      <c r="AC133" s="9" t="str">
        <f t="shared" si="24"/>
        <v/>
      </c>
      <c r="AD133" s="9" t="str">
        <f t="shared" si="22"/>
        <v/>
      </c>
      <c r="AF133" s="2" t="str">
        <f t="shared" si="25"/>
        <v/>
      </c>
      <c r="AG133" s="9" t="str">
        <f t="shared" si="26"/>
        <v/>
      </c>
      <c r="AH133" s="9" t="str">
        <f t="shared" si="27"/>
        <v/>
      </c>
    </row>
    <row r="134" spans="1:34" x14ac:dyDescent="0.25">
      <c r="A134" s="68"/>
      <c r="B134" s="68"/>
      <c r="C134" s="65"/>
      <c r="D134" s="65"/>
      <c r="E134" s="66"/>
      <c r="F134" s="65"/>
      <c r="G134" s="67"/>
      <c r="AA134" s="2" t="str">
        <f t="shared" si="23"/>
        <v/>
      </c>
      <c r="AC134" s="9" t="str">
        <f t="shared" si="24"/>
        <v/>
      </c>
      <c r="AD134" s="9" t="str">
        <f t="shared" si="22"/>
        <v/>
      </c>
      <c r="AF134" s="2" t="str">
        <f t="shared" si="25"/>
        <v/>
      </c>
      <c r="AG134" s="9" t="str">
        <f t="shared" si="26"/>
        <v/>
      </c>
      <c r="AH134" s="9" t="str">
        <f t="shared" si="27"/>
        <v/>
      </c>
    </row>
    <row r="135" spans="1:34" x14ac:dyDescent="0.25">
      <c r="A135" s="68"/>
      <c r="B135" s="68"/>
      <c r="C135" s="65"/>
      <c r="D135" s="65"/>
      <c r="E135" s="66"/>
      <c r="F135" s="65"/>
      <c r="G135" s="67"/>
      <c r="AA135" s="2" t="str">
        <f t="shared" si="23"/>
        <v/>
      </c>
      <c r="AC135" s="9" t="str">
        <f t="shared" si="24"/>
        <v/>
      </c>
      <c r="AD135" s="9" t="str">
        <f t="shared" si="22"/>
        <v/>
      </c>
      <c r="AF135" s="2" t="str">
        <f t="shared" si="25"/>
        <v/>
      </c>
      <c r="AG135" s="9" t="str">
        <f t="shared" si="26"/>
        <v/>
      </c>
      <c r="AH135" s="9" t="str">
        <f t="shared" si="27"/>
        <v/>
      </c>
    </row>
    <row r="136" spans="1:34" x14ac:dyDescent="0.25">
      <c r="A136" s="68"/>
      <c r="B136" s="68"/>
      <c r="C136" s="65"/>
      <c r="D136" s="65"/>
      <c r="E136" s="66"/>
      <c r="F136" s="65"/>
      <c r="G136" s="67"/>
      <c r="AA136" s="2" t="str">
        <f t="shared" si="23"/>
        <v/>
      </c>
      <c r="AC136" s="9" t="str">
        <f t="shared" si="24"/>
        <v/>
      </c>
      <c r="AD136" s="9" t="str">
        <f t="shared" si="22"/>
        <v/>
      </c>
      <c r="AF136" s="2" t="str">
        <f t="shared" si="25"/>
        <v/>
      </c>
      <c r="AG136" s="9" t="str">
        <f t="shared" si="26"/>
        <v/>
      </c>
      <c r="AH136" s="9" t="str">
        <f t="shared" si="27"/>
        <v/>
      </c>
    </row>
    <row r="137" spans="1:34" x14ac:dyDescent="0.25">
      <c r="A137" s="68"/>
      <c r="B137" s="68"/>
      <c r="C137" s="65"/>
      <c r="D137" s="65"/>
      <c r="E137" s="66"/>
      <c r="F137" s="65"/>
      <c r="G137" s="67"/>
      <c r="AA137" s="2" t="str">
        <f t="shared" si="23"/>
        <v/>
      </c>
      <c r="AC137" s="9" t="str">
        <f t="shared" si="24"/>
        <v/>
      </c>
      <c r="AD137" s="9" t="str">
        <f t="shared" si="22"/>
        <v/>
      </c>
      <c r="AF137" s="2" t="str">
        <f t="shared" si="25"/>
        <v/>
      </c>
      <c r="AG137" s="9" t="str">
        <f t="shared" si="26"/>
        <v/>
      </c>
      <c r="AH137" s="9" t="str">
        <f t="shared" si="27"/>
        <v/>
      </c>
    </row>
    <row r="138" spans="1:34" x14ac:dyDescent="0.25">
      <c r="A138" s="68"/>
      <c r="B138" s="68"/>
      <c r="C138" s="65"/>
      <c r="D138" s="65"/>
      <c r="E138" s="66"/>
      <c r="F138" s="65"/>
      <c r="G138" s="67"/>
      <c r="AA138" s="2" t="str">
        <f t="shared" si="23"/>
        <v/>
      </c>
      <c r="AC138" s="9" t="str">
        <f t="shared" si="24"/>
        <v/>
      </c>
      <c r="AD138" s="9" t="str">
        <f t="shared" si="22"/>
        <v/>
      </c>
      <c r="AF138" s="2" t="str">
        <f t="shared" si="25"/>
        <v/>
      </c>
      <c r="AG138" s="9" t="str">
        <f t="shared" si="26"/>
        <v/>
      </c>
      <c r="AH138" s="9" t="str">
        <f t="shared" si="27"/>
        <v/>
      </c>
    </row>
    <row r="139" spans="1:34" x14ac:dyDescent="0.25">
      <c r="A139" s="68"/>
      <c r="B139" s="68"/>
      <c r="C139" s="65"/>
      <c r="D139" s="65"/>
      <c r="E139" s="66"/>
      <c r="F139" s="65"/>
      <c r="G139" s="67"/>
      <c r="AA139" s="2" t="str">
        <f t="shared" si="23"/>
        <v/>
      </c>
      <c r="AC139" s="9" t="str">
        <f t="shared" si="24"/>
        <v/>
      </c>
      <c r="AD139" s="9" t="str">
        <f t="shared" si="22"/>
        <v/>
      </c>
      <c r="AF139" s="2" t="str">
        <f t="shared" si="25"/>
        <v/>
      </c>
      <c r="AG139" s="9" t="str">
        <f t="shared" si="26"/>
        <v/>
      </c>
      <c r="AH139" s="9" t="str">
        <f t="shared" si="27"/>
        <v/>
      </c>
    </row>
    <row r="140" spans="1:34" x14ac:dyDescent="0.25">
      <c r="A140" s="68"/>
      <c r="B140" s="68"/>
      <c r="C140" s="65"/>
      <c r="D140" s="65"/>
      <c r="E140" s="66"/>
      <c r="F140" s="65"/>
      <c r="G140" s="67"/>
      <c r="AA140" s="2" t="str">
        <f t="shared" si="23"/>
        <v/>
      </c>
      <c r="AC140" s="9" t="str">
        <f t="shared" si="24"/>
        <v/>
      </c>
      <c r="AD140" s="9" t="str">
        <f t="shared" si="22"/>
        <v/>
      </c>
      <c r="AF140" s="2" t="str">
        <f t="shared" si="25"/>
        <v/>
      </c>
      <c r="AG140" s="9" t="str">
        <f t="shared" si="26"/>
        <v/>
      </c>
      <c r="AH140" s="9" t="str">
        <f t="shared" si="27"/>
        <v/>
      </c>
    </row>
    <row r="141" spans="1:34" x14ac:dyDescent="0.25">
      <c r="A141" s="68"/>
      <c r="B141" s="68"/>
      <c r="C141" s="65"/>
      <c r="D141" s="65"/>
      <c r="E141" s="66"/>
      <c r="F141" s="65"/>
      <c r="G141" s="67"/>
      <c r="AA141" s="2" t="str">
        <f t="shared" si="23"/>
        <v/>
      </c>
      <c r="AC141" s="9" t="str">
        <f t="shared" si="24"/>
        <v/>
      </c>
      <c r="AD141" s="9" t="str">
        <f t="shared" si="22"/>
        <v/>
      </c>
      <c r="AF141" s="2" t="str">
        <f t="shared" si="25"/>
        <v/>
      </c>
      <c r="AG141" s="9" t="str">
        <f t="shared" si="26"/>
        <v/>
      </c>
      <c r="AH141" s="9" t="str">
        <f t="shared" si="27"/>
        <v/>
      </c>
    </row>
    <row r="142" spans="1:34" x14ac:dyDescent="0.25">
      <c r="A142" s="68"/>
      <c r="B142" s="68"/>
      <c r="C142" s="65"/>
      <c r="D142" s="65"/>
      <c r="E142" s="66"/>
      <c r="F142" s="65"/>
      <c r="G142" s="67"/>
      <c r="AA142" s="2" t="str">
        <f t="shared" si="23"/>
        <v/>
      </c>
      <c r="AC142" s="9" t="str">
        <f t="shared" si="24"/>
        <v/>
      </c>
      <c r="AD142" s="9" t="str">
        <f t="shared" si="22"/>
        <v/>
      </c>
      <c r="AF142" s="2" t="str">
        <f t="shared" si="25"/>
        <v/>
      </c>
      <c r="AG142" s="9" t="str">
        <f t="shared" si="26"/>
        <v/>
      </c>
      <c r="AH142" s="9" t="str">
        <f t="shared" si="27"/>
        <v/>
      </c>
    </row>
    <row r="143" spans="1:34" x14ac:dyDescent="0.25">
      <c r="A143" s="68"/>
      <c r="B143" s="68"/>
      <c r="C143" s="65"/>
      <c r="D143" s="65"/>
      <c r="E143" s="66"/>
      <c r="F143" s="65"/>
      <c r="G143" s="67"/>
      <c r="AA143" s="2" t="str">
        <f t="shared" si="23"/>
        <v/>
      </c>
      <c r="AC143" s="9" t="str">
        <f t="shared" si="24"/>
        <v/>
      </c>
      <c r="AD143" s="9" t="str">
        <f t="shared" si="22"/>
        <v/>
      </c>
      <c r="AF143" s="2" t="str">
        <f t="shared" si="25"/>
        <v/>
      </c>
      <c r="AG143" s="9" t="str">
        <f t="shared" si="26"/>
        <v/>
      </c>
      <c r="AH143" s="9" t="str">
        <f t="shared" si="27"/>
        <v/>
      </c>
    </row>
    <row r="144" spans="1:34" x14ac:dyDescent="0.25">
      <c r="A144" s="68"/>
      <c r="B144" s="68"/>
      <c r="C144" s="65"/>
      <c r="D144" s="65"/>
      <c r="E144" s="66"/>
      <c r="F144" s="65"/>
      <c r="G144" s="67"/>
      <c r="AA144" s="2" t="str">
        <f t="shared" si="23"/>
        <v/>
      </c>
      <c r="AC144" s="9" t="str">
        <f t="shared" si="24"/>
        <v/>
      </c>
      <c r="AD144" s="9" t="str">
        <f t="shared" si="22"/>
        <v/>
      </c>
      <c r="AF144" s="2" t="str">
        <f t="shared" si="25"/>
        <v/>
      </c>
      <c r="AG144" s="9" t="str">
        <f t="shared" si="26"/>
        <v/>
      </c>
      <c r="AH144" s="9" t="str">
        <f t="shared" si="27"/>
        <v/>
      </c>
    </row>
    <row r="145" spans="1:34" x14ac:dyDescent="0.25">
      <c r="A145" s="68"/>
      <c r="B145" s="68"/>
      <c r="C145" s="65"/>
      <c r="D145" s="65"/>
      <c r="E145" s="66"/>
      <c r="F145" s="65"/>
      <c r="G145" s="67"/>
      <c r="AA145" s="2" t="str">
        <f t="shared" si="23"/>
        <v/>
      </c>
      <c r="AC145" s="9" t="str">
        <f t="shared" si="24"/>
        <v/>
      </c>
      <c r="AD145" s="9" t="str">
        <f t="shared" si="22"/>
        <v/>
      </c>
      <c r="AF145" s="2" t="str">
        <f t="shared" si="25"/>
        <v/>
      </c>
      <c r="AG145" s="9" t="str">
        <f t="shared" si="26"/>
        <v/>
      </c>
      <c r="AH145" s="9" t="str">
        <f t="shared" si="27"/>
        <v/>
      </c>
    </row>
    <row r="146" spans="1:34" x14ac:dyDescent="0.25">
      <c r="A146" s="68"/>
      <c r="B146" s="68"/>
      <c r="C146" s="65"/>
      <c r="D146" s="65"/>
      <c r="E146" s="66"/>
      <c r="F146" s="65"/>
      <c r="G146" s="67"/>
      <c r="AA146" s="2" t="str">
        <f t="shared" si="23"/>
        <v/>
      </c>
      <c r="AC146" s="9" t="str">
        <f t="shared" si="24"/>
        <v/>
      </c>
      <c r="AD146" s="9" t="str">
        <f t="shared" si="22"/>
        <v/>
      </c>
      <c r="AF146" s="2" t="str">
        <f t="shared" si="25"/>
        <v/>
      </c>
      <c r="AG146" s="9" t="str">
        <f t="shared" si="26"/>
        <v/>
      </c>
      <c r="AH146" s="9" t="str">
        <f t="shared" si="27"/>
        <v/>
      </c>
    </row>
    <row r="147" spans="1:34" x14ac:dyDescent="0.25">
      <c r="A147" s="68"/>
      <c r="B147" s="68"/>
      <c r="C147" s="65"/>
      <c r="D147" s="65"/>
      <c r="E147" s="66"/>
      <c r="F147" s="65"/>
      <c r="G147" s="67"/>
      <c r="AA147" s="2" t="str">
        <f t="shared" si="23"/>
        <v/>
      </c>
      <c r="AC147" s="9" t="str">
        <f t="shared" si="24"/>
        <v/>
      </c>
      <c r="AD147" s="9" t="str">
        <f t="shared" si="22"/>
        <v/>
      </c>
      <c r="AF147" s="2" t="str">
        <f t="shared" si="25"/>
        <v/>
      </c>
      <c r="AG147" s="9" t="str">
        <f t="shared" si="26"/>
        <v/>
      </c>
      <c r="AH147" s="9" t="str">
        <f t="shared" si="27"/>
        <v/>
      </c>
    </row>
    <row r="148" spans="1:34" x14ac:dyDescent="0.25">
      <c r="A148" s="68"/>
      <c r="B148" s="68"/>
      <c r="C148" s="65"/>
      <c r="D148" s="65"/>
      <c r="E148" s="66"/>
      <c r="F148" s="65"/>
      <c r="G148" s="67"/>
      <c r="AA148" s="2" t="str">
        <f t="shared" si="23"/>
        <v/>
      </c>
      <c r="AC148" s="9" t="str">
        <f t="shared" si="24"/>
        <v/>
      </c>
      <c r="AD148" s="9" t="str">
        <f t="shared" si="22"/>
        <v/>
      </c>
      <c r="AF148" s="2" t="str">
        <f t="shared" si="25"/>
        <v/>
      </c>
      <c r="AG148" s="9" t="str">
        <f t="shared" si="26"/>
        <v/>
      </c>
      <c r="AH148" s="9" t="str">
        <f t="shared" si="27"/>
        <v/>
      </c>
    </row>
    <row r="149" spans="1:34" x14ac:dyDescent="0.25">
      <c r="A149" s="68"/>
      <c r="B149" s="68"/>
      <c r="C149" s="65"/>
      <c r="D149" s="65"/>
      <c r="E149" s="66"/>
      <c r="F149" s="65"/>
      <c r="G149" s="67"/>
      <c r="AA149" s="2" t="str">
        <f t="shared" si="23"/>
        <v/>
      </c>
      <c r="AC149" s="9" t="str">
        <f t="shared" si="24"/>
        <v/>
      </c>
      <c r="AD149" s="9" t="str">
        <f t="shared" si="22"/>
        <v/>
      </c>
      <c r="AF149" s="2" t="str">
        <f t="shared" si="25"/>
        <v/>
      </c>
      <c r="AG149" s="9" t="str">
        <f t="shared" si="26"/>
        <v/>
      </c>
      <c r="AH149" s="9" t="str">
        <f t="shared" si="27"/>
        <v/>
      </c>
    </row>
    <row r="150" spans="1:34" x14ac:dyDescent="0.25">
      <c r="A150" s="68"/>
      <c r="B150" s="68"/>
      <c r="C150" s="65"/>
      <c r="D150" s="65"/>
      <c r="E150" s="66"/>
      <c r="F150" s="65"/>
      <c r="G150" s="67"/>
      <c r="AA150" s="2" t="str">
        <f t="shared" si="23"/>
        <v/>
      </c>
      <c r="AC150" s="9" t="str">
        <f t="shared" si="24"/>
        <v/>
      </c>
      <c r="AD150" s="9" t="str">
        <f t="shared" si="22"/>
        <v/>
      </c>
      <c r="AF150" s="2" t="str">
        <f t="shared" si="25"/>
        <v/>
      </c>
      <c r="AG150" s="9" t="str">
        <f t="shared" si="26"/>
        <v/>
      </c>
      <c r="AH150" s="9" t="str">
        <f t="shared" si="27"/>
        <v/>
      </c>
    </row>
    <row r="151" spans="1:34" x14ac:dyDescent="0.25">
      <c r="A151" s="68"/>
      <c r="B151" s="68"/>
      <c r="C151" s="65"/>
      <c r="D151" s="65"/>
      <c r="E151" s="66"/>
      <c r="F151" s="65"/>
      <c r="G151" s="67"/>
      <c r="AA151" s="2" t="str">
        <f t="shared" si="23"/>
        <v/>
      </c>
      <c r="AC151" s="9" t="str">
        <f t="shared" si="24"/>
        <v/>
      </c>
      <c r="AD151" s="9" t="str">
        <f t="shared" si="22"/>
        <v/>
      </c>
      <c r="AF151" s="2" t="str">
        <f t="shared" si="25"/>
        <v/>
      </c>
      <c r="AG151" s="9" t="str">
        <f t="shared" si="26"/>
        <v/>
      </c>
      <c r="AH151" s="9" t="str">
        <f t="shared" si="27"/>
        <v/>
      </c>
    </row>
    <row r="152" spans="1:34" x14ac:dyDescent="0.25">
      <c r="A152" s="68"/>
      <c r="B152" s="68"/>
      <c r="C152" s="65"/>
      <c r="D152" s="65"/>
      <c r="E152" s="66"/>
      <c r="F152" s="65"/>
      <c r="G152" s="67"/>
      <c r="AA152" s="2" t="str">
        <f t="shared" si="23"/>
        <v/>
      </c>
      <c r="AC152" s="9" t="str">
        <f t="shared" si="24"/>
        <v/>
      </c>
      <c r="AD152" s="9" t="str">
        <f t="shared" si="22"/>
        <v/>
      </c>
      <c r="AF152" s="2" t="str">
        <f t="shared" si="25"/>
        <v/>
      </c>
      <c r="AG152" s="9" t="str">
        <f t="shared" si="26"/>
        <v/>
      </c>
      <c r="AH152" s="9" t="str">
        <f t="shared" si="27"/>
        <v/>
      </c>
    </row>
    <row r="153" spans="1:34" x14ac:dyDescent="0.25">
      <c r="A153" s="68"/>
      <c r="B153" s="68"/>
      <c r="C153" s="65"/>
      <c r="D153" s="65"/>
      <c r="E153" s="66"/>
      <c r="F153" s="65"/>
      <c r="G153" s="67"/>
      <c r="AA153" s="2" t="str">
        <f t="shared" si="23"/>
        <v/>
      </c>
      <c r="AC153" s="9" t="str">
        <f t="shared" si="24"/>
        <v/>
      </c>
      <c r="AD153" s="9" t="str">
        <f t="shared" si="22"/>
        <v/>
      </c>
      <c r="AF153" s="2" t="str">
        <f t="shared" si="25"/>
        <v/>
      </c>
      <c r="AG153" s="9" t="str">
        <f t="shared" si="26"/>
        <v/>
      </c>
      <c r="AH153" s="9" t="str">
        <f t="shared" si="27"/>
        <v/>
      </c>
    </row>
    <row r="154" spans="1:34" x14ac:dyDescent="0.25">
      <c r="A154" s="68"/>
      <c r="B154" s="68"/>
      <c r="C154" s="65"/>
      <c r="D154" s="65"/>
      <c r="E154" s="66"/>
      <c r="F154" s="65"/>
      <c r="G154" s="67"/>
      <c r="AA154" s="2" t="str">
        <f t="shared" si="23"/>
        <v/>
      </c>
      <c r="AC154" s="9" t="str">
        <f t="shared" si="24"/>
        <v/>
      </c>
      <c r="AD154" s="9" t="str">
        <f t="shared" si="22"/>
        <v/>
      </c>
      <c r="AF154" s="2" t="str">
        <f t="shared" si="25"/>
        <v/>
      </c>
      <c r="AG154" s="9" t="str">
        <f t="shared" si="26"/>
        <v/>
      </c>
      <c r="AH154" s="9" t="str">
        <f t="shared" si="27"/>
        <v/>
      </c>
    </row>
    <row r="155" spans="1:34" x14ac:dyDescent="0.25">
      <c r="A155" s="68"/>
      <c r="B155" s="68"/>
      <c r="C155" s="65"/>
      <c r="D155" s="65"/>
      <c r="E155" s="66"/>
      <c r="F155" s="65"/>
      <c r="G155" s="67"/>
      <c r="AA155" s="2" t="str">
        <f t="shared" si="23"/>
        <v/>
      </c>
      <c r="AC155" s="9" t="str">
        <f t="shared" si="24"/>
        <v/>
      </c>
      <c r="AD155" s="9" t="str">
        <f t="shared" si="22"/>
        <v/>
      </c>
      <c r="AF155" s="2" t="str">
        <f t="shared" si="25"/>
        <v/>
      </c>
      <c r="AG155" s="9" t="str">
        <f t="shared" si="26"/>
        <v/>
      </c>
      <c r="AH155" s="9" t="str">
        <f t="shared" si="27"/>
        <v/>
      </c>
    </row>
    <row r="156" spans="1:34" x14ac:dyDescent="0.25">
      <c r="A156" s="68"/>
      <c r="B156" s="68"/>
      <c r="C156" s="65"/>
      <c r="D156" s="65"/>
      <c r="E156" s="66"/>
      <c r="F156" s="65"/>
      <c r="G156" s="67"/>
      <c r="AA156" s="2" t="str">
        <f t="shared" si="23"/>
        <v/>
      </c>
      <c r="AC156" s="9" t="str">
        <f t="shared" si="24"/>
        <v/>
      </c>
      <c r="AD156" s="9" t="str">
        <f t="shared" si="22"/>
        <v/>
      </c>
      <c r="AF156" s="2" t="str">
        <f t="shared" si="25"/>
        <v/>
      </c>
      <c r="AG156" s="9" t="str">
        <f t="shared" si="26"/>
        <v/>
      </c>
      <c r="AH156" s="9" t="str">
        <f t="shared" si="27"/>
        <v/>
      </c>
    </row>
    <row r="157" spans="1:34" x14ac:dyDescent="0.25">
      <c r="A157" s="68"/>
      <c r="B157" s="68"/>
      <c r="C157" s="65"/>
      <c r="D157" s="65"/>
      <c r="E157" s="66"/>
      <c r="F157" s="65"/>
      <c r="G157" s="67"/>
      <c r="AA157" s="2" t="str">
        <f t="shared" si="23"/>
        <v/>
      </c>
      <c r="AC157" s="9" t="str">
        <f t="shared" si="24"/>
        <v/>
      </c>
      <c r="AD157" s="9" t="str">
        <f t="shared" si="22"/>
        <v/>
      </c>
      <c r="AF157" s="2" t="str">
        <f t="shared" si="25"/>
        <v/>
      </c>
      <c r="AG157" s="9" t="str">
        <f t="shared" si="26"/>
        <v/>
      </c>
      <c r="AH157" s="9" t="str">
        <f t="shared" si="27"/>
        <v/>
      </c>
    </row>
    <row r="158" spans="1:34" x14ac:dyDescent="0.25">
      <c r="A158" s="68"/>
      <c r="B158" s="68"/>
      <c r="C158" s="65"/>
      <c r="D158" s="65"/>
      <c r="E158" s="66"/>
      <c r="F158" s="65"/>
      <c r="G158" s="67"/>
      <c r="AA158" s="2" t="str">
        <f t="shared" si="23"/>
        <v/>
      </c>
      <c r="AC158" s="9" t="str">
        <f t="shared" si="24"/>
        <v/>
      </c>
      <c r="AD158" s="9" t="str">
        <f t="shared" ref="AD158:AD221" si="28">IF(AA158="","",IF(AA158&lt;=B$16,0,B$15/(B$17-B$16)))</f>
        <v/>
      </c>
      <c r="AF158" s="2" t="str">
        <f t="shared" si="25"/>
        <v/>
      </c>
      <c r="AG158" s="9" t="str">
        <f t="shared" si="26"/>
        <v/>
      </c>
      <c r="AH158" s="9" t="str">
        <f t="shared" si="27"/>
        <v/>
      </c>
    </row>
    <row r="159" spans="1:34" x14ac:dyDescent="0.25">
      <c r="A159" s="68"/>
      <c r="B159" s="68"/>
      <c r="C159" s="65"/>
      <c r="D159" s="65"/>
      <c r="E159" s="66"/>
      <c r="F159" s="65"/>
      <c r="G159" s="67"/>
      <c r="AA159" s="2" t="str">
        <f t="shared" ref="AA159:AA222" si="29">IF(AA158&lt;B$17,AA158+1,"")</f>
        <v/>
      </c>
      <c r="AC159" s="9" t="str">
        <f t="shared" ref="AC159:AC222" si="30">IF(AB159="","",IF(AA159&lt;=B$16,AC158,AC158-AD159))</f>
        <v/>
      </c>
      <c r="AD159" s="9" t="str">
        <f t="shared" si="28"/>
        <v/>
      </c>
      <c r="AF159" s="2" t="str">
        <f t="shared" ref="AF159:AF180" si="31">IF(AE159="","",AB159-AB$29)</f>
        <v/>
      </c>
      <c r="AG159" s="9" t="str">
        <f t="shared" ref="AG159:AG222" si="32">IF(AF159="","",IF(AF159&lt;365,AF159*AC$25*AD159,365*AD159*AC$25))</f>
        <v/>
      </c>
      <c r="AH159" s="9" t="str">
        <f t="shared" ref="AH159:AH222" si="33">IF(AF159="","",IF(AF159&lt;365,AF159*AC$26*AD159,365*AD159*AC$26))</f>
        <v/>
      </c>
    </row>
    <row r="160" spans="1:34" x14ac:dyDescent="0.25">
      <c r="A160" s="68"/>
      <c r="B160" s="68"/>
      <c r="C160" s="65"/>
      <c r="D160" s="65"/>
      <c r="E160" s="66"/>
      <c r="F160" s="65"/>
      <c r="G160" s="67"/>
      <c r="AA160" s="2" t="str">
        <f t="shared" si="29"/>
        <v/>
      </c>
      <c r="AC160" s="9" t="str">
        <f t="shared" si="30"/>
        <v/>
      </c>
      <c r="AD160" s="9" t="str">
        <f t="shared" si="28"/>
        <v/>
      </c>
      <c r="AF160" s="2" t="str">
        <f t="shared" si="31"/>
        <v/>
      </c>
      <c r="AG160" s="9" t="str">
        <f t="shared" si="32"/>
        <v/>
      </c>
      <c r="AH160" s="9" t="str">
        <f t="shared" si="33"/>
        <v/>
      </c>
    </row>
    <row r="161" spans="1:34" x14ac:dyDescent="0.25">
      <c r="A161" s="68"/>
      <c r="B161" s="68"/>
      <c r="C161" s="65"/>
      <c r="D161" s="65"/>
      <c r="E161" s="66"/>
      <c r="F161" s="65"/>
      <c r="G161" s="67"/>
      <c r="AA161" s="2" t="str">
        <f t="shared" si="29"/>
        <v/>
      </c>
      <c r="AC161" s="9" t="str">
        <f t="shared" si="30"/>
        <v/>
      </c>
      <c r="AD161" s="9" t="str">
        <f t="shared" si="28"/>
        <v/>
      </c>
      <c r="AF161" s="2" t="str">
        <f t="shared" si="31"/>
        <v/>
      </c>
      <c r="AG161" s="9" t="str">
        <f t="shared" si="32"/>
        <v/>
      </c>
      <c r="AH161" s="9" t="str">
        <f t="shared" si="33"/>
        <v/>
      </c>
    </row>
    <row r="162" spans="1:34" x14ac:dyDescent="0.25">
      <c r="A162" s="68"/>
      <c r="B162" s="68"/>
      <c r="C162" s="65"/>
      <c r="D162" s="65"/>
      <c r="E162" s="66"/>
      <c r="F162" s="65"/>
      <c r="G162" s="67"/>
      <c r="AA162" s="2" t="str">
        <f t="shared" si="29"/>
        <v/>
      </c>
      <c r="AC162" s="9" t="str">
        <f t="shared" si="30"/>
        <v/>
      </c>
      <c r="AD162" s="9" t="str">
        <f t="shared" si="28"/>
        <v/>
      </c>
      <c r="AF162" s="2" t="str">
        <f t="shared" si="31"/>
        <v/>
      </c>
      <c r="AG162" s="9" t="str">
        <f t="shared" si="32"/>
        <v/>
      </c>
      <c r="AH162" s="9" t="str">
        <f t="shared" si="33"/>
        <v/>
      </c>
    </row>
    <row r="163" spans="1:34" x14ac:dyDescent="0.25">
      <c r="A163" s="68"/>
      <c r="B163" s="68"/>
      <c r="C163" s="65"/>
      <c r="D163" s="65"/>
      <c r="E163" s="66"/>
      <c r="F163" s="65"/>
      <c r="G163" s="67"/>
      <c r="AA163" s="2" t="str">
        <f t="shared" si="29"/>
        <v/>
      </c>
      <c r="AC163" s="9" t="str">
        <f t="shared" si="30"/>
        <v/>
      </c>
      <c r="AD163" s="9" t="str">
        <f t="shared" si="28"/>
        <v/>
      </c>
      <c r="AF163" s="2" t="str">
        <f t="shared" si="31"/>
        <v/>
      </c>
      <c r="AG163" s="9" t="str">
        <f t="shared" si="32"/>
        <v/>
      </c>
      <c r="AH163" s="9" t="str">
        <f t="shared" si="33"/>
        <v/>
      </c>
    </row>
    <row r="164" spans="1:34" x14ac:dyDescent="0.25">
      <c r="A164" s="68"/>
      <c r="B164" s="68"/>
      <c r="C164" s="65"/>
      <c r="D164" s="65"/>
      <c r="E164" s="66"/>
      <c r="F164" s="65"/>
      <c r="G164" s="67"/>
      <c r="AA164" s="2" t="str">
        <f t="shared" si="29"/>
        <v/>
      </c>
      <c r="AC164" s="9" t="str">
        <f t="shared" si="30"/>
        <v/>
      </c>
      <c r="AD164" s="9" t="str">
        <f t="shared" si="28"/>
        <v/>
      </c>
      <c r="AF164" s="2" t="str">
        <f t="shared" si="31"/>
        <v/>
      </c>
      <c r="AG164" s="9" t="str">
        <f t="shared" si="32"/>
        <v/>
      </c>
      <c r="AH164" s="9" t="str">
        <f t="shared" si="33"/>
        <v/>
      </c>
    </row>
    <row r="165" spans="1:34" x14ac:dyDescent="0.25">
      <c r="A165" s="68"/>
      <c r="B165" s="68"/>
      <c r="C165" s="65"/>
      <c r="D165" s="65"/>
      <c r="E165" s="66"/>
      <c r="F165" s="65"/>
      <c r="G165" s="67"/>
      <c r="AA165" s="2" t="str">
        <f t="shared" si="29"/>
        <v/>
      </c>
      <c r="AC165" s="9" t="str">
        <f t="shared" si="30"/>
        <v/>
      </c>
      <c r="AD165" s="9" t="str">
        <f t="shared" si="28"/>
        <v/>
      </c>
      <c r="AF165" s="2" t="str">
        <f t="shared" si="31"/>
        <v/>
      </c>
      <c r="AG165" s="9" t="str">
        <f t="shared" si="32"/>
        <v/>
      </c>
      <c r="AH165" s="9" t="str">
        <f t="shared" si="33"/>
        <v/>
      </c>
    </row>
    <row r="166" spans="1:34" x14ac:dyDescent="0.25">
      <c r="A166" s="68"/>
      <c r="B166" s="68"/>
      <c r="C166" s="65"/>
      <c r="D166" s="65"/>
      <c r="E166" s="66"/>
      <c r="F166" s="65"/>
      <c r="G166" s="67"/>
      <c r="AA166" s="2" t="str">
        <f t="shared" si="29"/>
        <v/>
      </c>
      <c r="AC166" s="9" t="str">
        <f t="shared" si="30"/>
        <v/>
      </c>
      <c r="AD166" s="9" t="str">
        <f t="shared" si="28"/>
        <v/>
      </c>
      <c r="AF166" s="2" t="str">
        <f t="shared" si="31"/>
        <v/>
      </c>
      <c r="AG166" s="9" t="str">
        <f t="shared" si="32"/>
        <v/>
      </c>
      <c r="AH166" s="9" t="str">
        <f t="shared" si="33"/>
        <v/>
      </c>
    </row>
    <row r="167" spans="1:34" x14ac:dyDescent="0.25">
      <c r="A167" s="68"/>
      <c r="B167" s="68"/>
      <c r="C167" s="65"/>
      <c r="D167" s="65"/>
      <c r="E167" s="66"/>
      <c r="F167" s="65"/>
      <c r="G167" s="67"/>
      <c r="AA167" s="2" t="str">
        <f t="shared" si="29"/>
        <v/>
      </c>
      <c r="AC167" s="9" t="str">
        <f t="shared" si="30"/>
        <v/>
      </c>
      <c r="AD167" s="9" t="str">
        <f t="shared" si="28"/>
        <v/>
      </c>
      <c r="AF167" s="2" t="str">
        <f t="shared" si="31"/>
        <v/>
      </c>
      <c r="AG167" s="9" t="str">
        <f t="shared" si="32"/>
        <v/>
      </c>
      <c r="AH167" s="9" t="str">
        <f t="shared" si="33"/>
        <v/>
      </c>
    </row>
    <row r="168" spans="1:34" x14ac:dyDescent="0.25">
      <c r="A168" s="68"/>
      <c r="B168" s="68"/>
      <c r="C168" s="65"/>
      <c r="D168" s="65"/>
      <c r="E168" s="66"/>
      <c r="F168" s="65"/>
      <c r="G168" s="67"/>
      <c r="AA168" s="2" t="str">
        <f t="shared" si="29"/>
        <v/>
      </c>
      <c r="AC168" s="9" t="str">
        <f t="shared" si="30"/>
        <v/>
      </c>
      <c r="AD168" s="9" t="str">
        <f t="shared" si="28"/>
        <v/>
      </c>
      <c r="AF168" s="2" t="str">
        <f t="shared" si="31"/>
        <v/>
      </c>
      <c r="AG168" s="9" t="str">
        <f t="shared" si="32"/>
        <v/>
      </c>
      <c r="AH168" s="9" t="str">
        <f t="shared" si="33"/>
        <v/>
      </c>
    </row>
    <row r="169" spans="1:34" x14ac:dyDescent="0.25">
      <c r="A169" s="68"/>
      <c r="B169" s="68"/>
      <c r="C169" s="65"/>
      <c r="D169" s="65"/>
      <c r="E169" s="66"/>
      <c r="F169" s="65"/>
      <c r="G169" s="67"/>
      <c r="AA169" s="2" t="str">
        <f t="shared" si="29"/>
        <v/>
      </c>
      <c r="AC169" s="9" t="str">
        <f t="shared" si="30"/>
        <v/>
      </c>
      <c r="AD169" s="9" t="str">
        <f t="shared" si="28"/>
        <v/>
      </c>
      <c r="AF169" s="2" t="str">
        <f t="shared" si="31"/>
        <v/>
      </c>
      <c r="AG169" s="9" t="str">
        <f t="shared" si="32"/>
        <v/>
      </c>
      <c r="AH169" s="9" t="str">
        <f t="shared" si="33"/>
        <v/>
      </c>
    </row>
    <row r="170" spans="1:34" x14ac:dyDescent="0.25">
      <c r="A170" s="68"/>
      <c r="B170" s="68"/>
      <c r="C170" s="65"/>
      <c r="D170" s="65"/>
      <c r="E170" s="66"/>
      <c r="F170" s="65"/>
      <c r="G170" s="67"/>
      <c r="AA170" s="2" t="str">
        <f t="shared" si="29"/>
        <v/>
      </c>
      <c r="AC170" s="9" t="str">
        <f t="shared" si="30"/>
        <v/>
      </c>
      <c r="AD170" s="9" t="str">
        <f t="shared" si="28"/>
        <v/>
      </c>
      <c r="AF170" s="2" t="str">
        <f t="shared" si="31"/>
        <v/>
      </c>
      <c r="AG170" s="9" t="str">
        <f t="shared" si="32"/>
        <v/>
      </c>
      <c r="AH170" s="9" t="str">
        <f t="shared" si="33"/>
        <v/>
      </c>
    </row>
    <row r="171" spans="1:34" x14ac:dyDescent="0.25">
      <c r="A171" s="68"/>
      <c r="B171" s="68"/>
      <c r="C171" s="65"/>
      <c r="D171" s="65"/>
      <c r="E171" s="66"/>
      <c r="F171" s="65"/>
      <c r="G171" s="67"/>
      <c r="AA171" s="2" t="str">
        <f t="shared" si="29"/>
        <v/>
      </c>
      <c r="AC171" s="9" t="str">
        <f t="shared" si="30"/>
        <v/>
      </c>
      <c r="AD171" s="9" t="str">
        <f t="shared" si="28"/>
        <v/>
      </c>
      <c r="AF171" s="2" t="str">
        <f t="shared" si="31"/>
        <v/>
      </c>
      <c r="AG171" s="9" t="str">
        <f t="shared" si="32"/>
        <v/>
      </c>
      <c r="AH171" s="9" t="str">
        <f t="shared" si="33"/>
        <v/>
      </c>
    </row>
    <row r="172" spans="1:34" x14ac:dyDescent="0.25">
      <c r="A172" s="68"/>
      <c r="B172" s="68"/>
      <c r="C172" s="65"/>
      <c r="D172" s="65"/>
      <c r="E172" s="66"/>
      <c r="F172" s="65"/>
      <c r="G172" s="67"/>
      <c r="AA172" s="2" t="str">
        <f t="shared" si="29"/>
        <v/>
      </c>
      <c r="AC172" s="9" t="str">
        <f t="shared" si="30"/>
        <v/>
      </c>
      <c r="AD172" s="9" t="str">
        <f t="shared" si="28"/>
        <v/>
      </c>
      <c r="AF172" s="2" t="str">
        <f t="shared" si="31"/>
        <v/>
      </c>
      <c r="AG172" s="9" t="str">
        <f t="shared" si="32"/>
        <v/>
      </c>
      <c r="AH172" s="9" t="str">
        <f t="shared" si="33"/>
        <v/>
      </c>
    </row>
    <row r="173" spans="1:34" x14ac:dyDescent="0.25">
      <c r="A173" s="68"/>
      <c r="B173" s="68"/>
      <c r="C173" s="65"/>
      <c r="D173" s="65"/>
      <c r="E173" s="66"/>
      <c r="F173" s="65"/>
      <c r="G173" s="67"/>
      <c r="AA173" s="2" t="str">
        <f t="shared" si="29"/>
        <v/>
      </c>
      <c r="AC173" s="9" t="str">
        <f t="shared" si="30"/>
        <v/>
      </c>
      <c r="AD173" s="9" t="str">
        <f t="shared" si="28"/>
        <v/>
      </c>
      <c r="AF173" s="2" t="str">
        <f t="shared" si="31"/>
        <v/>
      </c>
      <c r="AG173" s="9" t="str">
        <f t="shared" si="32"/>
        <v/>
      </c>
      <c r="AH173" s="9" t="str">
        <f t="shared" si="33"/>
        <v/>
      </c>
    </row>
    <row r="174" spans="1:34" x14ac:dyDescent="0.25">
      <c r="A174" s="68"/>
      <c r="B174" s="68"/>
      <c r="C174" s="65"/>
      <c r="D174" s="65"/>
      <c r="E174" s="66"/>
      <c r="F174" s="65"/>
      <c r="G174" s="67"/>
      <c r="AA174" s="2" t="str">
        <f t="shared" si="29"/>
        <v/>
      </c>
      <c r="AC174" s="9" t="str">
        <f t="shared" si="30"/>
        <v/>
      </c>
      <c r="AD174" s="9" t="str">
        <f t="shared" si="28"/>
        <v/>
      </c>
      <c r="AF174" s="2" t="str">
        <f t="shared" si="31"/>
        <v/>
      </c>
      <c r="AG174" s="9" t="str">
        <f t="shared" si="32"/>
        <v/>
      </c>
      <c r="AH174" s="9" t="str">
        <f t="shared" si="33"/>
        <v/>
      </c>
    </row>
    <row r="175" spans="1:34" x14ac:dyDescent="0.25">
      <c r="A175" s="68"/>
      <c r="B175" s="68"/>
      <c r="C175" s="65"/>
      <c r="D175" s="65"/>
      <c r="E175" s="66"/>
      <c r="F175" s="65"/>
      <c r="G175" s="67"/>
      <c r="AA175" s="2" t="str">
        <f t="shared" si="29"/>
        <v/>
      </c>
      <c r="AC175" s="9" t="str">
        <f t="shared" si="30"/>
        <v/>
      </c>
      <c r="AD175" s="9" t="str">
        <f t="shared" si="28"/>
        <v/>
      </c>
      <c r="AF175" s="2" t="str">
        <f t="shared" si="31"/>
        <v/>
      </c>
      <c r="AG175" s="9" t="str">
        <f t="shared" si="32"/>
        <v/>
      </c>
      <c r="AH175" s="9" t="str">
        <f t="shared" si="33"/>
        <v/>
      </c>
    </row>
    <row r="176" spans="1:34" x14ac:dyDescent="0.25">
      <c r="A176" s="68"/>
      <c r="B176" s="68"/>
      <c r="C176" s="65"/>
      <c r="D176" s="65"/>
      <c r="E176" s="66"/>
      <c r="F176" s="65"/>
      <c r="G176" s="67"/>
      <c r="AA176" s="2" t="str">
        <f t="shared" si="29"/>
        <v/>
      </c>
      <c r="AC176" s="9" t="str">
        <f t="shared" si="30"/>
        <v/>
      </c>
      <c r="AD176" s="9" t="str">
        <f t="shared" si="28"/>
        <v/>
      </c>
      <c r="AF176" s="2" t="str">
        <f t="shared" si="31"/>
        <v/>
      </c>
      <c r="AG176" s="9" t="str">
        <f t="shared" si="32"/>
        <v/>
      </c>
      <c r="AH176" s="9" t="str">
        <f t="shared" si="33"/>
        <v/>
      </c>
    </row>
    <row r="177" spans="1:34" x14ac:dyDescent="0.25">
      <c r="A177" s="68"/>
      <c r="B177" s="68"/>
      <c r="C177" s="65"/>
      <c r="D177" s="65"/>
      <c r="E177" s="66"/>
      <c r="F177" s="65"/>
      <c r="G177" s="67"/>
      <c r="AA177" s="2" t="str">
        <f t="shared" si="29"/>
        <v/>
      </c>
      <c r="AC177" s="9" t="str">
        <f t="shared" si="30"/>
        <v/>
      </c>
      <c r="AD177" s="9" t="str">
        <f t="shared" si="28"/>
        <v/>
      </c>
      <c r="AF177" s="2" t="str">
        <f t="shared" si="31"/>
        <v/>
      </c>
      <c r="AG177" s="9" t="str">
        <f t="shared" si="32"/>
        <v/>
      </c>
      <c r="AH177" s="9" t="str">
        <f t="shared" si="33"/>
        <v/>
      </c>
    </row>
    <row r="178" spans="1:34" x14ac:dyDescent="0.25">
      <c r="A178" s="68"/>
      <c r="B178" s="68"/>
      <c r="C178" s="65"/>
      <c r="D178" s="65"/>
      <c r="E178" s="66"/>
      <c r="F178" s="65"/>
      <c r="G178" s="67"/>
      <c r="AA178" s="2" t="str">
        <f t="shared" si="29"/>
        <v/>
      </c>
      <c r="AC178" s="9" t="str">
        <f t="shared" si="30"/>
        <v/>
      </c>
      <c r="AD178" s="9" t="str">
        <f t="shared" si="28"/>
        <v/>
      </c>
      <c r="AF178" s="2" t="str">
        <f t="shared" si="31"/>
        <v/>
      </c>
      <c r="AG178" s="9" t="str">
        <f t="shared" si="32"/>
        <v/>
      </c>
      <c r="AH178" s="9" t="str">
        <f t="shared" si="33"/>
        <v/>
      </c>
    </row>
    <row r="179" spans="1:34" x14ac:dyDescent="0.25">
      <c r="A179" s="68"/>
      <c r="B179" s="68"/>
      <c r="C179" s="65"/>
      <c r="D179" s="65"/>
      <c r="E179" s="66"/>
      <c r="F179" s="65"/>
      <c r="G179" s="67"/>
      <c r="AA179" s="2" t="str">
        <f t="shared" si="29"/>
        <v/>
      </c>
      <c r="AC179" s="9" t="str">
        <f t="shared" si="30"/>
        <v/>
      </c>
      <c r="AD179" s="9" t="str">
        <f t="shared" si="28"/>
        <v/>
      </c>
      <c r="AF179" s="2" t="str">
        <f t="shared" si="31"/>
        <v/>
      </c>
      <c r="AG179" s="9" t="str">
        <f t="shared" si="32"/>
        <v/>
      </c>
      <c r="AH179" s="9" t="str">
        <f t="shared" si="33"/>
        <v/>
      </c>
    </row>
    <row r="180" spans="1:34" x14ac:dyDescent="0.25">
      <c r="A180" s="68"/>
      <c r="B180" s="68"/>
      <c r="C180" s="65"/>
      <c r="D180" s="65"/>
      <c r="E180" s="66"/>
      <c r="F180" s="65"/>
      <c r="G180" s="67"/>
      <c r="AA180" s="2" t="str">
        <f t="shared" si="29"/>
        <v/>
      </c>
      <c r="AC180" s="9" t="str">
        <f t="shared" si="30"/>
        <v/>
      </c>
      <c r="AD180" s="9" t="str">
        <f t="shared" si="28"/>
        <v/>
      </c>
      <c r="AF180" s="2" t="str">
        <f t="shared" si="31"/>
        <v/>
      </c>
      <c r="AG180" s="9" t="str">
        <f t="shared" si="32"/>
        <v/>
      </c>
      <c r="AH180" s="9" t="str">
        <f t="shared" si="33"/>
        <v/>
      </c>
    </row>
    <row r="181" spans="1:34" x14ac:dyDescent="0.25">
      <c r="A181" s="68"/>
      <c r="B181" s="68"/>
      <c r="C181" s="65"/>
      <c r="D181" s="65"/>
      <c r="E181" s="66"/>
      <c r="F181" s="65"/>
      <c r="G181" s="67"/>
      <c r="AA181" s="2" t="str">
        <f t="shared" si="29"/>
        <v/>
      </c>
      <c r="AC181" s="9" t="str">
        <f t="shared" si="30"/>
        <v/>
      </c>
      <c r="AD181" s="9" t="str">
        <f t="shared" si="28"/>
        <v/>
      </c>
      <c r="AF181" s="2" t="str">
        <f>IF(AE181="","",AB181-AB$29)</f>
        <v/>
      </c>
      <c r="AG181" s="9" t="str">
        <f t="shared" si="32"/>
        <v/>
      </c>
      <c r="AH181" s="9" t="str">
        <f t="shared" si="33"/>
        <v/>
      </c>
    </row>
    <row r="182" spans="1:34" x14ac:dyDescent="0.25">
      <c r="A182" s="68"/>
      <c r="B182" s="68"/>
      <c r="C182" s="65"/>
      <c r="D182" s="65"/>
      <c r="E182" s="66"/>
      <c r="F182" s="65"/>
      <c r="G182" s="67"/>
      <c r="AA182" s="2" t="str">
        <f t="shared" si="29"/>
        <v/>
      </c>
      <c r="AC182" s="9" t="str">
        <f t="shared" si="30"/>
        <v/>
      </c>
      <c r="AD182" s="9" t="str">
        <f t="shared" si="28"/>
        <v/>
      </c>
      <c r="AF182" s="2" t="str">
        <f t="shared" ref="AF182:AF229" si="34">IF(AE182="","",AB182-AB$29)</f>
        <v/>
      </c>
      <c r="AG182" s="9" t="str">
        <f t="shared" si="32"/>
        <v/>
      </c>
      <c r="AH182" s="9" t="str">
        <f t="shared" si="33"/>
        <v/>
      </c>
    </row>
    <row r="183" spans="1:34" x14ac:dyDescent="0.25">
      <c r="A183" s="68"/>
      <c r="B183" s="68"/>
      <c r="C183" s="65"/>
      <c r="D183" s="65"/>
      <c r="E183" s="66"/>
      <c r="F183" s="65"/>
      <c r="G183" s="67"/>
      <c r="AA183" s="2" t="str">
        <f t="shared" si="29"/>
        <v/>
      </c>
      <c r="AC183" s="9" t="str">
        <f t="shared" si="30"/>
        <v/>
      </c>
      <c r="AD183" s="9" t="str">
        <f t="shared" si="28"/>
        <v/>
      </c>
      <c r="AF183" s="2" t="str">
        <f t="shared" si="34"/>
        <v/>
      </c>
      <c r="AG183" s="9" t="str">
        <f t="shared" si="32"/>
        <v/>
      </c>
      <c r="AH183" s="9" t="str">
        <f t="shared" si="33"/>
        <v/>
      </c>
    </row>
    <row r="184" spans="1:34" x14ac:dyDescent="0.25">
      <c r="A184" s="68"/>
      <c r="B184" s="68"/>
      <c r="C184" s="65"/>
      <c r="D184" s="65"/>
      <c r="E184" s="66"/>
      <c r="F184" s="65"/>
      <c r="G184" s="67"/>
      <c r="AA184" s="2" t="str">
        <f t="shared" si="29"/>
        <v/>
      </c>
      <c r="AC184" s="9" t="str">
        <f t="shared" si="30"/>
        <v/>
      </c>
      <c r="AD184" s="9" t="str">
        <f t="shared" si="28"/>
        <v/>
      </c>
      <c r="AF184" s="2" t="str">
        <f t="shared" si="34"/>
        <v/>
      </c>
      <c r="AG184" s="9" t="str">
        <f t="shared" si="32"/>
        <v/>
      </c>
      <c r="AH184" s="9" t="str">
        <f t="shared" si="33"/>
        <v/>
      </c>
    </row>
    <row r="185" spans="1:34" x14ac:dyDescent="0.25">
      <c r="A185" s="68"/>
      <c r="B185" s="68"/>
      <c r="C185" s="65"/>
      <c r="D185" s="65"/>
      <c r="E185" s="66"/>
      <c r="F185" s="65"/>
      <c r="G185" s="67"/>
      <c r="AA185" s="2" t="str">
        <f t="shared" si="29"/>
        <v/>
      </c>
      <c r="AC185" s="9" t="str">
        <f t="shared" si="30"/>
        <v/>
      </c>
      <c r="AD185" s="9" t="str">
        <f t="shared" si="28"/>
        <v/>
      </c>
      <c r="AF185" s="2" t="str">
        <f t="shared" si="34"/>
        <v/>
      </c>
      <c r="AG185" s="9" t="str">
        <f t="shared" si="32"/>
        <v/>
      </c>
      <c r="AH185" s="9" t="str">
        <f t="shared" si="33"/>
        <v/>
      </c>
    </row>
    <row r="186" spans="1:34" x14ac:dyDescent="0.25">
      <c r="A186" s="68"/>
      <c r="B186" s="68"/>
      <c r="C186" s="65"/>
      <c r="D186" s="65"/>
      <c r="E186" s="66"/>
      <c r="F186" s="65"/>
      <c r="G186" s="67"/>
      <c r="AA186" s="2" t="str">
        <f t="shared" si="29"/>
        <v/>
      </c>
      <c r="AC186" s="9" t="str">
        <f t="shared" si="30"/>
        <v/>
      </c>
      <c r="AD186" s="9" t="str">
        <f t="shared" si="28"/>
        <v/>
      </c>
      <c r="AF186" s="2" t="str">
        <f t="shared" si="34"/>
        <v/>
      </c>
      <c r="AG186" s="9" t="str">
        <f t="shared" si="32"/>
        <v/>
      </c>
      <c r="AH186" s="9" t="str">
        <f t="shared" si="33"/>
        <v/>
      </c>
    </row>
    <row r="187" spans="1:34" x14ac:dyDescent="0.25">
      <c r="A187" s="68"/>
      <c r="B187" s="68"/>
      <c r="C187" s="65"/>
      <c r="D187" s="65"/>
      <c r="E187" s="66"/>
      <c r="F187" s="65"/>
      <c r="G187" s="67"/>
      <c r="AA187" s="2" t="str">
        <f t="shared" si="29"/>
        <v/>
      </c>
      <c r="AC187" s="9" t="str">
        <f t="shared" si="30"/>
        <v/>
      </c>
      <c r="AD187" s="9" t="str">
        <f t="shared" si="28"/>
        <v/>
      </c>
      <c r="AF187" s="2" t="str">
        <f t="shared" si="34"/>
        <v/>
      </c>
      <c r="AG187" s="9" t="str">
        <f t="shared" si="32"/>
        <v/>
      </c>
      <c r="AH187" s="9" t="str">
        <f t="shared" si="33"/>
        <v/>
      </c>
    </row>
    <row r="188" spans="1:34" x14ac:dyDescent="0.25">
      <c r="A188" s="68"/>
      <c r="B188" s="68"/>
      <c r="C188" s="65"/>
      <c r="D188" s="65"/>
      <c r="E188" s="66"/>
      <c r="F188" s="65"/>
      <c r="G188" s="67"/>
      <c r="AA188" s="2" t="str">
        <f t="shared" si="29"/>
        <v/>
      </c>
      <c r="AC188" s="9" t="str">
        <f t="shared" si="30"/>
        <v/>
      </c>
      <c r="AD188" s="9" t="str">
        <f t="shared" si="28"/>
        <v/>
      </c>
      <c r="AF188" s="2" t="str">
        <f t="shared" si="34"/>
        <v/>
      </c>
      <c r="AG188" s="9" t="str">
        <f t="shared" si="32"/>
        <v/>
      </c>
      <c r="AH188" s="9" t="str">
        <f t="shared" si="33"/>
        <v/>
      </c>
    </row>
    <row r="189" spans="1:34" x14ac:dyDescent="0.25">
      <c r="A189" s="68"/>
      <c r="B189" s="68"/>
      <c r="C189" s="65"/>
      <c r="D189" s="65"/>
      <c r="E189" s="66"/>
      <c r="F189" s="65"/>
      <c r="G189" s="67"/>
      <c r="AA189" s="2" t="str">
        <f t="shared" si="29"/>
        <v/>
      </c>
      <c r="AC189" s="9" t="str">
        <f t="shared" si="30"/>
        <v/>
      </c>
      <c r="AD189" s="9" t="str">
        <f t="shared" si="28"/>
        <v/>
      </c>
      <c r="AF189" s="2" t="str">
        <f t="shared" si="34"/>
        <v/>
      </c>
      <c r="AG189" s="9" t="str">
        <f t="shared" si="32"/>
        <v/>
      </c>
      <c r="AH189" s="9" t="str">
        <f t="shared" si="33"/>
        <v/>
      </c>
    </row>
    <row r="190" spans="1:34" x14ac:dyDescent="0.25">
      <c r="A190" s="68"/>
      <c r="B190" s="68"/>
      <c r="C190" s="65"/>
      <c r="D190" s="65"/>
      <c r="E190" s="66"/>
      <c r="F190" s="65"/>
      <c r="G190" s="67"/>
      <c r="AA190" s="2" t="str">
        <f t="shared" si="29"/>
        <v/>
      </c>
      <c r="AC190" s="9" t="str">
        <f t="shared" si="30"/>
        <v/>
      </c>
      <c r="AD190" s="9" t="str">
        <f t="shared" si="28"/>
        <v/>
      </c>
      <c r="AF190" s="2" t="str">
        <f t="shared" si="34"/>
        <v/>
      </c>
      <c r="AG190" s="9" t="str">
        <f t="shared" si="32"/>
        <v/>
      </c>
      <c r="AH190" s="9" t="str">
        <f t="shared" si="33"/>
        <v/>
      </c>
    </row>
    <row r="191" spans="1:34" x14ac:dyDescent="0.25">
      <c r="A191" s="68"/>
      <c r="B191" s="68"/>
      <c r="C191" s="65"/>
      <c r="D191" s="65"/>
      <c r="E191" s="66"/>
      <c r="F191" s="65"/>
      <c r="G191" s="67"/>
      <c r="AA191" s="2" t="str">
        <f t="shared" si="29"/>
        <v/>
      </c>
      <c r="AC191" s="9" t="str">
        <f t="shared" si="30"/>
        <v/>
      </c>
      <c r="AD191" s="9" t="str">
        <f t="shared" si="28"/>
        <v/>
      </c>
      <c r="AF191" s="2" t="str">
        <f t="shared" si="34"/>
        <v/>
      </c>
      <c r="AG191" s="9" t="str">
        <f t="shared" si="32"/>
        <v/>
      </c>
      <c r="AH191" s="9" t="str">
        <f t="shared" si="33"/>
        <v/>
      </c>
    </row>
    <row r="192" spans="1:34" x14ac:dyDescent="0.25">
      <c r="A192" s="68"/>
      <c r="B192" s="68"/>
      <c r="C192" s="65"/>
      <c r="D192" s="65"/>
      <c r="E192" s="66"/>
      <c r="F192" s="65"/>
      <c r="G192" s="67"/>
      <c r="AA192" s="2" t="str">
        <f t="shared" si="29"/>
        <v/>
      </c>
      <c r="AC192" s="9" t="str">
        <f t="shared" si="30"/>
        <v/>
      </c>
      <c r="AD192" s="9" t="str">
        <f t="shared" si="28"/>
        <v/>
      </c>
      <c r="AF192" s="2" t="str">
        <f t="shared" si="34"/>
        <v/>
      </c>
      <c r="AG192" s="9" t="str">
        <f t="shared" si="32"/>
        <v/>
      </c>
      <c r="AH192" s="9" t="str">
        <f t="shared" si="33"/>
        <v/>
      </c>
    </row>
    <row r="193" spans="1:34" x14ac:dyDescent="0.25">
      <c r="A193" s="68"/>
      <c r="B193" s="68"/>
      <c r="C193" s="65"/>
      <c r="D193" s="65"/>
      <c r="E193" s="66"/>
      <c r="F193" s="65"/>
      <c r="G193" s="67"/>
      <c r="AA193" s="2" t="str">
        <f t="shared" si="29"/>
        <v/>
      </c>
      <c r="AC193" s="9" t="str">
        <f t="shared" si="30"/>
        <v/>
      </c>
      <c r="AD193" s="9" t="str">
        <f t="shared" si="28"/>
        <v/>
      </c>
      <c r="AF193" s="2" t="str">
        <f t="shared" si="34"/>
        <v/>
      </c>
      <c r="AG193" s="9" t="str">
        <f t="shared" si="32"/>
        <v/>
      </c>
      <c r="AH193" s="9" t="str">
        <f t="shared" si="33"/>
        <v/>
      </c>
    </row>
    <row r="194" spans="1:34" x14ac:dyDescent="0.25">
      <c r="A194" s="68"/>
      <c r="B194" s="68"/>
      <c r="C194" s="65"/>
      <c r="D194" s="65"/>
      <c r="E194" s="66"/>
      <c r="F194" s="65"/>
      <c r="G194" s="67"/>
      <c r="AA194" s="2" t="str">
        <f t="shared" si="29"/>
        <v/>
      </c>
      <c r="AC194" s="9" t="str">
        <f t="shared" si="30"/>
        <v/>
      </c>
      <c r="AD194" s="9" t="str">
        <f t="shared" si="28"/>
        <v/>
      </c>
      <c r="AF194" s="2" t="str">
        <f t="shared" si="34"/>
        <v/>
      </c>
      <c r="AG194" s="9" t="str">
        <f t="shared" si="32"/>
        <v/>
      </c>
      <c r="AH194" s="9" t="str">
        <f t="shared" si="33"/>
        <v/>
      </c>
    </row>
    <row r="195" spans="1:34" x14ac:dyDescent="0.25">
      <c r="A195" s="68"/>
      <c r="B195" s="68"/>
      <c r="C195" s="65"/>
      <c r="D195" s="65"/>
      <c r="E195" s="66"/>
      <c r="F195" s="65"/>
      <c r="G195" s="67"/>
      <c r="AA195" s="2" t="str">
        <f t="shared" si="29"/>
        <v/>
      </c>
      <c r="AC195" s="9" t="str">
        <f t="shared" si="30"/>
        <v/>
      </c>
      <c r="AD195" s="9" t="str">
        <f t="shared" si="28"/>
        <v/>
      </c>
      <c r="AF195" s="2" t="str">
        <f t="shared" si="34"/>
        <v/>
      </c>
      <c r="AG195" s="9" t="str">
        <f t="shared" si="32"/>
        <v/>
      </c>
      <c r="AH195" s="9" t="str">
        <f t="shared" si="33"/>
        <v/>
      </c>
    </row>
    <row r="196" spans="1:34" x14ac:dyDescent="0.25">
      <c r="A196" s="68"/>
      <c r="B196" s="68"/>
      <c r="C196" s="65"/>
      <c r="D196" s="65"/>
      <c r="E196" s="66"/>
      <c r="F196" s="65"/>
      <c r="G196" s="67"/>
      <c r="AA196" s="2" t="str">
        <f t="shared" si="29"/>
        <v/>
      </c>
      <c r="AC196" s="9" t="str">
        <f t="shared" si="30"/>
        <v/>
      </c>
      <c r="AD196" s="9" t="str">
        <f t="shared" si="28"/>
        <v/>
      </c>
      <c r="AF196" s="2" t="str">
        <f t="shared" si="34"/>
        <v/>
      </c>
      <c r="AG196" s="9" t="str">
        <f t="shared" si="32"/>
        <v/>
      </c>
      <c r="AH196" s="9" t="str">
        <f t="shared" si="33"/>
        <v/>
      </c>
    </row>
    <row r="197" spans="1:34" x14ac:dyDescent="0.25">
      <c r="A197" s="68"/>
      <c r="B197" s="68"/>
      <c r="C197" s="65"/>
      <c r="D197" s="65"/>
      <c r="E197" s="66"/>
      <c r="F197" s="65"/>
      <c r="G197" s="67"/>
      <c r="AA197" s="2" t="str">
        <f t="shared" si="29"/>
        <v/>
      </c>
      <c r="AC197" s="9" t="str">
        <f t="shared" si="30"/>
        <v/>
      </c>
      <c r="AD197" s="9" t="str">
        <f t="shared" si="28"/>
        <v/>
      </c>
      <c r="AF197" s="2" t="str">
        <f t="shared" si="34"/>
        <v/>
      </c>
      <c r="AG197" s="9" t="str">
        <f t="shared" si="32"/>
        <v/>
      </c>
      <c r="AH197" s="9" t="str">
        <f t="shared" si="33"/>
        <v/>
      </c>
    </row>
    <row r="198" spans="1:34" x14ac:dyDescent="0.25">
      <c r="A198" s="68"/>
      <c r="B198" s="68"/>
      <c r="C198" s="65"/>
      <c r="D198" s="65"/>
      <c r="E198" s="66"/>
      <c r="F198" s="65"/>
      <c r="G198" s="67"/>
      <c r="AA198" s="2" t="str">
        <f t="shared" si="29"/>
        <v/>
      </c>
      <c r="AC198" s="9" t="str">
        <f t="shared" si="30"/>
        <v/>
      </c>
      <c r="AD198" s="9" t="str">
        <f t="shared" si="28"/>
        <v/>
      </c>
      <c r="AF198" s="2" t="str">
        <f t="shared" si="34"/>
        <v/>
      </c>
      <c r="AG198" s="9" t="str">
        <f t="shared" si="32"/>
        <v/>
      </c>
      <c r="AH198" s="9" t="str">
        <f t="shared" si="33"/>
        <v/>
      </c>
    </row>
    <row r="199" spans="1:34" x14ac:dyDescent="0.25">
      <c r="A199" s="68"/>
      <c r="B199" s="68"/>
      <c r="C199" s="65"/>
      <c r="D199" s="65"/>
      <c r="E199" s="66"/>
      <c r="F199" s="65"/>
      <c r="G199" s="67"/>
      <c r="AA199" s="2" t="str">
        <f t="shared" si="29"/>
        <v/>
      </c>
      <c r="AC199" s="9" t="str">
        <f t="shared" si="30"/>
        <v/>
      </c>
      <c r="AD199" s="9" t="str">
        <f t="shared" si="28"/>
        <v/>
      </c>
      <c r="AF199" s="2" t="str">
        <f t="shared" si="34"/>
        <v/>
      </c>
      <c r="AG199" s="9" t="str">
        <f t="shared" si="32"/>
        <v/>
      </c>
      <c r="AH199" s="9" t="str">
        <f t="shared" si="33"/>
        <v/>
      </c>
    </row>
    <row r="200" spans="1:34" x14ac:dyDescent="0.25">
      <c r="A200" s="68"/>
      <c r="B200" s="68"/>
      <c r="C200" s="65"/>
      <c r="D200" s="65"/>
      <c r="E200" s="66"/>
      <c r="F200" s="65"/>
      <c r="G200" s="67"/>
      <c r="AA200" s="2" t="str">
        <f t="shared" si="29"/>
        <v/>
      </c>
      <c r="AC200" s="9" t="str">
        <f t="shared" si="30"/>
        <v/>
      </c>
      <c r="AD200" s="9" t="str">
        <f t="shared" si="28"/>
        <v/>
      </c>
      <c r="AF200" s="2" t="str">
        <f t="shared" si="34"/>
        <v/>
      </c>
      <c r="AG200" s="9" t="str">
        <f t="shared" si="32"/>
        <v/>
      </c>
      <c r="AH200" s="9" t="str">
        <f t="shared" si="33"/>
        <v/>
      </c>
    </row>
    <row r="201" spans="1:34" x14ac:dyDescent="0.25">
      <c r="A201" s="68"/>
      <c r="B201" s="68"/>
      <c r="C201" s="65"/>
      <c r="D201" s="65"/>
      <c r="E201" s="66"/>
      <c r="F201" s="65"/>
      <c r="G201" s="67"/>
      <c r="AA201" s="2" t="str">
        <f t="shared" si="29"/>
        <v/>
      </c>
      <c r="AC201" s="9" t="str">
        <f t="shared" si="30"/>
        <v/>
      </c>
      <c r="AD201" s="9" t="str">
        <f t="shared" si="28"/>
        <v/>
      </c>
      <c r="AF201" s="2" t="str">
        <f t="shared" si="34"/>
        <v/>
      </c>
      <c r="AG201" s="9" t="str">
        <f t="shared" si="32"/>
        <v/>
      </c>
      <c r="AH201" s="9" t="str">
        <f t="shared" si="33"/>
        <v/>
      </c>
    </row>
    <row r="202" spans="1:34" x14ac:dyDescent="0.25">
      <c r="A202" s="68"/>
      <c r="B202" s="68"/>
      <c r="C202" s="65"/>
      <c r="D202" s="65"/>
      <c r="E202" s="66"/>
      <c r="F202" s="65"/>
      <c r="G202" s="67"/>
      <c r="AA202" s="2" t="str">
        <f t="shared" si="29"/>
        <v/>
      </c>
      <c r="AC202" s="9" t="str">
        <f t="shared" si="30"/>
        <v/>
      </c>
      <c r="AD202" s="9" t="str">
        <f t="shared" si="28"/>
        <v/>
      </c>
      <c r="AF202" s="2" t="str">
        <f t="shared" si="34"/>
        <v/>
      </c>
      <c r="AG202" s="9" t="str">
        <f t="shared" si="32"/>
        <v/>
      </c>
      <c r="AH202" s="9" t="str">
        <f t="shared" si="33"/>
        <v/>
      </c>
    </row>
    <row r="203" spans="1:34" x14ac:dyDescent="0.25">
      <c r="A203" s="68"/>
      <c r="B203" s="68"/>
      <c r="C203" s="65"/>
      <c r="D203" s="65"/>
      <c r="E203" s="66"/>
      <c r="F203" s="65"/>
      <c r="G203" s="67"/>
      <c r="AA203" s="2" t="str">
        <f t="shared" si="29"/>
        <v/>
      </c>
      <c r="AC203" s="9" t="str">
        <f t="shared" si="30"/>
        <v/>
      </c>
      <c r="AD203" s="9" t="str">
        <f t="shared" si="28"/>
        <v/>
      </c>
      <c r="AF203" s="2" t="str">
        <f t="shared" si="34"/>
        <v/>
      </c>
      <c r="AG203" s="9" t="str">
        <f t="shared" si="32"/>
        <v/>
      </c>
      <c r="AH203" s="9" t="str">
        <f t="shared" si="33"/>
        <v/>
      </c>
    </row>
    <row r="204" spans="1:34" x14ac:dyDescent="0.25">
      <c r="A204" s="68"/>
      <c r="B204" s="68"/>
      <c r="C204" s="65"/>
      <c r="D204" s="65"/>
      <c r="E204" s="66"/>
      <c r="F204" s="65"/>
      <c r="G204" s="67"/>
      <c r="AA204" s="2" t="str">
        <f t="shared" si="29"/>
        <v/>
      </c>
      <c r="AC204" s="9" t="str">
        <f t="shared" si="30"/>
        <v/>
      </c>
      <c r="AD204" s="9" t="str">
        <f t="shared" si="28"/>
        <v/>
      </c>
      <c r="AF204" s="2" t="str">
        <f t="shared" si="34"/>
        <v/>
      </c>
      <c r="AG204" s="9" t="str">
        <f t="shared" si="32"/>
        <v/>
      </c>
      <c r="AH204" s="9" t="str">
        <f t="shared" si="33"/>
        <v/>
      </c>
    </row>
    <row r="205" spans="1:34" x14ac:dyDescent="0.25">
      <c r="A205" s="68"/>
      <c r="B205" s="68"/>
      <c r="C205" s="65"/>
      <c r="D205" s="65"/>
      <c r="E205" s="66"/>
      <c r="F205" s="65"/>
      <c r="G205" s="67"/>
      <c r="AA205" s="2" t="str">
        <f t="shared" si="29"/>
        <v/>
      </c>
      <c r="AC205" s="9" t="str">
        <f t="shared" si="30"/>
        <v/>
      </c>
      <c r="AD205" s="9" t="str">
        <f t="shared" si="28"/>
        <v/>
      </c>
      <c r="AF205" s="2" t="str">
        <f t="shared" si="34"/>
        <v/>
      </c>
      <c r="AG205" s="9" t="str">
        <f t="shared" si="32"/>
        <v/>
      </c>
      <c r="AH205" s="9" t="str">
        <f t="shared" si="33"/>
        <v/>
      </c>
    </row>
    <row r="206" spans="1:34" x14ac:dyDescent="0.25">
      <c r="A206" s="68"/>
      <c r="B206" s="68"/>
      <c r="C206" s="65"/>
      <c r="D206" s="65"/>
      <c r="E206" s="66"/>
      <c r="F206" s="65"/>
      <c r="G206" s="67"/>
      <c r="AA206" s="2" t="str">
        <f t="shared" si="29"/>
        <v/>
      </c>
      <c r="AC206" s="9" t="str">
        <f t="shared" si="30"/>
        <v/>
      </c>
      <c r="AD206" s="9" t="str">
        <f t="shared" si="28"/>
        <v/>
      </c>
      <c r="AF206" s="2" t="str">
        <f t="shared" si="34"/>
        <v/>
      </c>
      <c r="AG206" s="9" t="str">
        <f t="shared" si="32"/>
        <v/>
      </c>
      <c r="AH206" s="9" t="str">
        <f t="shared" si="33"/>
        <v/>
      </c>
    </row>
    <row r="207" spans="1:34" x14ac:dyDescent="0.25">
      <c r="A207" s="68"/>
      <c r="B207" s="68"/>
      <c r="C207" s="65"/>
      <c r="D207" s="65"/>
      <c r="E207" s="66"/>
      <c r="F207" s="65"/>
      <c r="G207" s="67"/>
      <c r="AA207" s="2" t="str">
        <f t="shared" si="29"/>
        <v/>
      </c>
      <c r="AC207" s="9" t="str">
        <f t="shared" si="30"/>
        <v/>
      </c>
      <c r="AD207" s="9" t="str">
        <f t="shared" si="28"/>
        <v/>
      </c>
      <c r="AF207" s="2" t="str">
        <f t="shared" si="34"/>
        <v/>
      </c>
      <c r="AG207" s="9" t="str">
        <f t="shared" si="32"/>
        <v/>
      </c>
      <c r="AH207" s="9" t="str">
        <f t="shared" si="33"/>
        <v/>
      </c>
    </row>
    <row r="208" spans="1:34" x14ac:dyDescent="0.25">
      <c r="A208" s="68"/>
      <c r="B208" s="68"/>
      <c r="C208" s="65"/>
      <c r="D208" s="65"/>
      <c r="E208" s="66"/>
      <c r="F208" s="65"/>
      <c r="G208" s="67"/>
      <c r="AA208" s="2" t="str">
        <f t="shared" si="29"/>
        <v/>
      </c>
      <c r="AC208" s="9" t="str">
        <f t="shared" si="30"/>
        <v/>
      </c>
      <c r="AD208" s="9" t="str">
        <f t="shared" si="28"/>
        <v/>
      </c>
      <c r="AF208" s="2" t="str">
        <f t="shared" si="34"/>
        <v/>
      </c>
      <c r="AG208" s="9" t="str">
        <f t="shared" si="32"/>
        <v/>
      </c>
      <c r="AH208" s="9" t="str">
        <f t="shared" si="33"/>
        <v/>
      </c>
    </row>
    <row r="209" spans="1:34" x14ac:dyDescent="0.25">
      <c r="A209" s="68"/>
      <c r="B209" s="68"/>
      <c r="C209" s="65"/>
      <c r="D209" s="65"/>
      <c r="E209" s="66"/>
      <c r="F209" s="65"/>
      <c r="G209" s="67"/>
      <c r="AA209" s="2" t="str">
        <f t="shared" si="29"/>
        <v/>
      </c>
      <c r="AC209" s="9" t="str">
        <f t="shared" si="30"/>
        <v/>
      </c>
      <c r="AD209" s="9" t="str">
        <f t="shared" si="28"/>
        <v/>
      </c>
      <c r="AF209" s="2" t="str">
        <f t="shared" si="34"/>
        <v/>
      </c>
      <c r="AG209" s="9" t="str">
        <f t="shared" si="32"/>
        <v/>
      </c>
      <c r="AH209" s="9" t="str">
        <f t="shared" si="33"/>
        <v/>
      </c>
    </row>
    <row r="210" spans="1:34" x14ac:dyDescent="0.25">
      <c r="A210" s="68"/>
      <c r="B210" s="68"/>
      <c r="C210" s="65"/>
      <c r="D210" s="65"/>
      <c r="E210" s="66"/>
      <c r="F210" s="65"/>
      <c r="G210" s="67"/>
      <c r="AA210" s="2" t="str">
        <f t="shared" si="29"/>
        <v/>
      </c>
      <c r="AC210" s="9" t="str">
        <f t="shared" si="30"/>
        <v/>
      </c>
      <c r="AD210" s="9" t="str">
        <f t="shared" si="28"/>
        <v/>
      </c>
      <c r="AF210" s="2" t="str">
        <f t="shared" si="34"/>
        <v/>
      </c>
      <c r="AG210" s="9" t="str">
        <f t="shared" si="32"/>
        <v/>
      </c>
      <c r="AH210" s="9" t="str">
        <f t="shared" si="33"/>
        <v/>
      </c>
    </row>
    <row r="211" spans="1:34" x14ac:dyDescent="0.25">
      <c r="A211" s="68"/>
      <c r="B211" s="68"/>
      <c r="C211" s="65"/>
      <c r="D211" s="65"/>
      <c r="E211" s="66"/>
      <c r="F211" s="65"/>
      <c r="G211" s="67"/>
      <c r="AA211" s="2" t="str">
        <f t="shared" si="29"/>
        <v/>
      </c>
      <c r="AC211" s="9" t="str">
        <f t="shared" si="30"/>
        <v/>
      </c>
      <c r="AD211" s="9" t="str">
        <f t="shared" si="28"/>
        <v/>
      </c>
      <c r="AF211" s="2" t="str">
        <f t="shared" si="34"/>
        <v/>
      </c>
      <c r="AG211" s="9" t="str">
        <f t="shared" si="32"/>
        <v/>
      </c>
      <c r="AH211" s="9" t="str">
        <f t="shared" si="33"/>
        <v/>
      </c>
    </row>
    <row r="212" spans="1:34" x14ac:dyDescent="0.25">
      <c r="A212" s="68"/>
      <c r="B212" s="68"/>
      <c r="C212" s="65"/>
      <c r="D212" s="65"/>
      <c r="E212" s="66"/>
      <c r="F212" s="65"/>
      <c r="G212" s="67"/>
      <c r="AA212" s="2" t="str">
        <f t="shared" si="29"/>
        <v/>
      </c>
      <c r="AC212" s="9" t="str">
        <f t="shared" si="30"/>
        <v/>
      </c>
      <c r="AD212" s="9" t="str">
        <f t="shared" si="28"/>
        <v/>
      </c>
      <c r="AF212" s="2" t="str">
        <f t="shared" si="34"/>
        <v/>
      </c>
      <c r="AG212" s="9" t="str">
        <f t="shared" si="32"/>
        <v/>
      </c>
      <c r="AH212" s="9" t="str">
        <f t="shared" si="33"/>
        <v/>
      </c>
    </row>
    <row r="213" spans="1:34" x14ac:dyDescent="0.25">
      <c r="A213" s="68"/>
      <c r="B213" s="68"/>
      <c r="C213" s="65"/>
      <c r="D213" s="65"/>
      <c r="E213" s="66"/>
      <c r="F213" s="65"/>
      <c r="G213" s="67"/>
      <c r="AA213" s="2" t="str">
        <f t="shared" si="29"/>
        <v/>
      </c>
      <c r="AC213" s="9" t="str">
        <f t="shared" si="30"/>
        <v/>
      </c>
      <c r="AD213" s="9" t="str">
        <f t="shared" si="28"/>
        <v/>
      </c>
      <c r="AF213" s="2" t="str">
        <f t="shared" si="34"/>
        <v/>
      </c>
      <c r="AG213" s="9" t="str">
        <f t="shared" si="32"/>
        <v/>
      </c>
      <c r="AH213" s="9" t="str">
        <f t="shared" si="33"/>
        <v/>
      </c>
    </row>
    <row r="214" spans="1:34" x14ac:dyDescent="0.25">
      <c r="A214" s="68"/>
      <c r="B214" s="68"/>
      <c r="C214" s="65"/>
      <c r="D214" s="65"/>
      <c r="E214" s="66"/>
      <c r="F214" s="65"/>
      <c r="G214" s="67"/>
      <c r="AA214" s="2" t="str">
        <f t="shared" si="29"/>
        <v/>
      </c>
      <c r="AC214" s="9" t="str">
        <f t="shared" si="30"/>
        <v/>
      </c>
      <c r="AD214" s="9" t="str">
        <f t="shared" si="28"/>
        <v/>
      </c>
      <c r="AF214" s="2" t="str">
        <f t="shared" si="34"/>
        <v/>
      </c>
      <c r="AG214" s="9" t="str">
        <f t="shared" si="32"/>
        <v/>
      </c>
      <c r="AH214" s="9" t="str">
        <f t="shared" si="33"/>
        <v/>
      </c>
    </row>
    <row r="215" spans="1:34" x14ac:dyDescent="0.25">
      <c r="A215" s="68"/>
      <c r="B215" s="68"/>
      <c r="C215" s="65"/>
      <c r="D215" s="65"/>
      <c r="E215" s="66"/>
      <c r="F215" s="65"/>
      <c r="G215" s="67"/>
      <c r="AA215" s="2" t="str">
        <f t="shared" si="29"/>
        <v/>
      </c>
      <c r="AC215" s="9" t="str">
        <f t="shared" si="30"/>
        <v/>
      </c>
      <c r="AD215" s="9" t="str">
        <f t="shared" si="28"/>
        <v/>
      </c>
      <c r="AF215" s="2" t="str">
        <f t="shared" si="34"/>
        <v/>
      </c>
      <c r="AG215" s="9" t="str">
        <f t="shared" si="32"/>
        <v/>
      </c>
      <c r="AH215" s="9" t="str">
        <f t="shared" si="33"/>
        <v/>
      </c>
    </row>
    <row r="216" spans="1:34" x14ac:dyDescent="0.25">
      <c r="A216" s="68"/>
      <c r="B216" s="68"/>
      <c r="C216" s="65"/>
      <c r="D216" s="65"/>
      <c r="E216" s="66"/>
      <c r="F216" s="65"/>
      <c r="G216" s="67"/>
      <c r="AA216" s="2" t="str">
        <f t="shared" si="29"/>
        <v/>
      </c>
      <c r="AC216" s="9" t="str">
        <f t="shared" si="30"/>
        <v/>
      </c>
      <c r="AD216" s="9" t="str">
        <f t="shared" si="28"/>
        <v/>
      </c>
      <c r="AF216" s="2" t="str">
        <f t="shared" si="34"/>
        <v/>
      </c>
      <c r="AG216" s="9" t="str">
        <f t="shared" si="32"/>
        <v/>
      </c>
      <c r="AH216" s="9" t="str">
        <f t="shared" si="33"/>
        <v/>
      </c>
    </row>
    <row r="217" spans="1:34" x14ac:dyDescent="0.25">
      <c r="A217" s="68"/>
      <c r="B217" s="68"/>
      <c r="C217" s="65"/>
      <c r="D217" s="65"/>
      <c r="E217" s="66"/>
      <c r="F217" s="65"/>
      <c r="G217" s="67"/>
      <c r="AA217" s="2" t="str">
        <f t="shared" si="29"/>
        <v/>
      </c>
      <c r="AC217" s="9" t="str">
        <f t="shared" si="30"/>
        <v/>
      </c>
      <c r="AD217" s="9" t="str">
        <f t="shared" si="28"/>
        <v/>
      </c>
      <c r="AF217" s="2" t="str">
        <f t="shared" si="34"/>
        <v/>
      </c>
      <c r="AG217" s="9" t="str">
        <f t="shared" si="32"/>
        <v/>
      </c>
      <c r="AH217" s="9" t="str">
        <f t="shared" si="33"/>
        <v/>
      </c>
    </row>
    <row r="218" spans="1:34" x14ac:dyDescent="0.25">
      <c r="A218" s="68"/>
      <c r="B218" s="68"/>
      <c r="C218" s="65"/>
      <c r="D218" s="65"/>
      <c r="E218" s="66"/>
      <c r="F218" s="65"/>
      <c r="G218" s="67"/>
      <c r="AA218" s="2" t="str">
        <f t="shared" si="29"/>
        <v/>
      </c>
      <c r="AC218" s="9" t="str">
        <f t="shared" si="30"/>
        <v/>
      </c>
      <c r="AD218" s="9" t="str">
        <f t="shared" si="28"/>
        <v/>
      </c>
      <c r="AF218" s="2" t="str">
        <f t="shared" si="34"/>
        <v/>
      </c>
      <c r="AG218" s="9" t="str">
        <f t="shared" si="32"/>
        <v/>
      </c>
      <c r="AH218" s="9" t="str">
        <f t="shared" si="33"/>
        <v/>
      </c>
    </row>
    <row r="219" spans="1:34" x14ac:dyDescent="0.25">
      <c r="A219" s="68"/>
      <c r="B219" s="68"/>
      <c r="C219" s="65"/>
      <c r="D219" s="65"/>
      <c r="E219" s="66"/>
      <c r="F219" s="65"/>
      <c r="G219" s="67"/>
      <c r="AA219" s="2" t="str">
        <f t="shared" si="29"/>
        <v/>
      </c>
      <c r="AC219" s="9" t="str">
        <f t="shared" si="30"/>
        <v/>
      </c>
      <c r="AD219" s="9" t="str">
        <f t="shared" si="28"/>
        <v/>
      </c>
      <c r="AF219" s="2" t="str">
        <f t="shared" si="34"/>
        <v/>
      </c>
      <c r="AG219" s="9" t="str">
        <f t="shared" si="32"/>
        <v/>
      </c>
      <c r="AH219" s="9" t="str">
        <f t="shared" si="33"/>
        <v/>
      </c>
    </row>
    <row r="220" spans="1:34" x14ac:dyDescent="0.25">
      <c r="A220" s="68"/>
      <c r="B220" s="68"/>
      <c r="C220" s="65"/>
      <c r="D220" s="65"/>
      <c r="E220" s="66"/>
      <c r="F220" s="65"/>
      <c r="G220" s="67"/>
      <c r="AA220" s="2" t="str">
        <f t="shared" si="29"/>
        <v/>
      </c>
      <c r="AC220" s="9" t="str">
        <f t="shared" si="30"/>
        <v/>
      </c>
      <c r="AD220" s="9" t="str">
        <f t="shared" si="28"/>
        <v/>
      </c>
      <c r="AF220" s="2" t="str">
        <f t="shared" si="34"/>
        <v/>
      </c>
      <c r="AG220" s="9" t="str">
        <f t="shared" si="32"/>
        <v/>
      </c>
      <c r="AH220" s="9" t="str">
        <f t="shared" si="33"/>
        <v/>
      </c>
    </row>
    <row r="221" spans="1:34" x14ac:dyDescent="0.25">
      <c r="A221" s="68"/>
      <c r="B221" s="68"/>
      <c r="C221" s="65"/>
      <c r="D221" s="65"/>
      <c r="E221" s="66"/>
      <c r="F221" s="65"/>
      <c r="G221" s="67"/>
      <c r="AA221" s="2" t="str">
        <f t="shared" si="29"/>
        <v/>
      </c>
      <c r="AC221" s="9" t="str">
        <f t="shared" si="30"/>
        <v/>
      </c>
      <c r="AD221" s="9" t="str">
        <f t="shared" si="28"/>
        <v/>
      </c>
      <c r="AF221" s="2" t="str">
        <f t="shared" si="34"/>
        <v/>
      </c>
      <c r="AG221" s="9" t="str">
        <f t="shared" si="32"/>
        <v/>
      </c>
      <c r="AH221" s="9" t="str">
        <f t="shared" si="33"/>
        <v/>
      </c>
    </row>
    <row r="222" spans="1:34" x14ac:dyDescent="0.25">
      <c r="A222" s="68"/>
      <c r="B222" s="68"/>
      <c r="C222" s="65"/>
      <c r="D222" s="65"/>
      <c r="E222" s="66"/>
      <c r="F222" s="65"/>
      <c r="G222" s="67"/>
      <c r="AA222" s="2" t="str">
        <f t="shared" si="29"/>
        <v/>
      </c>
      <c r="AC222" s="9" t="str">
        <f t="shared" si="30"/>
        <v/>
      </c>
      <c r="AD222" s="9" t="str">
        <f t="shared" ref="AD222:AD257" si="35">IF(AA222="","",IF(AA222&lt;=B$16,0,B$15/(B$17-B$16)))</f>
        <v/>
      </c>
      <c r="AF222" s="2" t="str">
        <f t="shared" si="34"/>
        <v/>
      </c>
      <c r="AG222" s="9" t="str">
        <f t="shared" si="32"/>
        <v/>
      </c>
      <c r="AH222" s="9" t="str">
        <f t="shared" si="33"/>
        <v/>
      </c>
    </row>
    <row r="223" spans="1:34" x14ac:dyDescent="0.25">
      <c r="A223" s="68"/>
      <c r="B223" s="68"/>
      <c r="C223" s="65"/>
      <c r="D223" s="65"/>
      <c r="E223" s="66"/>
      <c r="F223" s="65"/>
      <c r="G223" s="67"/>
      <c r="AA223" s="2" t="str">
        <f t="shared" ref="AA223:AA245" si="36">IF(AA222&lt;B$17,AA222+1,"")</f>
        <v/>
      </c>
      <c r="AC223" s="9" t="str">
        <f t="shared" ref="AC223:AC234" si="37">IF(AB223="","",IF(AA223&lt;=B$16,AC222,AC222-AD223))</f>
        <v/>
      </c>
      <c r="AD223" s="9" t="str">
        <f t="shared" si="35"/>
        <v/>
      </c>
      <c r="AF223" s="2" t="str">
        <f t="shared" si="34"/>
        <v/>
      </c>
      <c r="AG223" s="9" t="str">
        <f t="shared" ref="AG223:AG286" si="38">IF(AF223="","",IF(AF223&lt;365,AF223*AC$25*AD223,365*AD223*AC$25))</f>
        <v/>
      </c>
      <c r="AH223" s="9" t="str">
        <f t="shared" ref="AH223:AH286" si="39">IF(AF223="","",IF(AF223&lt;365,AF223*AC$26*AD223,365*AD223*AC$26))</f>
        <v/>
      </c>
    </row>
    <row r="224" spans="1:34" x14ac:dyDescent="0.25">
      <c r="A224" s="68"/>
      <c r="B224" s="68"/>
      <c r="C224" s="65"/>
      <c r="D224" s="65"/>
      <c r="E224" s="66"/>
      <c r="F224" s="65"/>
      <c r="G224" s="67"/>
      <c r="AA224" s="2" t="str">
        <f t="shared" si="36"/>
        <v/>
      </c>
      <c r="AC224" s="9" t="str">
        <f t="shared" si="37"/>
        <v/>
      </c>
      <c r="AD224" s="9" t="str">
        <f t="shared" si="35"/>
        <v/>
      </c>
      <c r="AF224" s="2" t="str">
        <f t="shared" si="34"/>
        <v/>
      </c>
      <c r="AG224" s="9" t="str">
        <f t="shared" si="38"/>
        <v/>
      </c>
      <c r="AH224" s="9" t="str">
        <f t="shared" si="39"/>
        <v/>
      </c>
    </row>
    <row r="225" spans="1:34" x14ac:dyDescent="0.25">
      <c r="A225" s="68"/>
      <c r="B225" s="68"/>
      <c r="C225" s="65"/>
      <c r="D225" s="65"/>
      <c r="E225" s="66"/>
      <c r="F225" s="65"/>
      <c r="G225" s="67"/>
      <c r="AA225" s="2" t="str">
        <f t="shared" si="36"/>
        <v/>
      </c>
      <c r="AC225" s="9" t="str">
        <f t="shared" si="37"/>
        <v/>
      </c>
      <c r="AD225" s="9" t="str">
        <f t="shared" si="35"/>
        <v/>
      </c>
      <c r="AF225" s="2" t="str">
        <f t="shared" si="34"/>
        <v/>
      </c>
      <c r="AG225" s="9" t="str">
        <f t="shared" si="38"/>
        <v/>
      </c>
      <c r="AH225" s="9" t="str">
        <f t="shared" si="39"/>
        <v/>
      </c>
    </row>
    <row r="226" spans="1:34" x14ac:dyDescent="0.25">
      <c r="A226" s="68"/>
      <c r="B226" s="68"/>
      <c r="C226" s="65"/>
      <c r="D226" s="65"/>
      <c r="E226" s="66"/>
      <c r="F226" s="65"/>
      <c r="G226" s="67"/>
      <c r="AA226" s="2" t="str">
        <f t="shared" si="36"/>
        <v/>
      </c>
      <c r="AC226" s="9" t="str">
        <f t="shared" si="37"/>
        <v/>
      </c>
      <c r="AD226" s="9" t="str">
        <f t="shared" si="35"/>
        <v/>
      </c>
      <c r="AF226" s="2" t="str">
        <f t="shared" si="34"/>
        <v/>
      </c>
      <c r="AG226" s="9" t="str">
        <f t="shared" si="38"/>
        <v/>
      </c>
      <c r="AH226" s="9" t="str">
        <f t="shared" si="39"/>
        <v/>
      </c>
    </row>
    <row r="227" spans="1:34" x14ac:dyDescent="0.25">
      <c r="A227" s="68"/>
      <c r="B227" s="68"/>
      <c r="C227" s="65"/>
      <c r="D227" s="65"/>
      <c r="E227" s="66"/>
      <c r="F227" s="65"/>
      <c r="G227" s="67"/>
      <c r="AA227" s="2" t="str">
        <f t="shared" si="36"/>
        <v/>
      </c>
      <c r="AC227" s="9" t="str">
        <f t="shared" si="37"/>
        <v/>
      </c>
      <c r="AD227" s="9" t="str">
        <f t="shared" si="35"/>
        <v/>
      </c>
      <c r="AF227" s="2" t="str">
        <f t="shared" si="34"/>
        <v/>
      </c>
      <c r="AG227" s="9" t="str">
        <f t="shared" si="38"/>
        <v/>
      </c>
      <c r="AH227" s="9" t="str">
        <f t="shared" si="39"/>
        <v/>
      </c>
    </row>
    <row r="228" spans="1:34" x14ac:dyDescent="0.25">
      <c r="A228" s="68"/>
      <c r="B228" s="68"/>
      <c r="C228" s="65"/>
      <c r="D228" s="65"/>
      <c r="E228" s="66"/>
      <c r="F228" s="65"/>
      <c r="G228" s="67"/>
      <c r="AA228" s="2" t="str">
        <f t="shared" si="36"/>
        <v/>
      </c>
      <c r="AC228" s="9" t="str">
        <f t="shared" si="37"/>
        <v/>
      </c>
      <c r="AD228" s="9" t="str">
        <f t="shared" si="35"/>
        <v/>
      </c>
      <c r="AF228" s="2" t="str">
        <f t="shared" si="34"/>
        <v/>
      </c>
      <c r="AG228" s="9" t="str">
        <f t="shared" si="38"/>
        <v/>
      </c>
      <c r="AH228" s="9" t="str">
        <f t="shared" si="39"/>
        <v/>
      </c>
    </row>
    <row r="229" spans="1:34" x14ac:dyDescent="0.25">
      <c r="A229" s="68"/>
      <c r="B229" s="68"/>
      <c r="C229" s="65"/>
      <c r="D229" s="65"/>
      <c r="E229" s="66"/>
      <c r="F229" s="65"/>
      <c r="G229" s="67"/>
      <c r="AA229" s="2" t="str">
        <f t="shared" si="36"/>
        <v/>
      </c>
      <c r="AC229" s="9" t="str">
        <f t="shared" si="37"/>
        <v/>
      </c>
      <c r="AD229" s="9" t="str">
        <f t="shared" si="35"/>
        <v/>
      </c>
      <c r="AF229" s="2" t="str">
        <f t="shared" si="34"/>
        <v/>
      </c>
      <c r="AG229" s="9" t="str">
        <f t="shared" si="38"/>
        <v/>
      </c>
      <c r="AH229" s="9" t="str">
        <f t="shared" si="39"/>
        <v/>
      </c>
    </row>
    <row r="230" spans="1:34" x14ac:dyDescent="0.25">
      <c r="A230" s="68"/>
      <c r="B230" s="68"/>
      <c r="C230" s="65"/>
      <c r="D230" s="65"/>
      <c r="E230" s="66"/>
      <c r="F230" s="65"/>
      <c r="G230" s="67"/>
      <c r="AA230" s="2" t="str">
        <f t="shared" si="36"/>
        <v/>
      </c>
      <c r="AC230" s="9" t="str">
        <f t="shared" si="37"/>
        <v/>
      </c>
      <c r="AD230" s="9" t="str">
        <f t="shared" si="35"/>
        <v/>
      </c>
      <c r="AG230" s="9" t="str">
        <f t="shared" si="38"/>
        <v/>
      </c>
      <c r="AH230" s="9" t="str">
        <f t="shared" si="39"/>
        <v/>
      </c>
    </row>
    <row r="231" spans="1:34" x14ac:dyDescent="0.25">
      <c r="A231" s="68"/>
      <c r="B231" s="68"/>
      <c r="C231" s="65"/>
      <c r="D231" s="65"/>
      <c r="E231" s="66"/>
      <c r="F231" s="65"/>
      <c r="G231" s="67"/>
      <c r="AA231" s="2" t="str">
        <f t="shared" si="36"/>
        <v/>
      </c>
      <c r="AC231" s="9" t="str">
        <f t="shared" si="37"/>
        <v/>
      </c>
      <c r="AD231" s="9" t="str">
        <f t="shared" si="35"/>
        <v/>
      </c>
      <c r="AG231" s="9" t="str">
        <f t="shared" si="38"/>
        <v/>
      </c>
      <c r="AH231" s="9" t="str">
        <f t="shared" si="39"/>
        <v/>
      </c>
    </row>
    <row r="232" spans="1:34" x14ac:dyDescent="0.25">
      <c r="A232" s="68"/>
      <c r="B232" s="68"/>
      <c r="C232" s="65"/>
      <c r="D232" s="65"/>
      <c r="E232" s="66"/>
      <c r="F232" s="65"/>
      <c r="G232" s="67"/>
      <c r="AA232" s="2" t="str">
        <f t="shared" si="36"/>
        <v/>
      </c>
      <c r="AC232" s="9" t="str">
        <f t="shared" si="37"/>
        <v/>
      </c>
      <c r="AD232" s="9" t="str">
        <f t="shared" si="35"/>
        <v/>
      </c>
      <c r="AG232" s="9" t="str">
        <f t="shared" si="38"/>
        <v/>
      </c>
      <c r="AH232" s="9" t="str">
        <f t="shared" si="39"/>
        <v/>
      </c>
    </row>
    <row r="233" spans="1:34" x14ac:dyDescent="0.25">
      <c r="A233" s="68"/>
      <c r="B233" s="68"/>
      <c r="C233" s="65"/>
      <c r="D233" s="65"/>
      <c r="E233" s="66"/>
      <c r="F233" s="65"/>
      <c r="G233" s="67"/>
      <c r="AA233" s="2" t="str">
        <f t="shared" si="36"/>
        <v/>
      </c>
      <c r="AC233" s="9" t="str">
        <f t="shared" si="37"/>
        <v/>
      </c>
      <c r="AD233" s="9" t="str">
        <f t="shared" si="35"/>
        <v/>
      </c>
      <c r="AG233" s="9" t="str">
        <f t="shared" si="38"/>
        <v/>
      </c>
      <c r="AH233" s="9" t="str">
        <f t="shared" si="39"/>
        <v/>
      </c>
    </row>
    <row r="234" spans="1:34" x14ac:dyDescent="0.25">
      <c r="A234" s="68"/>
      <c r="B234" s="68"/>
      <c r="C234" s="65"/>
      <c r="D234" s="65"/>
      <c r="E234" s="66"/>
      <c r="F234" s="65"/>
      <c r="G234" s="67"/>
      <c r="AA234" s="2" t="str">
        <f t="shared" si="36"/>
        <v/>
      </c>
      <c r="AC234" s="9" t="str">
        <f t="shared" si="37"/>
        <v/>
      </c>
      <c r="AD234" s="9" t="str">
        <f t="shared" si="35"/>
        <v/>
      </c>
      <c r="AG234" s="9" t="str">
        <f t="shared" si="38"/>
        <v/>
      </c>
      <c r="AH234" s="9" t="str">
        <f t="shared" si="39"/>
        <v/>
      </c>
    </row>
    <row r="235" spans="1:34" x14ac:dyDescent="0.25">
      <c r="A235" s="68"/>
      <c r="B235" s="68"/>
      <c r="C235" s="65"/>
      <c r="D235" s="65"/>
      <c r="E235" s="66"/>
      <c r="F235" s="65"/>
      <c r="G235" s="67"/>
      <c r="AA235" s="2" t="str">
        <f t="shared" si="36"/>
        <v/>
      </c>
      <c r="AC235" s="9" t="str">
        <f t="shared" ref="AC235:AC244" si="40">IF(AB235="","",E229)</f>
        <v/>
      </c>
      <c r="AD235" s="9" t="str">
        <f t="shared" si="35"/>
        <v/>
      </c>
      <c r="AG235" s="9" t="str">
        <f t="shared" si="38"/>
        <v/>
      </c>
      <c r="AH235" s="9" t="str">
        <f t="shared" si="39"/>
        <v/>
      </c>
    </row>
    <row r="236" spans="1:34" x14ac:dyDescent="0.25">
      <c r="A236" s="68"/>
      <c r="B236" s="68"/>
      <c r="C236" s="65"/>
      <c r="D236" s="65"/>
      <c r="E236" s="66"/>
      <c r="F236" s="65"/>
      <c r="G236" s="67"/>
      <c r="AA236" s="2" t="str">
        <f t="shared" si="36"/>
        <v/>
      </c>
      <c r="AC236" s="9" t="str">
        <f t="shared" si="40"/>
        <v/>
      </c>
      <c r="AD236" s="9" t="str">
        <f t="shared" si="35"/>
        <v/>
      </c>
      <c r="AG236" s="9" t="str">
        <f t="shared" si="38"/>
        <v/>
      </c>
      <c r="AH236" s="9" t="str">
        <f t="shared" si="39"/>
        <v/>
      </c>
    </row>
    <row r="237" spans="1:34" x14ac:dyDescent="0.25">
      <c r="A237" s="68"/>
      <c r="B237" s="68"/>
      <c r="C237" s="65"/>
      <c r="D237" s="65"/>
      <c r="E237" s="66"/>
      <c r="F237" s="65"/>
      <c r="G237" s="67"/>
      <c r="AA237" s="2" t="str">
        <f t="shared" si="36"/>
        <v/>
      </c>
      <c r="AC237" s="9" t="str">
        <f t="shared" si="40"/>
        <v/>
      </c>
      <c r="AD237" s="9" t="str">
        <f t="shared" si="35"/>
        <v/>
      </c>
      <c r="AG237" s="9" t="str">
        <f t="shared" si="38"/>
        <v/>
      </c>
      <c r="AH237" s="9" t="str">
        <f t="shared" si="39"/>
        <v/>
      </c>
    </row>
    <row r="238" spans="1:34" x14ac:dyDescent="0.25">
      <c r="A238" s="68"/>
      <c r="B238" s="68"/>
      <c r="C238" s="65"/>
      <c r="D238" s="65"/>
      <c r="E238" s="66"/>
      <c r="F238" s="65"/>
      <c r="G238" s="67"/>
      <c r="AA238" s="2" t="str">
        <f t="shared" si="36"/>
        <v/>
      </c>
      <c r="AC238" s="9" t="str">
        <f t="shared" si="40"/>
        <v/>
      </c>
      <c r="AD238" s="9" t="str">
        <f t="shared" si="35"/>
        <v/>
      </c>
      <c r="AG238" s="9" t="str">
        <f t="shared" si="38"/>
        <v/>
      </c>
      <c r="AH238" s="9" t="str">
        <f t="shared" si="39"/>
        <v/>
      </c>
    </row>
    <row r="239" spans="1:34" x14ac:dyDescent="0.25">
      <c r="A239" s="68"/>
      <c r="B239" s="68"/>
      <c r="C239" s="65"/>
      <c r="D239" s="65"/>
      <c r="E239" s="66"/>
      <c r="F239" s="65"/>
      <c r="G239" s="67"/>
      <c r="AA239" s="2" t="str">
        <f t="shared" si="36"/>
        <v/>
      </c>
      <c r="AC239" s="9" t="str">
        <f t="shared" si="40"/>
        <v/>
      </c>
      <c r="AD239" s="9" t="str">
        <f t="shared" si="35"/>
        <v/>
      </c>
      <c r="AG239" s="9" t="str">
        <f t="shared" si="38"/>
        <v/>
      </c>
      <c r="AH239" s="9" t="str">
        <f t="shared" si="39"/>
        <v/>
      </c>
    </row>
    <row r="240" spans="1:34" x14ac:dyDescent="0.25">
      <c r="A240" s="68"/>
      <c r="B240" s="68"/>
      <c r="C240" s="65"/>
      <c r="D240" s="65"/>
      <c r="E240" s="66"/>
      <c r="F240" s="65"/>
      <c r="G240" s="67"/>
      <c r="AA240" s="2" t="str">
        <f t="shared" si="36"/>
        <v/>
      </c>
      <c r="AC240" s="9" t="str">
        <f t="shared" si="40"/>
        <v/>
      </c>
      <c r="AD240" s="9" t="str">
        <f t="shared" si="35"/>
        <v/>
      </c>
      <c r="AG240" s="9" t="str">
        <f t="shared" si="38"/>
        <v/>
      </c>
      <c r="AH240" s="9" t="str">
        <f t="shared" si="39"/>
        <v/>
      </c>
    </row>
    <row r="241" spans="1:34" x14ac:dyDescent="0.25">
      <c r="A241" s="68"/>
      <c r="B241" s="68"/>
      <c r="C241" s="65"/>
      <c r="D241" s="65"/>
      <c r="E241" s="66"/>
      <c r="F241" s="65"/>
      <c r="G241" s="67"/>
      <c r="AA241" s="2" t="str">
        <f t="shared" si="36"/>
        <v/>
      </c>
      <c r="AC241" s="9" t="str">
        <f t="shared" si="40"/>
        <v/>
      </c>
      <c r="AD241" s="9" t="str">
        <f t="shared" si="35"/>
        <v/>
      </c>
      <c r="AG241" s="9" t="str">
        <f t="shared" si="38"/>
        <v/>
      </c>
      <c r="AH241" s="9" t="str">
        <f t="shared" si="39"/>
        <v/>
      </c>
    </row>
    <row r="242" spans="1:34" x14ac:dyDescent="0.25">
      <c r="A242" s="68"/>
      <c r="B242" s="68"/>
      <c r="C242" s="65"/>
      <c r="D242" s="65"/>
      <c r="E242" s="66"/>
      <c r="F242" s="65"/>
      <c r="G242" s="67"/>
      <c r="AA242" s="2" t="str">
        <f t="shared" si="36"/>
        <v/>
      </c>
      <c r="AC242" s="9" t="str">
        <f t="shared" si="40"/>
        <v/>
      </c>
      <c r="AD242" s="9" t="str">
        <f t="shared" si="35"/>
        <v/>
      </c>
      <c r="AG242" s="9" t="str">
        <f t="shared" si="38"/>
        <v/>
      </c>
      <c r="AH242" s="9" t="str">
        <f t="shared" si="39"/>
        <v/>
      </c>
    </row>
    <row r="243" spans="1:34" x14ac:dyDescent="0.25">
      <c r="A243" s="68"/>
      <c r="B243" s="68"/>
      <c r="C243" s="65"/>
      <c r="D243" s="65"/>
      <c r="E243" s="66"/>
      <c r="F243" s="65"/>
      <c r="G243" s="67"/>
      <c r="AA243" s="2" t="str">
        <f t="shared" si="36"/>
        <v/>
      </c>
      <c r="AC243" s="9" t="str">
        <f t="shared" si="40"/>
        <v/>
      </c>
      <c r="AD243" s="9" t="str">
        <f t="shared" si="35"/>
        <v/>
      </c>
      <c r="AG243" s="9" t="str">
        <f t="shared" si="38"/>
        <v/>
      </c>
      <c r="AH243" s="9" t="str">
        <f t="shared" si="39"/>
        <v/>
      </c>
    </row>
    <row r="244" spans="1:34" x14ac:dyDescent="0.25">
      <c r="A244" s="68"/>
      <c r="B244" s="68"/>
      <c r="C244" s="65"/>
      <c r="D244" s="65"/>
      <c r="E244" s="66"/>
      <c r="F244" s="65"/>
      <c r="G244" s="67"/>
      <c r="AA244" s="2" t="str">
        <f t="shared" si="36"/>
        <v/>
      </c>
      <c r="AC244" s="9" t="str">
        <f t="shared" si="40"/>
        <v/>
      </c>
      <c r="AD244" s="9" t="str">
        <f t="shared" si="35"/>
        <v/>
      </c>
      <c r="AG244" s="9" t="str">
        <f t="shared" si="38"/>
        <v/>
      </c>
      <c r="AH244" s="9" t="str">
        <f t="shared" si="39"/>
        <v/>
      </c>
    </row>
    <row r="245" spans="1:34" x14ac:dyDescent="0.25">
      <c r="A245" s="68"/>
      <c r="B245" s="68"/>
      <c r="C245" s="65"/>
      <c r="D245" s="65"/>
      <c r="E245" s="66"/>
      <c r="F245" s="65"/>
      <c r="G245" s="67"/>
      <c r="AA245" s="2" t="str">
        <f t="shared" si="36"/>
        <v/>
      </c>
      <c r="AD245" s="9" t="str">
        <f t="shared" si="35"/>
        <v/>
      </c>
      <c r="AG245" s="9" t="str">
        <f t="shared" si="38"/>
        <v/>
      </c>
      <c r="AH245" s="9" t="str">
        <f t="shared" si="39"/>
        <v/>
      </c>
    </row>
    <row r="246" spans="1:34" x14ac:dyDescent="0.25">
      <c r="A246" s="68"/>
      <c r="B246" s="68"/>
      <c r="C246" s="65"/>
      <c r="D246" s="65"/>
      <c r="E246" s="66"/>
      <c r="F246" s="65"/>
      <c r="G246" s="67"/>
      <c r="AD246" s="9" t="str">
        <f t="shared" si="35"/>
        <v/>
      </c>
      <c r="AG246" s="9" t="str">
        <f t="shared" si="38"/>
        <v/>
      </c>
      <c r="AH246" s="9" t="str">
        <f t="shared" si="39"/>
        <v/>
      </c>
    </row>
    <row r="247" spans="1:34" x14ac:dyDescent="0.25">
      <c r="A247" s="68"/>
      <c r="B247" s="68"/>
      <c r="C247" s="65"/>
      <c r="D247" s="65"/>
      <c r="E247" s="66"/>
      <c r="F247" s="65"/>
      <c r="G247" s="67"/>
      <c r="AD247" s="9" t="str">
        <f t="shared" si="35"/>
        <v/>
      </c>
      <c r="AG247" s="9" t="str">
        <f t="shared" si="38"/>
        <v/>
      </c>
      <c r="AH247" s="9" t="str">
        <f t="shared" si="39"/>
        <v/>
      </c>
    </row>
    <row r="248" spans="1:34" x14ac:dyDescent="0.25">
      <c r="A248" s="68"/>
      <c r="B248" s="68"/>
      <c r="C248" s="65"/>
      <c r="D248" s="65"/>
      <c r="E248" s="66"/>
      <c r="F248" s="65"/>
      <c r="G248" s="67"/>
      <c r="AD248" s="9" t="str">
        <f t="shared" si="35"/>
        <v/>
      </c>
      <c r="AG248" s="9" t="str">
        <f t="shared" si="38"/>
        <v/>
      </c>
      <c r="AH248" s="9" t="str">
        <f t="shared" si="39"/>
        <v/>
      </c>
    </row>
    <row r="249" spans="1:34" x14ac:dyDescent="0.25">
      <c r="A249" s="68"/>
      <c r="B249" s="68"/>
      <c r="C249" s="65"/>
      <c r="D249" s="65"/>
      <c r="E249" s="66"/>
      <c r="F249" s="65"/>
      <c r="G249" s="67"/>
      <c r="AD249" s="9" t="str">
        <f t="shared" si="35"/>
        <v/>
      </c>
      <c r="AG249" s="9" t="str">
        <f t="shared" si="38"/>
        <v/>
      </c>
      <c r="AH249" s="9" t="str">
        <f t="shared" si="39"/>
        <v/>
      </c>
    </row>
    <row r="250" spans="1:34" x14ac:dyDescent="0.25">
      <c r="A250" s="68"/>
      <c r="B250" s="68"/>
      <c r="C250" s="65"/>
      <c r="D250" s="65"/>
      <c r="E250" s="66"/>
      <c r="F250" s="65"/>
      <c r="G250" s="67"/>
      <c r="AD250" s="9" t="str">
        <f t="shared" si="35"/>
        <v/>
      </c>
      <c r="AG250" s="9" t="str">
        <f t="shared" si="38"/>
        <v/>
      </c>
      <c r="AH250" s="9" t="str">
        <f t="shared" si="39"/>
        <v/>
      </c>
    </row>
    <row r="251" spans="1:34" x14ac:dyDescent="0.25">
      <c r="A251" s="68"/>
      <c r="B251" s="68"/>
      <c r="C251" s="65"/>
      <c r="D251" s="65"/>
      <c r="E251" s="66"/>
      <c r="F251" s="65"/>
      <c r="G251" s="67"/>
      <c r="AD251" s="9" t="str">
        <f t="shared" si="35"/>
        <v/>
      </c>
      <c r="AG251" s="9" t="str">
        <f t="shared" si="38"/>
        <v/>
      </c>
      <c r="AH251" s="9" t="str">
        <f t="shared" si="39"/>
        <v/>
      </c>
    </row>
    <row r="252" spans="1:34" x14ac:dyDescent="0.25">
      <c r="A252" s="68"/>
      <c r="B252" s="68"/>
      <c r="C252" s="65"/>
      <c r="D252" s="65"/>
      <c r="E252" s="66"/>
      <c r="F252" s="65"/>
      <c r="G252" s="67"/>
      <c r="AD252" s="9" t="str">
        <f t="shared" si="35"/>
        <v/>
      </c>
      <c r="AG252" s="9" t="str">
        <f t="shared" si="38"/>
        <v/>
      </c>
      <c r="AH252" s="9" t="str">
        <f t="shared" si="39"/>
        <v/>
      </c>
    </row>
    <row r="253" spans="1:34" x14ac:dyDescent="0.25">
      <c r="A253" s="68"/>
      <c r="B253" s="68"/>
      <c r="C253" s="65"/>
      <c r="D253" s="65"/>
      <c r="E253" s="66"/>
      <c r="F253" s="65"/>
      <c r="G253" s="67"/>
      <c r="AD253" s="9" t="str">
        <f t="shared" si="35"/>
        <v/>
      </c>
      <c r="AG253" s="9" t="str">
        <f t="shared" si="38"/>
        <v/>
      </c>
      <c r="AH253" s="9" t="str">
        <f t="shared" si="39"/>
        <v/>
      </c>
    </row>
    <row r="254" spans="1:34" x14ac:dyDescent="0.25">
      <c r="A254" s="68"/>
      <c r="B254" s="68"/>
      <c r="C254" s="65"/>
      <c r="D254" s="65"/>
      <c r="E254" s="66"/>
      <c r="F254" s="65"/>
      <c r="G254" s="67"/>
      <c r="AD254" s="9" t="str">
        <f t="shared" si="35"/>
        <v/>
      </c>
      <c r="AG254" s="9" t="str">
        <f t="shared" si="38"/>
        <v/>
      </c>
      <c r="AH254" s="9" t="str">
        <f t="shared" si="39"/>
        <v/>
      </c>
    </row>
    <row r="255" spans="1:34" x14ac:dyDescent="0.25">
      <c r="A255" s="68"/>
      <c r="B255" s="68"/>
      <c r="C255" s="65"/>
      <c r="D255" s="65"/>
      <c r="E255" s="66"/>
      <c r="F255" s="65"/>
      <c r="G255" s="67"/>
      <c r="AD255" s="9" t="str">
        <f t="shared" si="35"/>
        <v/>
      </c>
      <c r="AG255" s="9" t="str">
        <f t="shared" si="38"/>
        <v/>
      </c>
      <c r="AH255" s="9" t="str">
        <f t="shared" si="39"/>
        <v/>
      </c>
    </row>
    <row r="256" spans="1:34" x14ac:dyDescent="0.25">
      <c r="A256" s="68"/>
      <c r="B256" s="68"/>
      <c r="C256" s="65"/>
      <c r="D256" s="65"/>
      <c r="E256" s="66"/>
      <c r="F256" s="65"/>
      <c r="G256" s="67"/>
      <c r="AD256" s="9" t="str">
        <f t="shared" si="35"/>
        <v/>
      </c>
      <c r="AG256" s="9" t="str">
        <f t="shared" si="38"/>
        <v/>
      </c>
      <c r="AH256" s="9" t="str">
        <f t="shared" si="39"/>
        <v/>
      </c>
    </row>
    <row r="257" spans="1:34" x14ac:dyDescent="0.25">
      <c r="A257" s="68"/>
      <c r="B257" s="68"/>
      <c r="C257" s="65"/>
      <c r="D257" s="65"/>
      <c r="E257" s="66"/>
      <c r="F257" s="65"/>
      <c r="G257" s="67"/>
      <c r="AD257" s="9" t="str">
        <f t="shared" si="35"/>
        <v/>
      </c>
      <c r="AG257" s="9" t="str">
        <f t="shared" si="38"/>
        <v/>
      </c>
      <c r="AH257" s="9" t="str">
        <f t="shared" si="39"/>
        <v/>
      </c>
    </row>
    <row r="258" spans="1:34" x14ac:dyDescent="0.25">
      <c r="A258" s="68"/>
      <c r="B258" s="68"/>
      <c r="C258" s="65"/>
      <c r="D258" s="65"/>
      <c r="E258" s="66"/>
      <c r="F258" s="65"/>
      <c r="G258" s="67"/>
      <c r="AD258" s="9" t="str">
        <f t="shared" ref="AD258:AD289" si="41">IF(AC258="","",C253)</f>
        <v/>
      </c>
      <c r="AG258" s="9" t="str">
        <f t="shared" si="38"/>
        <v/>
      </c>
      <c r="AH258" s="9" t="str">
        <f t="shared" si="39"/>
        <v/>
      </c>
    </row>
    <row r="259" spans="1:34" x14ac:dyDescent="0.25">
      <c r="A259" s="68"/>
      <c r="B259" s="68"/>
      <c r="C259" s="65"/>
      <c r="D259" s="65"/>
      <c r="E259" s="66"/>
      <c r="F259" s="65"/>
      <c r="G259" s="67"/>
      <c r="AD259" s="9" t="str">
        <f t="shared" si="41"/>
        <v/>
      </c>
      <c r="AG259" s="9" t="str">
        <f t="shared" si="38"/>
        <v/>
      </c>
      <c r="AH259" s="9" t="str">
        <f t="shared" si="39"/>
        <v/>
      </c>
    </row>
    <row r="260" spans="1:34" x14ac:dyDescent="0.25">
      <c r="A260" s="68"/>
      <c r="B260" s="68"/>
      <c r="C260" s="65"/>
      <c r="D260" s="65"/>
      <c r="E260" s="66"/>
      <c r="F260" s="65"/>
      <c r="G260" s="67"/>
      <c r="AD260" s="9" t="str">
        <f t="shared" si="41"/>
        <v/>
      </c>
      <c r="AG260" s="9" t="str">
        <f t="shared" si="38"/>
        <v/>
      </c>
      <c r="AH260" s="9" t="str">
        <f t="shared" si="39"/>
        <v/>
      </c>
    </row>
    <row r="261" spans="1:34" x14ac:dyDescent="0.25">
      <c r="A261" s="68"/>
      <c r="B261" s="68"/>
      <c r="C261" s="65"/>
      <c r="D261" s="65"/>
      <c r="E261" s="66"/>
      <c r="F261" s="65"/>
      <c r="G261" s="67"/>
      <c r="AD261" s="9" t="str">
        <f t="shared" si="41"/>
        <v/>
      </c>
      <c r="AG261" s="9" t="str">
        <f t="shared" si="38"/>
        <v/>
      </c>
      <c r="AH261" s="9" t="str">
        <f t="shared" si="39"/>
        <v/>
      </c>
    </row>
    <row r="262" spans="1:34" x14ac:dyDescent="0.25">
      <c r="A262" s="68"/>
      <c r="B262" s="68"/>
      <c r="C262" s="65"/>
      <c r="D262" s="65"/>
      <c r="E262" s="66"/>
      <c r="F262" s="65"/>
      <c r="G262" s="67"/>
      <c r="AD262" s="9" t="str">
        <f t="shared" si="41"/>
        <v/>
      </c>
      <c r="AG262" s="9" t="str">
        <f t="shared" si="38"/>
        <v/>
      </c>
      <c r="AH262" s="9" t="str">
        <f t="shared" si="39"/>
        <v/>
      </c>
    </row>
    <row r="263" spans="1:34" x14ac:dyDescent="0.25">
      <c r="A263" s="68"/>
      <c r="B263" s="68"/>
      <c r="C263" s="65"/>
      <c r="D263" s="65"/>
      <c r="E263" s="66"/>
      <c r="F263" s="65"/>
      <c r="G263" s="67"/>
      <c r="AD263" s="9" t="str">
        <f t="shared" si="41"/>
        <v/>
      </c>
      <c r="AG263" s="9" t="str">
        <f t="shared" si="38"/>
        <v/>
      </c>
      <c r="AH263" s="9" t="str">
        <f t="shared" si="39"/>
        <v/>
      </c>
    </row>
    <row r="264" spans="1:34" x14ac:dyDescent="0.25">
      <c r="A264" s="68"/>
      <c r="B264" s="68"/>
      <c r="C264" s="65"/>
      <c r="D264" s="65"/>
      <c r="E264" s="66"/>
      <c r="F264" s="65"/>
      <c r="G264" s="67"/>
      <c r="AD264" s="9" t="str">
        <f t="shared" si="41"/>
        <v/>
      </c>
      <c r="AG264" s="9" t="str">
        <f t="shared" si="38"/>
        <v/>
      </c>
      <c r="AH264" s="9" t="str">
        <f t="shared" si="39"/>
        <v/>
      </c>
    </row>
    <row r="265" spans="1:34" x14ac:dyDescent="0.25">
      <c r="A265" s="68"/>
      <c r="B265" s="68"/>
      <c r="C265" s="65"/>
      <c r="D265" s="65"/>
      <c r="E265" s="66"/>
      <c r="F265" s="65"/>
      <c r="G265" s="67"/>
      <c r="AD265" s="9" t="str">
        <f t="shared" si="41"/>
        <v/>
      </c>
      <c r="AG265" s="9" t="str">
        <f t="shared" si="38"/>
        <v/>
      </c>
      <c r="AH265" s="9" t="str">
        <f t="shared" si="39"/>
        <v/>
      </c>
    </row>
    <row r="266" spans="1:34" x14ac:dyDescent="0.25">
      <c r="A266" s="68"/>
      <c r="B266" s="68"/>
      <c r="C266" s="65"/>
      <c r="D266" s="65"/>
      <c r="E266" s="66"/>
      <c r="F266" s="65"/>
      <c r="G266" s="67"/>
      <c r="AD266" s="9" t="str">
        <f t="shared" si="41"/>
        <v/>
      </c>
      <c r="AG266" s="9" t="str">
        <f t="shared" si="38"/>
        <v/>
      </c>
      <c r="AH266" s="9" t="str">
        <f t="shared" si="39"/>
        <v/>
      </c>
    </row>
    <row r="267" spans="1:34" x14ac:dyDescent="0.25">
      <c r="A267" s="68"/>
      <c r="B267" s="68"/>
      <c r="C267" s="65"/>
      <c r="D267" s="65"/>
      <c r="E267" s="66"/>
      <c r="F267" s="65"/>
      <c r="G267" s="67"/>
      <c r="AD267" s="9" t="str">
        <f t="shared" si="41"/>
        <v/>
      </c>
      <c r="AG267" s="9" t="str">
        <f t="shared" si="38"/>
        <v/>
      </c>
      <c r="AH267" s="9" t="str">
        <f t="shared" si="39"/>
        <v/>
      </c>
    </row>
    <row r="268" spans="1:34" x14ac:dyDescent="0.25">
      <c r="A268" s="68"/>
      <c r="B268" s="68"/>
      <c r="C268" s="65"/>
      <c r="D268" s="65"/>
      <c r="E268" s="66"/>
      <c r="F268" s="65"/>
      <c r="G268" s="67"/>
      <c r="AD268" s="9" t="str">
        <f t="shared" si="41"/>
        <v/>
      </c>
      <c r="AG268" s="9" t="str">
        <f t="shared" si="38"/>
        <v/>
      </c>
      <c r="AH268" s="9" t="str">
        <f t="shared" si="39"/>
        <v/>
      </c>
    </row>
    <row r="269" spans="1:34" x14ac:dyDescent="0.25">
      <c r="A269" s="68"/>
      <c r="B269" s="68"/>
      <c r="C269" s="65"/>
      <c r="D269" s="65"/>
      <c r="E269" s="66"/>
      <c r="F269" s="65"/>
      <c r="G269" s="67"/>
      <c r="AD269" s="9" t="str">
        <f t="shared" si="41"/>
        <v/>
      </c>
      <c r="AG269" s="9" t="str">
        <f t="shared" si="38"/>
        <v/>
      </c>
      <c r="AH269" s="9" t="str">
        <f t="shared" si="39"/>
        <v/>
      </c>
    </row>
    <row r="270" spans="1:34" x14ac:dyDescent="0.25">
      <c r="A270" s="68"/>
      <c r="B270" s="68"/>
      <c r="C270" s="65"/>
      <c r="D270" s="65"/>
      <c r="E270" s="66"/>
      <c r="F270" s="65"/>
      <c r="G270" s="67"/>
      <c r="AD270" s="9" t="str">
        <f t="shared" si="41"/>
        <v/>
      </c>
      <c r="AG270" s="9" t="str">
        <f t="shared" si="38"/>
        <v/>
      </c>
      <c r="AH270" s="9" t="str">
        <f t="shared" si="39"/>
        <v/>
      </c>
    </row>
    <row r="271" spans="1:34" x14ac:dyDescent="0.25">
      <c r="A271" s="68"/>
      <c r="B271" s="68"/>
      <c r="C271" s="65"/>
      <c r="D271" s="65"/>
      <c r="E271" s="66"/>
      <c r="F271" s="65"/>
      <c r="G271" s="67"/>
      <c r="AD271" s="9" t="str">
        <f t="shared" si="41"/>
        <v/>
      </c>
      <c r="AG271" s="9" t="str">
        <f t="shared" si="38"/>
        <v/>
      </c>
      <c r="AH271" s="9" t="str">
        <f t="shared" si="39"/>
        <v/>
      </c>
    </row>
    <row r="272" spans="1:34" x14ac:dyDescent="0.25">
      <c r="A272" s="68"/>
      <c r="B272" s="68"/>
      <c r="C272" s="65"/>
      <c r="D272" s="65"/>
      <c r="E272" s="66"/>
      <c r="F272" s="65"/>
      <c r="G272" s="67"/>
      <c r="AD272" s="9" t="str">
        <f t="shared" si="41"/>
        <v/>
      </c>
      <c r="AG272" s="9" t="str">
        <f t="shared" si="38"/>
        <v/>
      </c>
      <c r="AH272" s="9" t="str">
        <f t="shared" si="39"/>
        <v/>
      </c>
    </row>
    <row r="273" spans="1:34" x14ac:dyDescent="0.25">
      <c r="A273" s="68"/>
      <c r="B273" s="68"/>
      <c r="C273" s="65"/>
      <c r="D273" s="65"/>
      <c r="E273" s="66"/>
      <c r="F273" s="65"/>
      <c r="G273" s="67"/>
      <c r="AD273" s="9" t="str">
        <f t="shared" si="41"/>
        <v/>
      </c>
      <c r="AG273" s="9" t="str">
        <f t="shared" si="38"/>
        <v/>
      </c>
      <c r="AH273" s="9" t="str">
        <f t="shared" si="39"/>
        <v/>
      </c>
    </row>
    <row r="274" spans="1:34" x14ac:dyDescent="0.25">
      <c r="A274" s="68"/>
      <c r="B274" s="68"/>
      <c r="C274" s="65"/>
      <c r="D274" s="65"/>
      <c r="E274" s="66"/>
      <c r="F274" s="65"/>
      <c r="G274" s="67"/>
      <c r="AD274" s="9" t="str">
        <f t="shared" si="41"/>
        <v/>
      </c>
      <c r="AG274" s="9" t="str">
        <f t="shared" si="38"/>
        <v/>
      </c>
      <c r="AH274" s="9" t="str">
        <f t="shared" si="39"/>
        <v/>
      </c>
    </row>
    <row r="275" spans="1:34" x14ac:dyDescent="0.25">
      <c r="A275" s="68"/>
      <c r="B275" s="68"/>
      <c r="C275" s="65"/>
      <c r="D275" s="65"/>
      <c r="E275" s="66"/>
      <c r="F275" s="65"/>
      <c r="G275" s="67"/>
      <c r="AD275" s="9" t="str">
        <f t="shared" si="41"/>
        <v/>
      </c>
      <c r="AG275" s="9" t="str">
        <f t="shared" si="38"/>
        <v/>
      </c>
      <c r="AH275" s="9" t="str">
        <f t="shared" si="39"/>
        <v/>
      </c>
    </row>
    <row r="276" spans="1:34" x14ac:dyDescent="0.25">
      <c r="A276" s="68"/>
      <c r="B276" s="68"/>
      <c r="C276" s="65"/>
      <c r="D276" s="65"/>
      <c r="E276" s="66"/>
      <c r="F276" s="65"/>
      <c r="G276" s="67"/>
      <c r="AD276" s="9" t="str">
        <f t="shared" si="41"/>
        <v/>
      </c>
      <c r="AG276" s="9" t="str">
        <f t="shared" si="38"/>
        <v/>
      </c>
      <c r="AH276" s="9" t="str">
        <f t="shared" si="39"/>
        <v/>
      </c>
    </row>
    <row r="277" spans="1:34" x14ac:dyDescent="0.25">
      <c r="A277" s="68"/>
      <c r="B277" s="68"/>
      <c r="C277" s="65"/>
      <c r="D277" s="65"/>
      <c r="E277" s="66"/>
      <c r="F277" s="65"/>
      <c r="G277" s="67"/>
      <c r="AD277" s="9" t="str">
        <f t="shared" si="41"/>
        <v/>
      </c>
      <c r="AG277" s="9" t="str">
        <f t="shared" si="38"/>
        <v/>
      </c>
      <c r="AH277" s="9" t="str">
        <f t="shared" si="39"/>
        <v/>
      </c>
    </row>
    <row r="278" spans="1:34" x14ac:dyDescent="0.25">
      <c r="A278" s="68"/>
      <c r="B278" s="68"/>
      <c r="C278" s="65"/>
      <c r="D278" s="65"/>
      <c r="E278" s="66"/>
      <c r="F278" s="65"/>
      <c r="G278" s="67"/>
      <c r="AD278" s="9" t="str">
        <f t="shared" si="41"/>
        <v/>
      </c>
      <c r="AG278" s="9" t="str">
        <f t="shared" si="38"/>
        <v/>
      </c>
      <c r="AH278" s="9" t="str">
        <f t="shared" si="39"/>
        <v/>
      </c>
    </row>
    <row r="279" spans="1:34" x14ac:dyDescent="0.25">
      <c r="A279" s="68"/>
      <c r="B279" s="68"/>
      <c r="C279" s="65"/>
      <c r="D279" s="65"/>
      <c r="E279" s="66"/>
      <c r="F279" s="65"/>
      <c r="G279" s="67"/>
      <c r="AD279" s="9" t="str">
        <f t="shared" si="41"/>
        <v/>
      </c>
      <c r="AG279" s="9" t="str">
        <f t="shared" si="38"/>
        <v/>
      </c>
      <c r="AH279" s="9" t="str">
        <f t="shared" si="39"/>
        <v/>
      </c>
    </row>
    <row r="280" spans="1:34" x14ac:dyDescent="0.25">
      <c r="A280" s="68"/>
      <c r="B280" s="68"/>
      <c r="C280" s="65"/>
      <c r="D280" s="65"/>
      <c r="E280" s="66"/>
      <c r="F280" s="65"/>
      <c r="G280" s="67"/>
      <c r="AD280" s="9" t="str">
        <f t="shared" si="41"/>
        <v/>
      </c>
      <c r="AG280" s="9" t="str">
        <f t="shared" si="38"/>
        <v/>
      </c>
      <c r="AH280" s="9" t="str">
        <f t="shared" si="39"/>
        <v/>
      </c>
    </row>
    <row r="281" spans="1:34" x14ac:dyDescent="0.25">
      <c r="A281" s="68"/>
      <c r="B281" s="68"/>
      <c r="C281" s="65"/>
      <c r="D281" s="65"/>
      <c r="E281" s="66"/>
      <c r="F281" s="65"/>
      <c r="G281" s="67"/>
      <c r="AD281" s="9" t="str">
        <f t="shared" si="41"/>
        <v/>
      </c>
      <c r="AG281" s="9" t="str">
        <f t="shared" si="38"/>
        <v/>
      </c>
      <c r="AH281" s="9" t="str">
        <f t="shared" si="39"/>
        <v/>
      </c>
    </row>
    <row r="282" spans="1:34" x14ac:dyDescent="0.25">
      <c r="A282" s="68"/>
      <c r="B282" s="68"/>
      <c r="C282" s="65"/>
      <c r="D282" s="65"/>
      <c r="E282" s="66"/>
      <c r="F282" s="65"/>
      <c r="G282" s="67"/>
      <c r="AD282" s="9" t="str">
        <f t="shared" si="41"/>
        <v/>
      </c>
      <c r="AG282" s="9" t="str">
        <f t="shared" si="38"/>
        <v/>
      </c>
      <c r="AH282" s="9" t="str">
        <f t="shared" si="39"/>
        <v/>
      </c>
    </row>
    <row r="283" spans="1:34" x14ac:dyDescent="0.25">
      <c r="A283" s="68"/>
      <c r="B283" s="68"/>
      <c r="C283" s="65"/>
      <c r="D283" s="65"/>
      <c r="E283" s="66"/>
      <c r="F283" s="65"/>
      <c r="G283" s="67"/>
      <c r="AD283" s="9" t="str">
        <f t="shared" si="41"/>
        <v/>
      </c>
      <c r="AG283" s="9" t="str">
        <f t="shared" si="38"/>
        <v/>
      </c>
      <c r="AH283" s="9" t="str">
        <f t="shared" si="39"/>
        <v/>
      </c>
    </row>
    <row r="284" spans="1:34" x14ac:dyDescent="0.25">
      <c r="A284" s="68"/>
      <c r="B284" s="68"/>
      <c r="C284" s="65"/>
      <c r="D284" s="65"/>
      <c r="E284" s="66"/>
      <c r="F284" s="65"/>
      <c r="G284" s="67"/>
      <c r="AD284" s="9" t="str">
        <f t="shared" si="41"/>
        <v/>
      </c>
      <c r="AG284" s="9" t="str">
        <f t="shared" si="38"/>
        <v/>
      </c>
      <c r="AH284" s="9" t="str">
        <f t="shared" si="39"/>
        <v/>
      </c>
    </row>
    <row r="285" spans="1:34" x14ac:dyDescent="0.25">
      <c r="A285" s="68"/>
      <c r="B285" s="68"/>
      <c r="C285" s="65"/>
      <c r="D285" s="65"/>
      <c r="E285" s="66"/>
      <c r="F285" s="65"/>
      <c r="G285" s="67"/>
      <c r="AD285" s="9" t="str">
        <f t="shared" si="41"/>
        <v/>
      </c>
      <c r="AG285" s="9" t="str">
        <f t="shared" si="38"/>
        <v/>
      </c>
      <c r="AH285" s="9" t="str">
        <f t="shared" si="39"/>
        <v/>
      </c>
    </row>
    <row r="286" spans="1:34" x14ac:dyDescent="0.25">
      <c r="A286" s="68"/>
      <c r="B286" s="68"/>
      <c r="C286" s="65"/>
      <c r="D286" s="65"/>
      <c r="E286" s="66"/>
      <c r="F286" s="65"/>
      <c r="G286" s="67"/>
      <c r="AD286" s="9" t="str">
        <f t="shared" si="41"/>
        <v/>
      </c>
      <c r="AG286" s="9" t="str">
        <f t="shared" si="38"/>
        <v/>
      </c>
      <c r="AH286" s="9" t="str">
        <f t="shared" si="39"/>
        <v/>
      </c>
    </row>
    <row r="287" spans="1:34" x14ac:dyDescent="0.25">
      <c r="A287" s="68"/>
      <c r="B287" s="68"/>
      <c r="C287" s="65"/>
      <c r="D287" s="65"/>
      <c r="E287" s="66"/>
      <c r="F287" s="65"/>
      <c r="G287" s="67"/>
      <c r="AD287" s="9" t="str">
        <f t="shared" si="41"/>
        <v/>
      </c>
      <c r="AG287" s="9" t="str">
        <f t="shared" ref="AG287:AG350" si="42">IF(AF287="","",IF(AF287&lt;365,AF287*AC$25*AD287,365*AD287*AC$25))</f>
        <v/>
      </c>
      <c r="AH287" s="9" t="str">
        <f t="shared" ref="AH287:AH310" si="43">IF(AF287="","",IF(AF287&lt;365,AF287*AC$26*AD287,365*AD287*AC$26))</f>
        <v/>
      </c>
    </row>
    <row r="288" spans="1:34" x14ac:dyDescent="0.25">
      <c r="A288" s="68"/>
      <c r="B288" s="68"/>
      <c r="C288" s="65"/>
      <c r="D288" s="65"/>
      <c r="E288" s="66"/>
      <c r="F288" s="65"/>
      <c r="G288" s="67"/>
      <c r="AD288" s="9" t="str">
        <f t="shared" si="41"/>
        <v/>
      </c>
      <c r="AG288" s="9" t="str">
        <f t="shared" si="42"/>
        <v/>
      </c>
      <c r="AH288" s="9" t="str">
        <f t="shared" si="43"/>
        <v/>
      </c>
    </row>
    <row r="289" spans="1:34" x14ac:dyDescent="0.25">
      <c r="A289" s="68"/>
      <c r="B289" s="68"/>
      <c r="C289" s="65"/>
      <c r="D289" s="65"/>
      <c r="E289" s="66"/>
      <c r="F289" s="65"/>
      <c r="G289" s="67"/>
      <c r="AD289" s="9" t="str">
        <f t="shared" si="41"/>
        <v/>
      </c>
      <c r="AG289" s="9" t="str">
        <f t="shared" si="42"/>
        <v/>
      </c>
      <c r="AH289" s="9" t="str">
        <f t="shared" si="43"/>
        <v/>
      </c>
    </row>
    <row r="290" spans="1:34" x14ac:dyDescent="0.25">
      <c r="A290" s="68"/>
      <c r="B290" s="68"/>
      <c r="C290" s="65"/>
      <c r="D290" s="65"/>
      <c r="E290" s="66"/>
      <c r="F290" s="65"/>
      <c r="G290" s="67"/>
      <c r="AD290" s="9" t="str">
        <f t="shared" ref="AD290:AD321" si="44">IF(AC290="","",C285)</f>
        <v/>
      </c>
      <c r="AG290" s="9" t="str">
        <f t="shared" si="42"/>
        <v/>
      </c>
      <c r="AH290" s="9" t="str">
        <f t="shared" si="43"/>
        <v/>
      </c>
    </row>
    <row r="291" spans="1:34" x14ac:dyDescent="0.25">
      <c r="A291" s="68"/>
      <c r="B291" s="68"/>
      <c r="C291" s="65"/>
      <c r="D291" s="65"/>
      <c r="E291" s="66"/>
      <c r="F291" s="65"/>
      <c r="G291" s="67"/>
      <c r="AD291" s="9" t="str">
        <f t="shared" si="44"/>
        <v/>
      </c>
      <c r="AG291" s="9" t="str">
        <f t="shared" si="42"/>
        <v/>
      </c>
      <c r="AH291" s="9" t="str">
        <f t="shared" si="43"/>
        <v/>
      </c>
    </row>
    <row r="292" spans="1:34" x14ac:dyDescent="0.25">
      <c r="A292" s="68"/>
      <c r="B292" s="68"/>
      <c r="C292" s="65"/>
      <c r="D292" s="65"/>
      <c r="E292" s="66"/>
      <c r="F292" s="65"/>
      <c r="G292" s="67"/>
      <c r="AD292" s="9" t="str">
        <f t="shared" si="44"/>
        <v/>
      </c>
      <c r="AG292" s="9" t="str">
        <f t="shared" si="42"/>
        <v/>
      </c>
      <c r="AH292" s="9" t="str">
        <f t="shared" si="43"/>
        <v/>
      </c>
    </row>
    <row r="293" spans="1:34" x14ac:dyDescent="0.25">
      <c r="A293" s="68"/>
      <c r="B293" s="68"/>
      <c r="C293" s="65"/>
      <c r="D293" s="65"/>
      <c r="E293" s="66"/>
      <c r="F293" s="65"/>
      <c r="G293" s="67"/>
      <c r="AD293" s="9" t="str">
        <f t="shared" si="44"/>
        <v/>
      </c>
      <c r="AG293" s="9" t="str">
        <f t="shared" si="42"/>
        <v/>
      </c>
      <c r="AH293" s="9" t="str">
        <f t="shared" si="43"/>
        <v/>
      </c>
    </row>
    <row r="294" spans="1:34" x14ac:dyDescent="0.25">
      <c r="A294" s="68"/>
      <c r="B294" s="68"/>
      <c r="C294" s="65"/>
      <c r="D294" s="65"/>
      <c r="E294" s="66"/>
      <c r="F294" s="65"/>
      <c r="G294" s="67"/>
      <c r="AD294" s="9" t="str">
        <f t="shared" si="44"/>
        <v/>
      </c>
      <c r="AG294" s="9" t="str">
        <f t="shared" si="42"/>
        <v/>
      </c>
      <c r="AH294" s="9" t="str">
        <f t="shared" si="43"/>
        <v/>
      </c>
    </row>
    <row r="295" spans="1:34" x14ac:dyDescent="0.25">
      <c r="A295" s="68"/>
      <c r="B295" s="68"/>
      <c r="C295" s="65"/>
      <c r="D295" s="65"/>
      <c r="E295" s="66"/>
      <c r="F295" s="65"/>
      <c r="G295" s="67"/>
      <c r="AD295" s="9" t="str">
        <f t="shared" si="44"/>
        <v/>
      </c>
      <c r="AG295" s="9" t="str">
        <f t="shared" si="42"/>
        <v/>
      </c>
      <c r="AH295" s="9" t="str">
        <f t="shared" si="43"/>
        <v/>
      </c>
    </row>
    <row r="296" spans="1:34" x14ac:dyDescent="0.25">
      <c r="A296" s="68"/>
      <c r="B296" s="68"/>
      <c r="C296" s="65"/>
      <c r="D296" s="65"/>
      <c r="E296" s="66"/>
      <c r="F296" s="65"/>
      <c r="G296" s="67"/>
      <c r="AD296" s="9" t="str">
        <f t="shared" si="44"/>
        <v/>
      </c>
      <c r="AG296" s="9" t="str">
        <f t="shared" si="42"/>
        <v/>
      </c>
      <c r="AH296" s="9" t="str">
        <f t="shared" si="43"/>
        <v/>
      </c>
    </row>
    <row r="297" spans="1:34" x14ac:dyDescent="0.25">
      <c r="A297" s="68"/>
      <c r="B297" s="68"/>
      <c r="C297" s="65"/>
      <c r="D297" s="65"/>
      <c r="E297" s="66"/>
      <c r="F297" s="65"/>
      <c r="G297" s="67"/>
      <c r="AD297" s="9" t="str">
        <f t="shared" si="44"/>
        <v/>
      </c>
      <c r="AG297" s="9" t="str">
        <f t="shared" si="42"/>
        <v/>
      </c>
      <c r="AH297" s="9" t="str">
        <f t="shared" si="43"/>
        <v/>
      </c>
    </row>
    <row r="298" spans="1:34" x14ac:dyDescent="0.25">
      <c r="A298" s="68"/>
      <c r="B298" s="68"/>
      <c r="C298" s="65"/>
      <c r="D298" s="65"/>
      <c r="E298" s="66"/>
      <c r="F298" s="65"/>
      <c r="G298" s="67"/>
      <c r="AD298" s="9" t="str">
        <f t="shared" si="44"/>
        <v/>
      </c>
      <c r="AG298" s="9" t="str">
        <f t="shared" si="42"/>
        <v/>
      </c>
      <c r="AH298" s="9" t="str">
        <f t="shared" si="43"/>
        <v/>
      </c>
    </row>
    <row r="299" spans="1:34" x14ac:dyDescent="0.25">
      <c r="A299" s="68"/>
      <c r="B299" s="68"/>
      <c r="C299" s="65"/>
      <c r="D299" s="65"/>
      <c r="E299" s="66"/>
      <c r="F299" s="65"/>
      <c r="G299" s="67"/>
      <c r="AD299" s="9" t="str">
        <f t="shared" si="44"/>
        <v/>
      </c>
      <c r="AG299" s="9" t="str">
        <f t="shared" si="42"/>
        <v/>
      </c>
      <c r="AH299" s="9" t="str">
        <f t="shared" si="43"/>
        <v/>
      </c>
    </row>
    <row r="300" spans="1:34" x14ac:dyDescent="0.25">
      <c r="A300" s="68"/>
      <c r="B300" s="68"/>
      <c r="C300" s="65"/>
      <c r="D300" s="65"/>
      <c r="E300" s="66"/>
      <c r="F300" s="65"/>
      <c r="G300" s="67"/>
      <c r="AD300" s="9" t="str">
        <f t="shared" si="44"/>
        <v/>
      </c>
      <c r="AG300" s="9" t="str">
        <f t="shared" si="42"/>
        <v/>
      </c>
      <c r="AH300" s="9" t="str">
        <f t="shared" si="43"/>
        <v/>
      </c>
    </row>
    <row r="301" spans="1:34" x14ac:dyDescent="0.25">
      <c r="A301" s="68"/>
      <c r="B301" s="68"/>
      <c r="C301" s="65"/>
      <c r="D301" s="65"/>
      <c r="E301" s="66"/>
      <c r="F301" s="65"/>
      <c r="G301" s="67"/>
      <c r="AD301" s="9" t="str">
        <f t="shared" si="44"/>
        <v/>
      </c>
      <c r="AG301" s="9" t="str">
        <f t="shared" si="42"/>
        <v/>
      </c>
      <c r="AH301" s="9" t="str">
        <f t="shared" si="43"/>
        <v/>
      </c>
    </row>
    <row r="302" spans="1:34" x14ac:dyDescent="0.25">
      <c r="A302" s="68"/>
      <c r="B302" s="68"/>
      <c r="C302" s="65"/>
      <c r="D302" s="65"/>
      <c r="E302" s="66"/>
      <c r="F302" s="65"/>
      <c r="G302" s="67"/>
      <c r="AD302" s="9" t="str">
        <f t="shared" si="44"/>
        <v/>
      </c>
      <c r="AG302" s="9" t="str">
        <f t="shared" si="42"/>
        <v/>
      </c>
      <c r="AH302" s="9" t="str">
        <f t="shared" si="43"/>
        <v/>
      </c>
    </row>
    <row r="303" spans="1:34" x14ac:dyDescent="0.25">
      <c r="A303" s="68"/>
      <c r="B303" s="68"/>
      <c r="C303" s="65"/>
      <c r="D303" s="65"/>
      <c r="E303" s="66"/>
      <c r="F303" s="65"/>
      <c r="G303" s="67"/>
      <c r="AD303" s="9" t="str">
        <f t="shared" si="44"/>
        <v/>
      </c>
      <c r="AG303" s="9" t="str">
        <f t="shared" si="42"/>
        <v/>
      </c>
      <c r="AH303" s="9" t="str">
        <f t="shared" si="43"/>
        <v/>
      </c>
    </row>
    <row r="304" spans="1:34" x14ac:dyDescent="0.25">
      <c r="A304" s="68"/>
      <c r="B304" s="68"/>
      <c r="C304" s="65"/>
      <c r="D304" s="65"/>
      <c r="E304" s="66"/>
      <c r="F304" s="65"/>
      <c r="G304" s="67"/>
      <c r="AD304" s="9" t="str">
        <f t="shared" si="44"/>
        <v/>
      </c>
      <c r="AG304" s="9" t="str">
        <f t="shared" si="42"/>
        <v/>
      </c>
      <c r="AH304" s="9" t="str">
        <f t="shared" si="43"/>
        <v/>
      </c>
    </row>
    <row r="305" spans="1:34" x14ac:dyDescent="0.25">
      <c r="A305" s="68"/>
      <c r="B305" s="68"/>
      <c r="C305" s="65"/>
      <c r="D305" s="65"/>
      <c r="E305" s="66"/>
      <c r="F305" s="65"/>
      <c r="G305" s="67"/>
      <c r="AD305" s="9" t="str">
        <f t="shared" si="44"/>
        <v/>
      </c>
      <c r="AG305" s="9" t="str">
        <f t="shared" si="42"/>
        <v/>
      </c>
      <c r="AH305" s="9" t="str">
        <f t="shared" si="43"/>
        <v/>
      </c>
    </row>
    <row r="306" spans="1:34" x14ac:dyDescent="0.25">
      <c r="A306" s="68"/>
      <c r="B306" s="68"/>
      <c r="C306" s="65"/>
      <c r="D306" s="65"/>
      <c r="E306" s="66"/>
      <c r="F306" s="65"/>
      <c r="G306" s="67"/>
      <c r="AD306" s="9" t="str">
        <f t="shared" si="44"/>
        <v/>
      </c>
      <c r="AG306" s="9" t="str">
        <f t="shared" si="42"/>
        <v/>
      </c>
      <c r="AH306" s="9" t="str">
        <f t="shared" si="43"/>
        <v/>
      </c>
    </row>
    <row r="307" spans="1:34" x14ac:dyDescent="0.25">
      <c r="A307" s="68"/>
      <c r="B307" s="68"/>
      <c r="C307" s="65"/>
      <c r="D307" s="65"/>
      <c r="E307" s="66"/>
      <c r="F307" s="65"/>
      <c r="G307" s="67"/>
      <c r="AD307" s="9" t="str">
        <f t="shared" si="44"/>
        <v/>
      </c>
      <c r="AG307" s="9" t="str">
        <f t="shared" si="42"/>
        <v/>
      </c>
      <c r="AH307" s="9" t="str">
        <f t="shared" si="43"/>
        <v/>
      </c>
    </row>
    <row r="308" spans="1:34" x14ac:dyDescent="0.25">
      <c r="A308" s="68"/>
      <c r="B308" s="68"/>
      <c r="C308" s="65"/>
      <c r="D308" s="65"/>
      <c r="E308" s="66"/>
      <c r="F308" s="65"/>
      <c r="G308" s="67"/>
      <c r="AD308" s="9" t="str">
        <f t="shared" si="44"/>
        <v/>
      </c>
      <c r="AG308" s="9" t="str">
        <f t="shared" si="42"/>
        <v/>
      </c>
      <c r="AH308" s="9" t="str">
        <f t="shared" si="43"/>
        <v/>
      </c>
    </row>
    <row r="309" spans="1:34" x14ac:dyDescent="0.25">
      <c r="A309" s="68"/>
      <c r="B309" s="68"/>
      <c r="C309" s="65"/>
      <c r="D309" s="65"/>
      <c r="E309" s="66"/>
      <c r="F309" s="65"/>
      <c r="G309" s="67"/>
      <c r="AD309" s="9" t="str">
        <f t="shared" si="44"/>
        <v/>
      </c>
      <c r="AG309" s="9" t="str">
        <f t="shared" si="42"/>
        <v/>
      </c>
      <c r="AH309" s="9" t="str">
        <f t="shared" si="43"/>
        <v/>
      </c>
    </row>
    <row r="310" spans="1:34" x14ac:dyDescent="0.25">
      <c r="A310" s="68"/>
      <c r="B310" s="68"/>
      <c r="C310" s="65"/>
      <c r="D310" s="65"/>
      <c r="E310" s="66"/>
      <c r="F310" s="65"/>
      <c r="G310" s="67"/>
      <c r="AD310" s="9" t="str">
        <f t="shared" si="44"/>
        <v/>
      </c>
      <c r="AG310" s="9" t="str">
        <f t="shared" si="42"/>
        <v/>
      </c>
      <c r="AH310" s="9" t="str">
        <f t="shared" si="43"/>
        <v/>
      </c>
    </row>
    <row r="311" spans="1:34" x14ac:dyDescent="0.25">
      <c r="A311" s="68"/>
      <c r="B311" s="68"/>
      <c r="C311" s="65"/>
      <c r="D311" s="65"/>
      <c r="E311" s="66"/>
      <c r="F311" s="65"/>
      <c r="G311" s="67"/>
      <c r="AD311" s="9" t="str">
        <f t="shared" si="44"/>
        <v/>
      </c>
      <c r="AG311" s="9" t="str">
        <f t="shared" si="42"/>
        <v/>
      </c>
    </row>
    <row r="312" spans="1:34" x14ac:dyDescent="0.25">
      <c r="A312" s="68"/>
      <c r="B312" s="68"/>
      <c r="C312" s="65"/>
      <c r="D312" s="65"/>
      <c r="E312" s="66"/>
      <c r="F312" s="65"/>
      <c r="G312" s="67"/>
      <c r="AD312" s="9" t="str">
        <f t="shared" si="44"/>
        <v/>
      </c>
      <c r="AG312" s="9" t="str">
        <f t="shared" si="42"/>
        <v/>
      </c>
    </row>
    <row r="313" spans="1:34" x14ac:dyDescent="0.25">
      <c r="A313" s="68"/>
      <c r="B313" s="68"/>
      <c r="C313" s="65"/>
      <c r="D313" s="65"/>
      <c r="E313" s="66"/>
      <c r="F313" s="65"/>
      <c r="G313" s="67"/>
      <c r="AD313" s="9" t="str">
        <f t="shared" si="44"/>
        <v/>
      </c>
      <c r="AG313" s="9" t="str">
        <f t="shared" si="42"/>
        <v/>
      </c>
    </row>
    <row r="314" spans="1:34" x14ac:dyDescent="0.25">
      <c r="A314" s="68"/>
      <c r="B314" s="68"/>
      <c r="C314" s="65"/>
      <c r="D314" s="65"/>
      <c r="E314" s="66"/>
      <c r="F314" s="65"/>
      <c r="G314" s="67"/>
      <c r="AD314" s="9" t="str">
        <f t="shared" si="44"/>
        <v/>
      </c>
      <c r="AG314" s="9" t="str">
        <f t="shared" si="42"/>
        <v/>
      </c>
    </row>
    <row r="315" spans="1:34" x14ac:dyDescent="0.25">
      <c r="A315" s="68"/>
      <c r="B315" s="68"/>
      <c r="C315" s="65"/>
      <c r="D315" s="65"/>
      <c r="E315" s="66"/>
      <c r="F315" s="65"/>
      <c r="G315" s="67"/>
      <c r="AD315" s="9" t="str">
        <f t="shared" si="44"/>
        <v/>
      </c>
      <c r="AG315" s="9" t="str">
        <f t="shared" si="42"/>
        <v/>
      </c>
    </row>
    <row r="316" spans="1:34" x14ac:dyDescent="0.25">
      <c r="A316" s="68"/>
      <c r="B316" s="68"/>
      <c r="C316" s="65"/>
      <c r="D316" s="65"/>
      <c r="E316" s="66"/>
      <c r="F316" s="65"/>
      <c r="G316" s="67"/>
      <c r="AD316" s="9" t="str">
        <f t="shared" si="44"/>
        <v/>
      </c>
      <c r="AG316" s="9" t="str">
        <f t="shared" si="42"/>
        <v/>
      </c>
    </row>
    <row r="317" spans="1:34" x14ac:dyDescent="0.25">
      <c r="A317" s="68"/>
      <c r="B317" s="68"/>
      <c r="C317" s="65"/>
      <c r="D317" s="65"/>
      <c r="E317" s="66"/>
      <c r="F317" s="65"/>
      <c r="G317" s="67"/>
      <c r="AD317" s="9" t="str">
        <f t="shared" si="44"/>
        <v/>
      </c>
      <c r="AG317" s="9" t="str">
        <f t="shared" si="42"/>
        <v/>
      </c>
    </row>
    <row r="318" spans="1:34" x14ac:dyDescent="0.25">
      <c r="A318" s="68"/>
      <c r="B318" s="68"/>
      <c r="C318" s="65"/>
      <c r="D318" s="65"/>
      <c r="E318" s="66"/>
      <c r="F318" s="65"/>
      <c r="G318" s="67"/>
      <c r="AD318" s="9" t="str">
        <f t="shared" si="44"/>
        <v/>
      </c>
      <c r="AG318" s="9" t="str">
        <f t="shared" si="42"/>
        <v/>
      </c>
    </row>
    <row r="319" spans="1:34" x14ac:dyDescent="0.25">
      <c r="A319" s="68"/>
      <c r="B319" s="68"/>
      <c r="C319" s="65"/>
      <c r="D319" s="65"/>
      <c r="E319" s="66"/>
      <c r="F319" s="65"/>
      <c r="G319" s="67"/>
      <c r="AD319" s="9" t="str">
        <f t="shared" si="44"/>
        <v/>
      </c>
      <c r="AG319" s="9" t="str">
        <f t="shared" si="42"/>
        <v/>
      </c>
    </row>
    <row r="320" spans="1:34" x14ac:dyDescent="0.25">
      <c r="A320" s="68"/>
      <c r="B320" s="68"/>
      <c r="C320" s="65"/>
      <c r="D320" s="65"/>
      <c r="E320" s="66"/>
      <c r="F320" s="65"/>
      <c r="G320" s="67"/>
      <c r="AD320" s="9" t="str">
        <f t="shared" si="44"/>
        <v/>
      </c>
      <c r="AG320" s="9" t="str">
        <f t="shared" si="42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44"/>
        <v/>
      </c>
      <c r="AG321" s="9" t="str">
        <f t="shared" si="42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53" si="45">IF(AC322="","",C317)</f>
        <v/>
      </c>
      <c r="AG322" s="9" t="str">
        <f t="shared" si="42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45"/>
        <v/>
      </c>
      <c r="AG323" s="9" t="str">
        <f t="shared" si="42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45"/>
        <v/>
      </c>
      <c r="AG324" s="9" t="str">
        <f t="shared" si="42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45"/>
        <v/>
      </c>
      <c r="AG325" s="9" t="str">
        <f t="shared" si="42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45"/>
        <v/>
      </c>
      <c r="AG326" s="9" t="str">
        <f t="shared" si="42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45"/>
        <v/>
      </c>
      <c r="AG327" s="9" t="str">
        <f t="shared" si="42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45"/>
        <v/>
      </c>
      <c r="AG328" s="9" t="str">
        <f t="shared" si="42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45"/>
        <v/>
      </c>
      <c r="AG329" s="9" t="str">
        <f t="shared" si="42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45"/>
        <v/>
      </c>
      <c r="AG330" s="9" t="str">
        <f t="shared" si="42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45"/>
        <v/>
      </c>
      <c r="AG331" s="9" t="str">
        <f t="shared" si="42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45"/>
        <v/>
      </c>
      <c r="AG332" s="9" t="str">
        <f t="shared" si="42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45"/>
        <v/>
      </c>
      <c r="AG333" s="9" t="str">
        <f t="shared" si="42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45"/>
        <v/>
      </c>
      <c r="AG334" s="9" t="str">
        <f t="shared" si="42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45"/>
        <v/>
      </c>
      <c r="AG335" s="9" t="str">
        <f t="shared" si="42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45"/>
        <v/>
      </c>
      <c r="AG336" s="9" t="str">
        <f t="shared" si="42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45"/>
        <v/>
      </c>
      <c r="AG337" s="9" t="str">
        <f t="shared" si="42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45"/>
        <v/>
      </c>
      <c r="AG338" s="9" t="str">
        <f t="shared" si="42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45"/>
        <v/>
      </c>
      <c r="AG339" s="9" t="str">
        <f t="shared" si="42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45"/>
        <v/>
      </c>
      <c r="AG340" s="9" t="str">
        <f t="shared" si="42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45"/>
        <v/>
      </c>
      <c r="AG341" s="9" t="str">
        <f t="shared" si="42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45"/>
        <v/>
      </c>
      <c r="AG342" s="9" t="str">
        <f t="shared" si="42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45"/>
        <v/>
      </c>
      <c r="AG343" s="9" t="str">
        <f t="shared" si="42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45"/>
        <v/>
      </c>
      <c r="AG344" s="9" t="str">
        <f t="shared" si="42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45"/>
        <v/>
      </c>
      <c r="AG345" s="9" t="str">
        <f t="shared" si="42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45"/>
        <v/>
      </c>
      <c r="AG346" s="9" t="str">
        <f t="shared" si="42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45"/>
        <v/>
      </c>
      <c r="AG347" s="9" t="str">
        <f t="shared" si="42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45"/>
        <v/>
      </c>
      <c r="AG348" s="9" t="str">
        <f t="shared" si="42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45"/>
        <v/>
      </c>
      <c r="AG349" s="9" t="str">
        <f t="shared" si="42"/>
        <v/>
      </c>
    </row>
    <row r="350" spans="1:33" x14ac:dyDescent="0.25">
      <c r="AD350" s="9" t="str">
        <f t="shared" si="45"/>
        <v/>
      </c>
      <c r="AG350" s="9" t="str">
        <f t="shared" si="42"/>
        <v/>
      </c>
    </row>
    <row r="351" spans="1:33" x14ac:dyDescent="0.25">
      <c r="AD351" s="9" t="str">
        <f t="shared" si="45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45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45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ref="AD354:AD385" si="46">IF(AC354="","",C349)</f>
        <v/>
      </c>
      <c r="AG354" s="9"/>
    </row>
    <row r="355" spans="30:33" x14ac:dyDescent="0.25">
      <c r="AD355" s="9" t="str">
        <f t="shared" si="46"/>
        <v/>
      </c>
      <c r="AG355" s="9"/>
    </row>
    <row r="356" spans="30:33" x14ac:dyDescent="0.25">
      <c r="AD356" s="9" t="str">
        <f t="shared" si="46"/>
        <v/>
      </c>
      <c r="AG356" s="9"/>
    </row>
    <row r="357" spans="30:33" x14ac:dyDescent="0.25">
      <c r="AD357" s="9" t="str">
        <f t="shared" si="46"/>
        <v/>
      </c>
      <c r="AG357" s="9"/>
    </row>
    <row r="358" spans="30:33" x14ac:dyDescent="0.25">
      <c r="AD358" s="9" t="str">
        <f t="shared" si="46"/>
        <v/>
      </c>
      <c r="AG358" s="9"/>
    </row>
    <row r="359" spans="30:33" x14ac:dyDescent="0.25">
      <c r="AD359" s="9" t="str">
        <f t="shared" si="46"/>
        <v/>
      </c>
      <c r="AG359" s="9"/>
    </row>
    <row r="360" spans="30:33" x14ac:dyDescent="0.25">
      <c r="AD360" s="9" t="str">
        <f t="shared" si="46"/>
        <v/>
      </c>
      <c r="AG360" s="9"/>
    </row>
    <row r="361" spans="30:33" x14ac:dyDescent="0.25">
      <c r="AD361" s="9" t="str">
        <f t="shared" si="46"/>
        <v/>
      </c>
      <c r="AG361" s="9"/>
    </row>
    <row r="362" spans="30:33" x14ac:dyDescent="0.25">
      <c r="AD362" s="9" t="str">
        <f t="shared" si="46"/>
        <v/>
      </c>
      <c r="AG362" s="9"/>
    </row>
    <row r="363" spans="30:33" x14ac:dyDescent="0.25">
      <c r="AD363" s="9" t="str">
        <f t="shared" si="46"/>
        <v/>
      </c>
      <c r="AG363" s="9"/>
    </row>
    <row r="364" spans="30:33" x14ac:dyDescent="0.25">
      <c r="AD364" s="9" t="str">
        <f t="shared" si="46"/>
        <v/>
      </c>
      <c r="AG364" s="9"/>
    </row>
    <row r="365" spans="30:33" x14ac:dyDescent="0.25">
      <c r="AD365" s="9" t="str">
        <f t="shared" si="46"/>
        <v/>
      </c>
      <c r="AG365" s="9"/>
    </row>
    <row r="366" spans="30:33" x14ac:dyDescent="0.25">
      <c r="AD366" s="9" t="str">
        <f t="shared" si="46"/>
        <v/>
      </c>
      <c r="AG366" s="9"/>
    </row>
    <row r="367" spans="30:33" x14ac:dyDescent="0.25">
      <c r="AD367" s="9" t="str">
        <f t="shared" si="46"/>
        <v/>
      </c>
      <c r="AG367" s="9"/>
    </row>
    <row r="368" spans="30:33" x14ac:dyDescent="0.25">
      <c r="AD368" s="9" t="str">
        <f t="shared" si="46"/>
        <v/>
      </c>
      <c r="AG368" s="9"/>
    </row>
    <row r="369" spans="30:33" x14ac:dyDescent="0.25">
      <c r="AD369" s="9" t="str">
        <f t="shared" si="46"/>
        <v/>
      </c>
      <c r="AG369" s="9"/>
    </row>
    <row r="370" spans="30:33" x14ac:dyDescent="0.25">
      <c r="AD370" s="9" t="str">
        <f t="shared" si="46"/>
        <v/>
      </c>
      <c r="AG370" s="9"/>
    </row>
    <row r="371" spans="30:33" x14ac:dyDescent="0.25">
      <c r="AD371" s="9" t="str">
        <f t="shared" si="46"/>
        <v/>
      </c>
      <c r="AG371" s="9"/>
    </row>
    <row r="372" spans="30:33" x14ac:dyDescent="0.25">
      <c r="AD372" s="9" t="str">
        <f t="shared" si="46"/>
        <v/>
      </c>
      <c r="AG372" s="9"/>
    </row>
    <row r="373" spans="30:33" x14ac:dyDescent="0.25">
      <c r="AD373" s="9" t="str">
        <f t="shared" si="46"/>
        <v/>
      </c>
      <c r="AG373" s="9"/>
    </row>
    <row r="374" spans="30:33" x14ac:dyDescent="0.25">
      <c r="AD374" s="9" t="str">
        <f t="shared" si="46"/>
        <v/>
      </c>
      <c r="AG374" s="9"/>
    </row>
    <row r="375" spans="30:33" x14ac:dyDescent="0.25">
      <c r="AD375" s="9" t="str">
        <f t="shared" si="46"/>
        <v/>
      </c>
      <c r="AG375" s="9"/>
    </row>
    <row r="376" spans="30:33" x14ac:dyDescent="0.25">
      <c r="AD376" s="9" t="str">
        <f t="shared" si="46"/>
        <v/>
      </c>
      <c r="AG376" s="9"/>
    </row>
    <row r="377" spans="30:33" x14ac:dyDescent="0.25">
      <c r="AD377" s="9" t="str">
        <f t="shared" si="46"/>
        <v/>
      </c>
      <c r="AG377" s="9"/>
    </row>
    <row r="378" spans="30:33" x14ac:dyDescent="0.25">
      <c r="AD378" s="9" t="str">
        <f t="shared" si="46"/>
        <v/>
      </c>
      <c r="AG378" s="9"/>
    </row>
    <row r="379" spans="30:33" x14ac:dyDescent="0.25">
      <c r="AD379" s="9" t="str">
        <f t="shared" si="46"/>
        <v/>
      </c>
      <c r="AG379" s="9"/>
    </row>
    <row r="380" spans="30:33" x14ac:dyDescent="0.25">
      <c r="AD380" s="9" t="str">
        <f t="shared" si="46"/>
        <v/>
      </c>
      <c r="AG380" s="9"/>
    </row>
    <row r="381" spans="30:33" x14ac:dyDescent="0.25">
      <c r="AD381" s="9" t="str">
        <f t="shared" si="46"/>
        <v/>
      </c>
      <c r="AG381" s="9"/>
    </row>
    <row r="382" spans="30:33" x14ac:dyDescent="0.25">
      <c r="AD382" s="9" t="str">
        <f t="shared" si="46"/>
        <v/>
      </c>
      <c r="AG382" s="9"/>
    </row>
    <row r="383" spans="30:33" x14ac:dyDescent="0.25">
      <c r="AD383" s="9" t="str">
        <f t="shared" si="46"/>
        <v/>
      </c>
      <c r="AG383" s="9"/>
    </row>
    <row r="384" spans="30:33" x14ac:dyDescent="0.25">
      <c r="AD384" s="9" t="str">
        <f t="shared" si="46"/>
        <v/>
      </c>
      <c r="AG384" s="9"/>
    </row>
    <row r="385" spans="30:33" x14ac:dyDescent="0.25">
      <c r="AD385" s="9" t="str">
        <f t="shared" si="46"/>
        <v/>
      </c>
      <c r="AG385" s="9"/>
    </row>
    <row r="386" spans="30:33" x14ac:dyDescent="0.25">
      <c r="AD386" s="9" t="str">
        <f t="shared" ref="AD386:AD417" si="47">IF(AC386="","",C381)</f>
        <v/>
      </c>
      <c r="AG386" s="9"/>
    </row>
    <row r="387" spans="30:33" x14ac:dyDescent="0.25">
      <c r="AD387" s="9" t="str">
        <f t="shared" si="47"/>
        <v/>
      </c>
      <c r="AG387" s="9"/>
    </row>
    <row r="388" spans="30:33" x14ac:dyDescent="0.25">
      <c r="AD388" s="9" t="str">
        <f t="shared" si="47"/>
        <v/>
      </c>
      <c r="AG388" s="9"/>
    </row>
    <row r="389" spans="30:33" x14ac:dyDescent="0.25">
      <c r="AD389" s="9" t="str">
        <f t="shared" si="47"/>
        <v/>
      </c>
      <c r="AG389" s="9"/>
    </row>
    <row r="390" spans="30:33" x14ac:dyDescent="0.25">
      <c r="AD390" s="9" t="str">
        <f t="shared" si="47"/>
        <v/>
      </c>
      <c r="AG390" s="9"/>
    </row>
    <row r="391" spans="30:33" x14ac:dyDescent="0.25">
      <c r="AD391" s="9" t="str">
        <f t="shared" si="47"/>
        <v/>
      </c>
      <c r="AG391" s="9"/>
    </row>
    <row r="392" spans="30:33" x14ac:dyDescent="0.25">
      <c r="AD392" s="9" t="str">
        <f t="shared" si="47"/>
        <v/>
      </c>
      <c r="AG392" s="9"/>
    </row>
    <row r="393" spans="30:33" x14ac:dyDescent="0.25">
      <c r="AD393" s="9" t="str">
        <f t="shared" si="47"/>
        <v/>
      </c>
      <c r="AG393" s="9"/>
    </row>
    <row r="394" spans="30:33" x14ac:dyDescent="0.25">
      <c r="AD394" s="9" t="str">
        <f t="shared" si="47"/>
        <v/>
      </c>
      <c r="AG394" s="9"/>
    </row>
    <row r="395" spans="30:33" x14ac:dyDescent="0.25">
      <c r="AD395" s="9" t="str">
        <f t="shared" si="47"/>
        <v/>
      </c>
      <c r="AG395" s="9"/>
    </row>
    <row r="396" spans="30:33" x14ac:dyDescent="0.25">
      <c r="AD396" s="9" t="str">
        <f t="shared" si="47"/>
        <v/>
      </c>
      <c r="AG396" s="9"/>
    </row>
    <row r="397" spans="30:33" x14ac:dyDescent="0.25">
      <c r="AD397" s="9" t="str">
        <f t="shared" si="47"/>
        <v/>
      </c>
      <c r="AG397" s="9"/>
    </row>
    <row r="398" spans="30:33" x14ac:dyDescent="0.25">
      <c r="AD398" s="9" t="str">
        <f t="shared" si="47"/>
        <v/>
      </c>
      <c r="AG398" s="9"/>
    </row>
    <row r="399" spans="30:33" x14ac:dyDescent="0.25">
      <c r="AD399" s="9" t="str">
        <f t="shared" si="47"/>
        <v/>
      </c>
      <c r="AG399" s="9"/>
    </row>
    <row r="400" spans="30:33" x14ac:dyDescent="0.25">
      <c r="AD400" s="9" t="str">
        <f t="shared" si="47"/>
        <v/>
      </c>
      <c r="AG400" s="9"/>
    </row>
    <row r="401" spans="30:33" x14ac:dyDescent="0.25">
      <c r="AD401" s="9" t="str">
        <f t="shared" si="47"/>
        <v/>
      </c>
      <c r="AG401" s="9"/>
    </row>
    <row r="402" spans="30:33" x14ac:dyDescent="0.25">
      <c r="AD402" s="9" t="str">
        <f t="shared" si="47"/>
        <v/>
      </c>
      <c r="AG402" s="9"/>
    </row>
    <row r="403" spans="30:33" x14ac:dyDescent="0.25">
      <c r="AD403" s="9" t="str">
        <f t="shared" si="47"/>
        <v/>
      </c>
      <c r="AG403" s="9"/>
    </row>
    <row r="404" spans="30:33" x14ac:dyDescent="0.25">
      <c r="AD404" s="9" t="str">
        <f t="shared" si="47"/>
        <v/>
      </c>
      <c r="AG404" s="9"/>
    </row>
    <row r="405" spans="30:33" x14ac:dyDescent="0.25">
      <c r="AD405" s="9" t="str">
        <f t="shared" si="47"/>
        <v/>
      </c>
      <c r="AG405" s="9"/>
    </row>
    <row r="406" spans="30:33" x14ac:dyDescent="0.25">
      <c r="AD406" s="9" t="str">
        <f t="shared" si="47"/>
        <v/>
      </c>
      <c r="AG406" s="9"/>
    </row>
    <row r="407" spans="30:33" x14ac:dyDescent="0.25">
      <c r="AD407" s="9" t="str">
        <f t="shared" si="47"/>
        <v/>
      </c>
      <c r="AG407" s="9"/>
    </row>
    <row r="408" spans="30:33" x14ac:dyDescent="0.25">
      <c r="AD408" s="9" t="str">
        <f t="shared" si="47"/>
        <v/>
      </c>
      <c r="AG408" s="9"/>
    </row>
    <row r="409" spans="30:33" x14ac:dyDescent="0.25">
      <c r="AD409" s="9" t="str">
        <f t="shared" si="47"/>
        <v/>
      </c>
      <c r="AG409" s="9"/>
    </row>
    <row r="410" spans="30:33" x14ac:dyDescent="0.25">
      <c r="AD410" s="9" t="str">
        <f t="shared" si="47"/>
        <v/>
      </c>
      <c r="AG410" s="9"/>
    </row>
    <row r="411" spans="30:33" x14ac:dyDescent="0.25">
      <c r="AD411" s="9" t="str">
        <f t="shared" si="47"/>
        <v/>
      </c>
      <c r="AG411" s="9"/>
    </row>
    <row r="412" spans="30:33" x14ac:dyDescent="0.25">
      <c r="AD412" s="9" t="str">
        <f t="shared" si="47"/>
        <v/>
      </c>
      <c r="AG412" s="9"/>
    </row>
    <row r="413" spans="30:33" x14ac:dyDescent="0.25">
      <c r="AD413" s="9" t="str">
        <f t="shared" si="47"/>
        <v/>
      </c>
      <c r="AG413" s="9"/>
    </row>
    <row r="414" spans="30:33" x14ac:dyDescent="0.25">
      <c r="AD414" s="9" t="str">
        <f t="shared" si="47"/>
        <v/>
      </c>
      <c r="AG414" s="9"/>
    </row>
    <row r="415" spans="30:33" x14ac:dyDescent="0.25">
      <c r="AD415" s="9" t="str">
        <f t="shared" si="47"/>
        <v/>
      </c>
      <c r="AG415" s="9"/>
    </row>
    <row r="416" spans="30:33" x14ac:dyDescent="0.25">
      <c r="AD416" s="9" t="str">
        <f t="shared" si="47"/>
        <v/>
      </c>
      <c r="AG416" s="9"/>
    </row>
    <row r="417" spans="30:33" x14ac:dyDescent="0.25">
      <c r="AD417" s="9" t="str">
        <f t="shared" si="47"/>
        <v/>
      </c>
      <c r="AG417" s="9"/>
    </row>
    <row r="418" spans="30:33" x14ac:dyDescent="0.25">
      <c r="AD418" s="9" t="str">
        <f>IF(AC418="","",C413)</f>
        <v/>
      </c>
      <c r="AG418" s="9"/>
    </row>
    <row r="419" spans="30:33" x14ac:dyDescent="0.25">
      <c r="AD419" s="9" t="str">
        <f>IF(AC419="","",C414)</f>
        <v/>
      </c>
      <c r="AG419" s="9"/>
    </row>
    <row r="420" spans="30:33" x14ac:dyDescent="0.25">
      <c r="AD420" s="9" t="str">
        <f>IF(AC420="","",C415)</f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48">IF(AF428="","",AF428*AC$25*AD428)</f>
        <v/>
      </c>
    </row>
    <row r="429" spans="30:33" x14ac:dyDescent="0.25">
      <c r="AG429" s="9" t="str">
        <f t="shared" si="48"/>
        <v/>
      </c>
    </row>
    <row r="430" spans="30:33" x14ac:dyDescent="0.25">
      <c r="AG430" s="9" t="str">
        <f t="shared" si="48"/>
        <v/>
      </c>
    </row>
    <row r="431" spans="30:33" x14ac:dyDescent="0.25">
      <c r="AG431" s="9" t="str">
        <f t="shared" si="48"/>
        <v/>
      </c>
    </row>
    <row r="432" spans="30:33" x14ac:dyDescent="0.25">
      <c r="AG432" s="9" t="str">
        <f t="shared" si="48"/>
        <v/>
      </c>
    </row>
    <row r="433" spans="33:33" x14ac:dyDescent="0.25">
      <c r="AG433" s="9" t="str">
        <f t="shared" si="48"/>
        <v/>
      </c>
    </row>
    <row r="434" spans="33:33" x14ac:dyDescent="0.25">
      <c r="AG434" s="9" t="str">
        <f t="shared" si="48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protectedRanges>
    <protectedRange password="C474" sqref="D19" name="Intervalo1_1"/>
  </protectedRanges>
  <mergeCells count="9">
    <mergeCell ref="A2:F2"/>
    <mergeCell ref="A1:F1"/>
    <mergeCell ref="A20:F20"/>
    <mergeCell ref="AB21:AG23"/>
    <mergeCell ref="E21:E22"/>
    <mergeCell ref="A22:B22"/>
    <mergeCell ref="A14:F14"/>
    <mergeCell ref="A3:F3"/>
    <mergeCell ref="E18:F18"/>
  </mergeCells>
  <conditionalFormatting sqref="A23:G349">
    <cfRule type="notContainsBlanks" dxfId="40" priority="7" stopIfTrue="1">
      <formula>LEN(TRIM(A23))&gt;0</formula>
    </cfRule>
  </conditionalFormatting>
  <conditionalFormatting sqref="A24:G24 D25:D78 A26:G26 A28:G28 A30:G30 A32:G32 A34:G34 A36:G36 A38:G38 A40:G40 A42:G42 A44:G44 A46:G46 A48:G48 A50:G50 A52:G52 A54:G54 A56:G56 A58:G58 A60:G60 A62:G62 A64:G64 E65:E77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39" priority="6">
      <formula>LEN(TRIM(A24))&gt;0</formula>
    </cfRule>
  </conditionalFormatting>
  <conditionalFormatting sqref="E19">
    <cfRule type="expression" dxfId="38" priority="1">
      <formula>$J$21=FALSE</formula>
    </cfRule>
  </conditionalFormatting>
  <dataValidations disablePrompts="1" count="1">
    <dataValidation type="decimal" allowBlank="1" showInputMessage="1" showErrorMessage="1" errorTitle="atenção!" error="A garantia do FAMPE deve variar de 20% a 80%." sqref="E19" xr:uid="{00000000-0002-0000-0100-000000000000}">
      <formula1>0.2</formula1>
      <formula2>0.8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8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Drop Down 4">
              <controlPr locked="0" defaultSize="0" autoLine="0" autoPict="0">
                <anchor moveWithCells="1">
                  <from>
                    <xdr:col>1</xdr:col>
                    <xdr:colOff>238125</xdr:colOff>
                    <xdr:row>2</xdr:row>
                    <xdr:rowOff>314325</xdr:rowOff>
                  </from>
                  <to>
                    <xdr:col>5</xdr:col>
                    <xdr:colOff>990600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5" name="Check Box 14">
              <controlPr locked="0" defaultSize="0" autoFill="0" autoLine="0" autoPict="0">
                <anchor moveWithCells="1">
                  <from>
                    <xdr:col>4</xdr:col>
                    <xdr:colOff>219075</xdr:colOff>
                    <xdr:row>15</xdr:row>
                    <xdr:rowOff>228600</xdr:rowOff>
                  </from>
                  <to>
                    <xdr:col>4</xdr:col>
                    <xdr:colOff>1028700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6" name="Check Box 20">
              <controlPr locked="0" defaultSize="0" autoFill="0" autoLine="0" autoPict="0">
                <anchor moveWithCells="1">
                  <from>
                    <xdr:col>4</xdr:col>
                    <xdr:colOff>200025</xdr:colOff>
                    <xdr:row>15</xdr:row>
                    <xdr:rowOff>38100</xdr:rowOff>
                  </from>
                  <to>
                    <xdr:col>4</xdr:col>
                    <xdr:colOff>1209675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Drop Down 9">
              <controlPr locked="0" defaultSize="0" autoLine="0" autoPict="0">
                <anchor moveWithCells="1">
                  <from>
                    <xdr:col>5</xdr:col>
                    <xdr:colOff>161925</xdr:colOff>
                    <xdr:row>14</xdr:row>
                    <xdr:rowOff>57150</xdr:rowOff>
                  </from>
                  <to>
                    <xdr:col>5</xdr:col>
                    <xdr:colOff>1133475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8" name="Drop Down 19">
              <controlPr locked="0" defaultSize="0" autoLine="0" autoPict="0">
                <anchor moveWithCells="1">
                  <from>
                    <xdr:col>5</xdr:col>
                    <xdr:colOff>114300</xdr:colOff>
                    <xdr:row>16</xdr:row>
                    <xdr:rowOff>19050</xdr:rowOff>
                  </from>
                  <to>
                    <xdr:col>5</xdr:col>
                    <xdr:colOff>1095375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9" name="Check Box 21">
              <controlPr defaultSize="0" autoFill="0" autoLine="0" autoPict="0">
                <anchor moveWithCells="1">
                  <from>
                    <xdr:col>4</xdr:col>
                    <xdr:colOff>47625</xdr:colOff>
                    <xdr:row>16</xdr:row>
                    <xdr:rowOff>19050</xdr:rowOff>
                  </from>
                  <to>
                    <xdr:col>4</xdr:col>
                    <xdr:colOff>1209675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0" name="Drop Down 23">
              <controlPr defaultSize="0" autoLine="0" autoPict="0">
                <anchor moveWithCells="1">
                  <from>
                    <xdr:col>4</xdr:col>
                    <xdr:colOff>47625</xdr:colOff>
                    <xdr:row>16</xdr:row>
                    <xdr:rowOff>247650</xdr:rowOff>
                  </from>
                  <to>
                    <xdr:col>4</xdr:col>
                    <xdr:colOff>1228725</xdr:colOff>
                    <xdr:row>16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1" name="Drop Down 10">
              <controlPr locked="0" defaultSize="0" autoLine="0" autoPict="0">
                <anchor moveWithCells="1">
                  <from>
                    <xdr:col>5</xdr:col>
                    <xdr:colOff>133350</xdr:colOff>
                    <xdr:row>15</xdr:row>
                    <xdr:rowOff>47625</xdr:rowOff>
                  </from>
                  <to>
                    <xdr:col>5</xdr:col>
                    <xdr:colOff>1114425</xdr:colOff>
                    <xdr:row>15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3B5C-D470-4D24-A19E-39E067EDE0E8}">
  <dimension ref="B4:I110"/>
  <sheetViews>
    <sheetView showGridLines="0" topLeftCell="A7" workbookViewId="0">
      <selection activeCell="C8" sqref="C8"/>
    </sheetView>
  </sheetViews>
  <sheetFormatPr defaultRowHeight="15" x14ac:dyDescent="0.25"/>
  <cols>
    <col min="2" max="2" width="12.85546875" customWidth="1"/>
    <col min="3" max="3" width="10.5703125" style="189" bestFit="1" customWidth="1"/>
    <col min="4" max="4" width="10.5703125" style="189" customWidth="1"/>
    <col min="6" max="6" width="24.5703125" style="93" customWidth="1"/>
    <col min="7" max="7" width="14.5703125" style="93" customWidth="1"/>
    <col min="9" max="9" width="10.5703125" bestFit="1" customWidth="1"/>
    <col min="12" max="12" width="10.5703125" bestFit="1" customWidth="1"/>
    <col min="15" max="15" width="9.5703125" bestFit="1" customWidth="1"/>
  </cols>
  <sheetData>
    <row r="4" spans="2:7" x14ac:dyDescent="0.25">
      <c r="B4" t="s">
        <v>161</v>
      </c>
      <c r="C4" s="189" t="s">
        <v>162</v>
      </c>
      <c r="F4" s="93" t="s">
        <v>168</v>
      </c>
      <c r="G4" s="93">
        <f>'Linhas Giro Puro'!B17</f>
        <v>60</v>
      </c>
    </row>
    <row r="5" spans="2:7" x14ac:dyDescent="0.25">
      <c r="B5" t="s">
        <v>163</v>
      </c>
      <c r="F5" s="93" t="s">
        <v>169</v>
      </c>
      <c r="G5" s="191">
        <f>'Linhas Giro Puro'!B15</f>
        <v>60000</v>
      </c>
    </row>
    <row r="8" spans="2:7" x14ac:dyDescent="0.25">
      <c r="B8" t="s">
        <v>38</v>
      </c>
      <c r="C8" s="189">
        <v>945.25</v>
      </c>
      <c r="F8" s="192" t="s">
        <v>170</v>
      </c>
      <c r="G8" s="192" t="s">
        <v>171</v>
      </c>
    </row>
    <row r="9" spans="2:7" x14ac:dyDescent="0.25">
      <c r="B9" t="s">
        <v>37</v>
      </c>
      <c r="C9" s="189">
        <v>1039.92</v>
      </c>
      <c r="F9" s="192">
        <v>3</v>
      </c>
      <c r="G9" s="193">
        <v>1.4200000000000001E-2</v>
      </c>
    </row>
    <row r="10" spans="2:7" x14ac:dyDescent="0.25">
      <c r="B10" t="s">
        <v>164</v>
      </c>
      <c r="C10" s="189">
        <v>2347.16</v>
      </c>
      <c r="F10" s="192">
        <v>4</v>
      </c>
      <c r="G10" s="193">
        <v>6.1999999999999998E-3</v>
      </c>
    </row>
    <row r="11" spans="2:7" x14ac:dyDescent="0.25">
      <c r="B11" t="s">
        <v>165</v>
      </c>
      <c r="C11" s="189">
        <f>SUM(C8:C10)</f>
        <v>4332.33</v>
      </c>
      <c r="F11" s="192">
        <v>5</v>
      </c>
      <c r="G11" s="193">
        <v>6.1999999999999998E-3</v>
      </c>
    </row>
    <row r="12" spans="2:7" x14ac:dyDescent="0.25">
      <c r="B12" t="s">
        <v>166</v>
      </c>
      <c r="C12" s="189">
        <v>50000</v>
      </c>
      <c r="F12" s="192">
        <v>6</v>
      </c>
      <c r="G12" s="193">
        <v>6.1999999999999998E-3</v>
      </c>
    </row>
    <row r="13" spans="2:7" x14ac:dyDescent="0.25">
      <c r="B13" t="s">
        <v>42</v>
      </c>
      <c r="C13" s="189">
        <f>C12+C11</f>
        <v>54332.33</v>
      </c>
      <c r="F13" s="192">
        <v>7</v>
      </c>
      <c r="G13" s="193">
        <v>4.1999999999999997E-3</v>
      </c>
    </row>
    <row r="14" spans="2:7" x14ac:dyDescent="0.25">
      <c r="F14" s="192">
        <v>8</v>
      </c>
      <c r="G14" s="193">
        <v>4.1999999999999997E-3</v>
      </c>
    </row>
    <row r="15" spans="2:7" x14ac:dyDescent="0.25">
      <c r="F15" s="192">
        <v>9</v>
      </c>
      <c r="G15" s="193">
        <v>4.1999999999999997E-3</v>
      </c>
    </row>
    <row r="16" spans="2:7" x14ac:dyDescent="0.25">
      <c r="F16" s="192">
        <v>10</v>
      </c>
      <c r="G16" s="193">
        <v>3.0999999999999999E-3</v>
      </c>
    </row>
    <row r="17" spans="6:9" x14ac:dyDescent="0.25">
      <c r="F17" s="192">
        <v>11</v>
      </c>
      <c r="G17" s="193">
        <v>3.0999999999999999E-3</v>
      </c>
    </row>
    <row r="18" spans="6:9" x14ac:dyDescent="0.25">
      <c r="F18" s="192">
        <v>12</v>
      </c>
      <c r="G18" s="193">
        <v>3.0999999999999999E-3</v>
      </c>
    </row>
    <row r="19" spans="6:9" x14ac:dyDescent="0.25">
      <c r="F19" s="192">
        <v>13</v>
      </c>
      <c r="G19" s="193">
        <v>2.7000000000000001E-3</v>
      </c>
    </row>
    <row r="20" spans="6:9" x14ac:dyDescent="0.25">
      <c r="F20" s="192">
        <v>14</v>
      </c>
      <c r="G20" s="193">
        <v>2.7000000000000001E-3</v>
      </c>
    </row>
    <row r="21" spans="6:9" x14ac:dyDescent="0.25">
      <c r="F21" s="192">
        <v>15</v>
      </c>
      <c r="G21" s="193">
        <v>2.7000000000000001E-3</v>
      </c>
    </row>
    <row r="22" spans="6:9" x14ac:dyDescent="0.25">
      <c r="F22" s="192">
        <v>16</v>
      </c>
      <c r="G22" s="193">
        <v>2.3999999999999998E-3</v>
      </c>
    </row>
    <row r="23" spans="6:9" x14ac:dyDescent="0.25">
      <c r="F23" s="192">
        <v>17</v>
      </c>
      <c r="G23" s="193">
        <v>2.3999999999999998E-3</v>
      </c>
    </row>
    <row r="24" spans="6:9" x14ac:dyDescent="0.25">
      <c r="F24" s="192">
        <v>18</v>
      </c>
      <c r="G24" s="193">
        <v>2.3999999999999998E-3</v>
      </c>
    </row>
    <row r="25" spans="6:9" x14ac:dyDescent="0.25">
      <c r="F25" s="192">
        <v>19</v>
      </c>
      <c r="G25" s="193">
        <v>2.2000000000000001E-3</v>
      </c>
      <c r="H25" t="s">
        <v>172</v>
      </c>
      <c r="I25" s="194">
        <f>_xlfn.XLOOKUP(I28,F9:F110,G9:G110)</f>
        <v>1E-3</v>
      </c>
    </row>
    <row r="26" spans="6:9" x14ac:dyDescent="0.25">
      <c r="F26" s="192">
        <v>20</v>
      </c>
      <c r="G26" s="193">
        <v>2.2000000000000001E-3</v>
      </c>
      <c r="H26" t="s">
        <v>174</v>
      </c>
      <c r="I26" s="189">
        <f ca="1">G5+'Linhas Giro Puro'!F15+'Linhas Giro Puro'!F16</f>
        <v>62149.635000000002</v>
      </c>
    </row>
    <row r="27" spans="6:9" x14ac:dyDescent="0.25">
      <c r="F27" s="192">
        <v>21</v>
      </c>
      <c r="G27" s="193">
        <v>2.2000000000000001E-3</v>
      </c>
      <c r="H27" t="s">
        <v>175</v>
      </c>
      <c r="I27" s="196">
        <v>0.8</v>
      </c>
    </row>
    <row r="28" spans="6:9" x14ac:dyDescent="0.25">
      <c r="F28" s="192">
        <v>22</v>
      </c>
      <c r="G28" s="193">
        <v>2E-3</v>
      </c>
      <c r="H28" t="s">
        <v>176</v>
      </c>
      <c r="I28">
        <f>G4</f>
        <v>60</v>
      </c>
    </row>
    <row r="29" spans="6:9" x14ac:dyDescent="0.25">
      <c r="F29" s="192">
        <v>23</v>
      </c>
      <c r="G29" s="193">
        <v>2E-3</v>
      </c>
    </row>
    <row r="30" spans="6:9" x14ac:dyDescent="0.25">
      <c r="F30" s="192">
        <v>24</v>
      </c>
      <c r="G30" s="193">
        <v>2E-3</v>
      </c>
      <c r="H30" t="s">
        <v>173</v>
      </c>
      <c r="I30" s="195">
        <f ca="1">(I25*(I26*I27)*I28)/(1-(I25*I27*I28))</f>
        <v>3133.5950420168074</v>
      </c>
    </row>
    <row r="31" spans="6:9" x14ac:dyDescent="0.25">
      <c r="F31" s="192">
        <v>25</v>
      </c>
      <c r="G31" s="193">
        <v>1.8E-3</v>
      </c>
    </row>
    <row r="32" spans="6:9" x14ac:dyDescent="0.25">
      <c r="F32" s="192">
        <v>26</v>
      </c>
      <c r="G32" s="193">
        <v>1.8E-3</v>
      </c>
    </row>
    <row r="33" spans="6:7" x14ac:dyDescent="0.25">
      <c r="F33" s="192">
        <v>27</v>
      </c>
      <c r="G33" s="193">
        <v>1.8E-3</v>
      </c>
    </row>
    <row r="34" spans="6:7" x14ac:dyDescent="0.25">
      <c r="F34" s="192">
        <v>28</v>
      </c>
      <c r="G34" s="193">
        <v>1.6999999999999999E-3</v>
      </c>
    </row>
    <row r="35" spans="6:7" x14ac:dyDescent="0.25">
      <c r="F35" s="192">
        <v>29</v>
      </c>
      <c r="G35" s="193">
        <v>1.6999999999999999E-3</v>
      </c>
    </row>
    <row r="36" spans="6:7" x14ac:dyDescent="0.25">
      <c r="F36" s="192">
        <v>30</v>
      </c>
      <c r="G36" s="193">
        <v>1.6999999999999999E-3</v>
      </c>
    </row>
    <row r="37" spans="6:7" x14ac:dyDescent="0.25">
      <c r="F37" s="192">
        <v>31</v>
      </c>
      <c r="G37" s="193">
        <v>1.6000000000000001E-3</v>
      </c>
    </row>
    <row r="38" spans="6:7" x14ac:dyDescent="0.25">
      <c r="F38" s="192">
        <v>32</v>
      </c>
      <c r="G38" s="193">
        <v>1.6000000000000001E-3</v>
      </c>
    </row>
    <row r="39" spans="6:7" x14ac:dyDescent="0.25">
      <c r="F39" s="192">
        <v>33</v>
      </c>
      <c r="G39" s="193">
        <v>1.6000000000000001E-3</v>
      </c>
    </row>
    <row r="40" spans="6:7" x14ac:dyDescent="0.25">
      <c r="F40" s="192">
        <v>34</v>
      </c>
      <c r="G40" s="193">
        <v>1.5E-3</v>
      </c>
    </row>
    <row r="41" spans="6:7" x14ac:dyDescent="0.25">
      <c r="F41" s="192">
        <v>35</v>
      </c>
      <c r="G41" s="193">
        <v>1.5E-3</v>
      </c>
    </row>
    <row r="42" spans="6:7" x14ac:dyDescent="0.25">
      <c r="F42" s="192">
        <v>36</v>
      </c>
      <c r="G42" s="193">
        <v>1.5E-3</v>
      </c>
    </row>
    <row r="43" spans="6:7" x14ac:dyDescent="0.25">
      <c r="F43" s="192">
        <v>37</v>
      </c>
      <c r="G43" s="193">
        <v>1.4E-3</v>
      </c>
    </row>
    <row r="44" spans="6:7" x14ac:dyDescent="0.25">
      <c r="F44" s="192">
        <v>38</v>
      </c>
      <c r="G44" s="193">
        <v>1.4E-3</v>
      </c>
    </row>
    <row r="45" spans="6:7" x14ac:dyDescent="0.25">
      <c r="F45" s="192">
        <v>39</v>
      </c>
      <c r="G45" s="193">
        <v>1.4E-3</v>
      </c>
    </row>
    <row r="46" spans="6:7" x14ac:dyDescent="0.25">
      <c r="F46" s="192">
        <v>40</v>
      </c>
      <c r="G46" s="193">
        <v>1.2999999999999999E-3</v>
      </c>
    </row>
    <row r="47" spans="6:7" x14ac:dyDescent="0.25">
      <c r="F47" s="192">
        <v>41</v>
      </c>
      <c r="G47" s="193">
        <v>1.2999999999999999E-3</v>
      </c>
    </row>
    <row r="48" spans="6:7" x14ac:dyDescent="0.25">
      <c r="F48" s="192">
        <v>42</v>
      </c>
      <c r="G48" s="193">
        <v>1.2999999999999999E-3</v>
      </c>
    </row>
    <row r="49" spans="6:7" x14ac:dyDescent="0.25">
      <c r="F49" s="192">
        <v>43</v>
      </c>
      <c r="G49" s="193">
        <v>1.2999999999999999E-3</v>
      </c>
    </row>
    <row r="50" spans="6:7" x14ac:dyDescent="0.25">
      <c r="F50" s="192">
        <v>44</v>
      </c>
      <c r="G50" s="193">
        <v>1.2999999999999999E-3</v>
      </c>
    </row>
    <row r="51" spans="6:7" x14ac:dyDescent="0.25">
      <c r="F51" s="192">
        <v>45</v>
      </c>
      <c r="G51" s="193">
        <v>1.1999999999999999E-3</v>
      </c>
    </row>
    <row r="52" spans="6:7" x14ac:dyDescent="0.25">
      <c r="F52" s="192">
        <v>46</v>
      </c>
      <c r="G52" s="193">
        <v>1.1999999999999999E-3</v>
      </c>
    </row>
    <row r="53" spans="6:7" x14ac:dyDescent="0.25">
      <c r="F53" s="192">
        <v>47</v>
      </c>
      <c r="G53" s="193">
        <v>1.1999999999999999E-3</v>
      </c>
    </row>
    <row r="54" spans="6:7" x14ac:dyDescent="0.25">
      <c r="F54" s="192">
        <v>48</v>
      </c>
      <c r="G54" s="193">
        <v>1.1999999999999999E-3</v>
      </c>
    </row>
    <row r="55" spans="6:7" x14ac:dyDescent="0.25">
      <c r="F55" s="192">
        <v>49</v>
      </c>
      <c r="G55" s="193">
        <v>1.1000000000000001E-3</v>
      </c>
    </row>
    <row r="56" spans="6:7" x14ac:dyDescent="0.25">
      <c r="F56" s="192">
        <v>50</v>
      </c>
      <c r="G56" s="193">
        <v>1.1000000000000001E-3</v>
      </c>
    </row>
    <row r="57" spans="6:7" x14ac:dyDescent="0.25">
      <c r="F57" s="192">
        <v>51</v>
      </c>
      <c r="G57" s="193">
        <v>1.1000000000000001E-3</v>
      </c>
    </row>
    <row r="58" spans="6:7" x14ac:dyDescent="0.25">
      <c r="F58" s="192">
        <v>52</v>
      </c>
      <c r="G58" s="193">
        <v>1.1000000000000001E-3</v>
      </c>
    </row>
    <row r="59" spans="6:7" x14ac:dyDescent="0.25">
      <c r="F59" s="192">
        <v>53</v>
      </c>
      <c r="G59" s="193">
        <v>1.1000000000000001E-3</v>
      </c>
    </row>
    <row r="60" spans="6:7" x14ac:dyDescent="0.25">
      <c r="F60" s="192">
        <v>54</v>
      </c>
      <c r="G60" s="193">
        <v>1.1000000000000001E-3</v>
      </c>
    </row>
    <row r="61" spans="6:7" x14ac:dyDescent="0.25">
      <c r="F61" s="192">
        <v>55</v>
      </c>
      <c r="G61" s="193">
        <v>1E-3</v>
      </c>
    </row>
    <row r="62" spans="6:7" x14ac:dyDescent="0.25">
      <c r="F62" s="192">
        <v>56</v>
      </c>
      <c r="G62" s="193">
        <v>1E-3</v>
      </c>
    </row>
    <row r="63" spans="6:7" x14ac:dyDescent="0.25">
      <c r="F63" s="192">
        <v>57</v>
      </c>
      <c r="G63" s="193">
        <v>1E-3</v>
      </c>
    </row>
    <row r="64" spans="6:7" x14ac:dyDescent="0.25">
      <c r="F64" s="192">
        <v>58</v>
      </c>
      <c r="G64" s="193">
        <v>1E-3</v>
      </c>
    </row>
    <row r="65" spans="6:7" x14ac:dyDescent="0.25">
      <c r="F65" s="192">
        <v>59</v>
      </c>
      <c r="G65" s="193">
        <v>1E-3</v>
      </c>
    </row>
    <row r="66" spans="6:7" x14ac:dyDescent="0.25">
      <c r="F66" s="192">
        <v>60</v>
      </c>
      <c r="G66" s="193">
        <v>1E-3</v>
      </c>
    </row>
    <row r="67" spans="6:7" x14ac:dyDescent="0.25">
      <c r="F67" s="192">
        <v>61</v>
      </c>
      <c r="G67" s="193">
        <v>8.9999999999999998E-4</v>
      </c>
    </row>
    <row r="68" spans="6:7" x14ac:dyDescent="0.25">
      <c r="F68" s="192">
        <v>62</v>
      </c>
      <c r="G68" s="193">
        <v>8.9999999999999998E-4</v>
      </c>
    </row>
    <row r="69" spans="6:7" x14ac:dyDescent="0.25">
      <c r="F69" s="192">
        <v>63</v>
      </c>
      <c r="G69" s="193">
        <v>8.9999999999999998E-4</v>
      </c>
    </row>
    <row r="70" spans="6:7" x14ac:dyDescent="0.25">
      <c r="F70" s="192">
        <v>64</v>
      </c>
      <c r="G70" s="193">
        <v>8.9999999999999998E-4</v>
      </c>
    </row>
    <row r="71" spans="6:7" x14ac:dyDescent="0.25">
      <c r="F71" s="192">
        <v>65</v>
      </c>
      <c r="G71" s="193">
        <v>8.9999999999999998E-4</v>
      </c>
    </row>
    <row r="72" spans="6:7" x14ac:dyDescent="0.25">
      <c r="F72" s="192">
        <v>66</v>
      </c>
      <c r="G72" s="193">
        <v>8.9999999999999998E-4</v>
      </c>
    </row>
    <row r="73" spans="6:7" x14ac:dyDescent="0.25">
      <c r="F73" s="192">
        <v>67</v>
      </c>
      <c r="G73" s="193">
        <v>8.9999999999999998E-4</v>
      </c>
    </row>
    <row r="74" spans="6:7" x14ac:dyDescent="0.25">
      <c r="F74" s="192">
        <v>68</v>
      </c>
      <c r="G74" s="193">
        <v>8.9999999999999998E-4</v>
      </c>
    </row>
    <row r="75" spans="6:7" x14ac:dyDescent="0.25">
      <c r="F75" s="192">
        <v>69</v>
      </c>
      <c r="G75" s="193">
        <v>8.9999999999999998E-4</v>
      </c>
    </row>
    <row r="76" spans="6:7" x14ac:dyDescent="0.25">
      <c r="F76" s="192">
        <v>70</v>
      </c>
      <c r="G76" s="193">
        <v>8.0000000000000004E-4</v>
      </c>
    </row>
    <row r="77" spans="6:7" x14ac:dyDescent="0.25">
      <c r="F77" s="192">
        <v>71</v>
      </c>
      <c r="G77" s="193">
        <v>8.0000000000000004E-4</v>
      </c>
    </row>
    <row r="78" spans="6:7" x14ac:dyDescent="0.25">
      <c r="F78" s="192">
        <v>72</v>
      </c>
      <c r="G78" s="193">
        <v>8.0000000000000004E-4</v>
      </c>
    </row>
    <row r="79" spans="6:7" x14ac:dyDescent="0.25">
      <c r="F79" s="192">
        <v>73</v>
      </c>
      <c r="G79" s="193">
        <v>8.0000000000000004E-4</v>
      </c>
    </row>
    <row r="80" spans="6:7" x14ac:dyDescent="0.25">
      <c r="F80" s="192">
        <v>74</v>
      </c>
      <c r="G80" s="193">
        <v>8.0000000000000004E-4</v>
      </c>
    </row>
    <row r="81" spans="6:7" x14ac:dyDescent="0.25">
      <c r="F81" s="192">
        <v>75</v>
      </c>
      <c r="G81" s="193">
        <v>8.0000000000000004E-4</v>
      </c>
    </row>
    <row r="82" spans="6:7" x14ac:dyDescent="0.25">
      <c r="F82" s="192">
        <v>76</v>
      </c>
      <c r="G82" s="193">
        <v>8.0000000000000004E-4</v>
      </c>
    </row>
    <row r="83" spans="6:7" x14ac:dyDescent="0.25">
      <c r="F83" s="192">
        <v>77</v>
      </c>
      <c r="G83" s="193">
        <v>8.0000000000000004E-4</v>
      </c>
    </row>
    <row r="84" spans="6:7" x14ac:dyDescent="0.25">
      <c r="F84" s="192">
        <v>78</v>
      </c>
      <c r="G84" s="193">
        <v>8.0000000000000004E-4</v>
      </c>
    </row>
    <row r="85" spans="6:7" x14ac:dyDescent="0.25">
      <c r="F85" s="192">
        <v>79</v>
      </c>
      <c r="G85" s="193">
        <v>6.9999999999999999E-4</v>
      </c>
    </row>
    <row r="86" spans="6:7" x14ac:dyDescent="0.25">
      <c r="F86" s="192">
        <v>80</v>
      </c>
      <c r="G86" s="193">
        <v>6.9999999999999999E-4</v>
      </c>
    </row>
    <row r="87" spans="6:7" x14ac:dyDescent="0.25">
      <c r="F87" s="192">
        <v>81</v>
      </c>
      <c r="G87" s="193">
        <v>6.9999999999999999E-4</v>
      </c>
    </row>
    <row r="88" spans="6:7" x14ac:dyDescent="0.25">
      <c r="F88" s="192">
        <v>82</v>
      </c>
      <c r="G88" s="193">
        <v>6.9999999999999999E-4</v>
      </c>
    </row>
    <row r="89" spans="6:7" x14ac:dyDescent="0.25">
      <c r="F89" s="192">
        <v>83</v>
      </c>
      <c r="G89" s="193">
        <v>6.9999999999999999E-4</v>
      </c>
    </row>
    <row r="90" spans="6:7" x14ac:dyDescent="0.25">
      <c r="F90" s="192">
        <v>84</v>
      </c>
      <c r="G90" s="193">
        <v>6.9999999999999999E-4</v>
      </c>
    </row>
    <row r="91" spans="6:7" x14ac:dyDescent="0.25">
      <c r="F91" s="192">
        <v>85</v>
      </c>
      <c r="G91" s="193">
        <v>6.9999999999999999E-4</v>
      </c>
    </row>
    <row r="92" spans="6:7" x14ac:dyDescent="0.25">
      <c r="F92" s="192">
        <v>86</v>
      </c>
      <c r="G92" s="193">
        <v>6.9999999999999999E-4</v>
      </c>
    </row>
    <row r="93" spans="6:7" x14ac:dyDescent="0.25">
      <c r="F93" s="192">
        <v>87</v>
      </c>
      <c r="G93" s="193">
        <v>6.9999999999999999E-4</v>
      </c>
    </row>
    <row r="94" spans="6:7" x14ac:dyDescent="0.25">
      <c r="F94" s="192">
        <v>88</v>
      </c>
      <c r="G94" s="193">
        <v>6.9999999999999999E-4</v>
      </c>
    </row>
    <row r="95" spans="6:7" x14ac:dyDescent="0.25">
      <c r="F95" s="192">
        <v>89</v>
      </c>
      <c r="G95" s="193">
        <v>6.9999999999999999E-4</v>
      </c>
    </row>
    <row r="96" spans="6:7" x14ac:dyDescent="0.25">
      <c r="F96" s="192">
        <v>90</v>
      </c>
      <c r="G96" s="193">
        <v>6.9999999999999999E-4</v>
      </c>
    </row>
    <row r="97" spans="6:7" x14ac:dyDescent="0.25">
      <c r="F97" s="192">
        <v>91</v>
      </c>
      <c r="G97" s="193">
        <v>5.9999999999999995E-4</v>
      </c>
    </row>
    <row r="98" spans="6:7" x14ac:dyDescent="0.25">
      <c r="F98" s="192">
        <v>92</v>
      </c>
      <c r="G98" s="193">
        <v>5.9999999999999995E-4</v>
      </c>
    </row>
    <row r="99" spans="6:7" x14ac:dyDescent="0.25">
      <c r="F99" s="192">
        <v>93</v>
      </c>
      <c r="G99" s="193">
        <v>5.9999999999999995E-4</v>
      </c>
    </row>
    <row r="100" spans="6:7" x14ac:dyDescent="0.25">
      <c r="F100" s="192">
        <v>84</v>
      </c>
      <c r="G100" s="193">
        <v>5.9999999999999995E-4</v>
      </c>
    </row>
    <row r="101" spans="6:7" x14ac:dyDescent="0.25">
      <c r="F101" s="192">
        <v>94</v>
      </c>
      <c r="G101" s="193">
        <v>5.9999999999999995E-4</v>
      </c>
    </row>
    <row r="102" spans="6:7" x14ac:dyDescent="0.25">
      <c r="F102" s="192">
        <v>95</v>
      </c>
      <c r="G102" s="193">
        <v>5.9999999999999995E-4</v>
      </c>
    </row>
    <row r="103" spans="6:7" x14ac:dyDescent="0.25">
      <c r="F103" s="192">
        <v>96</v>
      </c>
      <c r="G103" s="193">
        <v>5.9999999999999995E-4</v>
      </c>
    </row>
    <row r="104" spans="6:7" x14ac:dyDescent="0.25">
      <c r="F104" s="192">
        <v>97</v>
      </c>
      <c r="G104" s="193">
        <v>5.9999999999999995E-4</v>
      </c>
    </row>
    <row r="105" spans="6:7" x14ac:dyDescent="0.25">
      <c r="F105" s="192">
        <v>98</v>
      </c>
      <c r="G105" s="193">
        <v>5.9999999999999995E-4</v>
      </c>
    </row>
    <row r="106" spans="6:7" x14ac:dyDescent="0.25">
      <c r="F106" s="192">
        <v>99</v>
      </c>
      <c r="G106" s="193">
        <v>5.9999999999999995E-4</v>
      </c>
    </row>
    <row r="107" spans="6:7" x14ac:dyDescent="0.25">
      <c r="F107" s="192">
        <v>100</v>
      </c>
      <c r="G107" s="193">
        <v>5.9999999999999995E-4</v>
      </c>
    </row>
    <row r="108" spans="6:7" x14ac:dyDescent="0.25">
      <c r="F108" s="192">
        <v>101</v>
      </c>
      <c r="G108" s="193">
        <v>5.9999999999999995E-4</v>
      </c>
    </row>
    <row r="109" spans="6:7" x14ac:dyDescent="0.25">
      <c r="F109" s="192">
        <v>102</v>
      </c>
      <c r="G109" s="193">
        <v>5.9999999999999995E-4</v>
      </c>
    </row>
    <row r="110" spans="6:7" x14ac:dyDescent="0.25">
      <c r="F110" s="192">
        <v>103</v>
      </c>
      <c r="G110" s="193">
        <v>5.0000000000000001E-4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447D-A447-49E9-8681-D999CD40F278}">
  <sheetPr>
    <pageSetUpPr fitToPage="1"/>
  </sheetPr>
  <dimension ref="A1:BL437"/>
  <sheetViews>
    <sheetView showGridLines="0" zoomScaleNormal="100" workbookViewId="0">
      <selection activeCell="A14" sqref="A14:F14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4" width="19.28515625" style="21" customWidth="1"/>
    <col min="5" max="5" width="19" style="21" customWidth="1"/>
    <col min="6" max="6" width="17.42578125" style="21" customWidth="1"/>
    <col min="7" max="7" width="16.7109375" style="21" hidden="1" customWidth="1"/>
    <col min="8" max="8" width="9.140625" style="2" hidden="1" customWidth="1"/>
    <col min="9" max="9" width="12.8554687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6.5703125" style="2" hidden="1" customWidth="1"/>
    <col min="31" max="31" width="16.85546875" style="2" hidden="1" customWidth="1"/>
    <col min="32" max="32" width="15.71093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6" width="9.140625" style="2" hidden="1" customWidth="1"/>
    <col min="37" max="37" width="18.28515625" style="2" hidden="1" customWidth="1"/>
    <col min="38" max="38" width="9.140625" style="2" hidden="1" customWidth="1"/>
    <col min="39" max="40" width="14" style="2" hidden="1" customWidth="1"/>
    <col min="41" max="41" width="17.140625" style="2" hidden="1" customWidth="1"/>
    <col min="42" max="42" width="11.5703125" style="2" hidden="1" customWidth="1"/>
    <col min="43" max="43" width="11.7109375" style="2" hidden="1" customWidth="1"/>
    <col min="44" max="44" width="9.140625" style="2" hidden="1" customWidth="1"/>
    <col min="45" max="45" width="12.5703125" style="2" hidden="1" customWidth="1"/>
    <col min="46" max="46" width="9.140625" style="2" hidden="1" customWidth="1"/>
    <col min="47" max="47" width="13.28515625" style="2" hidden="1" customWidth="1"/>
    <col min="48" max="64" width="9.140625" style="2" hidden="1" customWidth="1"/>
    <col min="65" max="71" width="9.140625" style="2" customWidth="1"/>
    <col min="72" max="16384" width="9.140625" style="2"/>
  </cols>
  <sheetData>
    <row r="1" spans="1:42" ht="64.5" customHeight="1" x14ac:dyDescent="0.25">
      <c r="A1" s="227" t="s">
        <v>59</v>
      </c>
      <c r="B1" s="227"/>
      <c r="C1" s="227"/>
      <c r="D1" s="227"/>
      <c r="E1" s="227"/>
      <c r="F1" s="228"/>
      <c r="G1" s="2"/>
      <c r="AA1" s="2">
        <v>1</v>
      </c>
      <c r="AB1" s="2">
        <v>1</v>
      </c>
    </row>
    <row r="2" spans="1:42" ht="39" customHeight="1" x14ac:dyDescent="0.25">
      <c r="A2" s="225" t="s">
        <v>57</v>
      </c>
      <c r="B2" s="225"/>
      <c r="C2" s="225"/>
      <c r="D2" s="225"/>
      <c r="E2" s="225"/>
      <c r="F2" s="226"/>
      <c r="G2" s="2"/>
      <c r="H2" s="11"/>
    </row>
    <row r="3" spans="1:42" ht="27.75" customHeight="1" x14ac:dyDescent="0.25">
      <c r="A3" s="240" t="s">
        <v>181</v>
      </c>
      <c r="B3" s="240"/>
      <c r="C3" s="240"/>
      <c r="D3" s="240"/>
      <c r="E3" s="240"/>
      <c r="F3" s="241"/>
      <c r="G3" s="2"/>
      <c r="AA3" s="2" t="s">
        <v>37</v>
      </c>
      <c r="AB3" s="2" t="s">
        <v>38</v>
      </c>
    </row>
    <row r="4" spans="1:42" ht="17.25" customHeight="1" x14ac:dyDescent="0.25">
      <c r="A4" s="54" t="s">
        <v>0</v>
      </c>
      <c r="B4" s="38"/>
      <c r="C4" s="55"/>
      <c r="D4" s="31"/>
      <c r="E4" s="54"/>
      <c r="F4" s="127"/>
      <c r="G4" s="2"/>
      <c r="I4" s="84"/>
      <c r="J4" s="2">
        <v>1</v>
      </c>
      <c r="K4" s="2">
        <v>1</v>
      </c>
      <c r="N4" s="7" t="s">
        <v>0</v>
      </c>
      <c r="O4" s="7" t="s">
        <v>1</v>
      </c>
      <c r="P4" s="7" t="s">
        <v>55</v>
      </c>
      <c r="Q4" s="7" t="s">
        <v>2</v>
      </c>
      <c r="R4" s="7" t="s">
        <v>3</v>
      </c>
      <c r="S4" s="7" t="s">
        <v>5</v>
      </c>
      <c r="T4" s="7" t="s">
        <v>9</v>
      </c>
      <c r="U4" s="7" t="s">
        <v>8</v>
      </c>
      <c r="V4" s="7" t="s">
        <v>25</v>
      </c>
      <c r="AA4" s="2" t="s">
        <v>41</v>
      </c>
      <c r="AB4" s="2" t="s">
        <v>41</v>
      </c>
    </row>
    <row r="5" spans="1:42" ht="17.25" hidden="1" customHeight="1" x14ac:dyDescent="0.25">
      <c r="A5" s="31"/>
      <c r="B5" s="38"/>
      <c r="C5" s="31"/>
      <c r="D5" s="31"/>
      <c r="E5" s="31"/>
      <c r="F5" s="57"/>
      <c r="G5" s="58"/>
      <c r="N5" s="2" t="s">
        <v>158</v>
      </c>
      <c r="O5" s="12">
        <v>1.69</v>
      </c>
      <c r="P5" s="2">
        <v>0</v>
      </c>
      <c r="Q5" s="2">
        <v>1.69</v>
      </c>
      <c r="R5" s="2">
        <f>Q5</f>
        <v>1.69</v>
      </c>
      <c r="S5" s="2">
        <v>24</v>
      </c>
      <c r="T5" s="2">
        <v>3</v>
      </c>
      <c r="U5" s="4">
        <v>21000</v>
      </c>
      <c r="V5" s="2" t="s">
        <v>74</v>
      </c>
      <c r="AA5" s="2" t="s">
        <v>42</v>
      </c>
      <c r="AB5" s="2" t="s">
        <v>42</v>
      </c>
    </row>
    <row r="6" spans="1:42" ht="17.25" hidden="1" customHeight="1" x14ac:dyDescent="0.3">
      <c r="A6" s="31"/>
      <c r="B6" s="59"/>
      <c r="C6" s="60">
        <f>IF(AND(J4=1,K4=1),Q5,IF(AND(J4=1,K4=2),R5,IF(AND(J4=1,K4=3),P5,"-")))</f>
        <v>1.69</v>
      </c>
      <c r="D6" s="57"/>
      <c r="E6" s="57"/>
      <c r="F6" s="57"/>
      <c r="G6" s="58"/>
      <c r="N6" s="2" t="s">
        <v>160</v>
      </c>
      <c r="O6" s="2">
        <v>1.69</v>
      </c>
      <c r="P6" s="2">
        <v>0</v>
      </c>
      <c r="Q6" s="2">
        <v>0</v>
      </c>
      <c r="R6" s="2">
        <v>0</v>
      </c>
      <c r="S6" s="2">
        <v>24</v>
      </c>
      <c r="T6" s="2">
        <v>3</v>
      </c>
      <c r="U6" s="9">
        <v>21000</v>
      </c>
      <c r="V6" s="2" t="s">
        <v>75</v>
      </c>
    </row>
    <row r="7" spans="1:42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2" t="s">
        <v>159</v>
      </c>
      <c r="O7" s="2">
        <v>1.69</v>
      </c>
      <c r="P7" s="2">
        <v>0</v>
      </c>
      <c r="Q7" s="2">
        <v>0</v>
      </c>
      <c r="R7" s="2">
        <v>0</v>
      </c>
      <c r="S7" s="2">
        <v>24</v>
      </c>
      <c r="T7" s="2">
        <v>3</v>
      </c>
      <c r="U7" s="9">
        <v>21000</v>
      </c>
      <c r="V7" s="2" t="s">
        <v>66</v>
      </c>
    </row>
    <row r="8" spans="1:42" ht="17.25" hidden="1" customHeight="1" x14ac:dyDescent="0.3">
      <c r="A8" s="31"/>
      <c r="B8" s="61"/>
      <c r="C8" s="60" t="str">
        <f>IF(AND(J4=3,K4=1),Q7,IF(AND(J4=3,K4=2),R7,IF(AND(J4=3,K4=3),P7,"-")))</f>
        <v>-</v>
      </c>
      <c r="D8" s="57"/>
      <c r="E8" s="57"/>
      <c r="F8" s="57"/>
      <c r="G8" s="58"/>
      <c r="N8" s="2" t="s">
        <v>72</v>
      </c>
      <c r="O8" s="2">
        <v>1.9</v>
      </c>
      <c r="P8" s="2">
        <v>0</v>
      </c>
      <c r="Q8" s="2">
        <v>1.47</v>
      </c>
      <c r="R8" s="2">
        <f t="shared" ref="R8:R11" si="0">Q8</f>
        <v>1.47</v>
      </c>
      <c r="S8" s="2">
        <v>36</v>
      </c>
      <c r="T8" s="2">
        <v>3</v>
      </c>
      <c r="U8" s="9">
        <v>300000</v>
      </c>
    </row>
    <row r="9" spans="1:42" ht="17.25" hidden="1" customHeight="1" x14ac:dyDescent="0.3">
      <c r="A9" s="31"/>
      <c r="B9" s="61"/>
      <c r="C9" s="60" t="str">
        <f>IF(AND(J4=4,K4=1),Q8,IF(AND(J4=4,K4=2),R8,IF(AND(J4=4,K4=3),P8,"-")))</f>
        <v>-</v>
      </c>
      <c r="D9" s="57"/>
      <c r="E9" s="57"/>
      <c r="F9" s="57"/>
      <c r="G9" s="58"/>
      <c r="N9" s="2" t="s">
        <v>21</v>
      </c>
      <c r="O9" s="2">
        <v>1.9</v>
      </c>
      <c r="P9" s="2">
        <v>0</v>
      </c>
      <c r="Q9" s="2">
        <v>1.47</v>
      </c>
      <c r="R9" s="2">
        <f t="shared" si="0"/>
        <v>1.47</v>
      </c>
      <c r="S9" s="2">
        <v>36</v>
      </c>
      <c r="T9" s="2">
        <v>3</v>
      </c>
      <c r="U9" s="9">
        <v>300000</v>
      </c>
    </row>
    <row r="10" spans="1:42" ht="17.25" hidden="1" customHeight="1" x14ac:dyDescent="0.3">
      <c r="A10" s="31"/>
      <c r="B10" s="61"/>
      <c r="C10" s="60" t="str">
        <f>IF(AND(J4=5,K4=1),Q9,IF(AND(J4=5,K4=2),R9,IF(AND(J4=5,K4=3),P9,"-")))</f>
        <v>-</v>
      </c>
      <c r="D10" s="57"/>
      <c r="E10" s="57"/>
      <c r="F10" s="57"/>
      <c r="G10" s="58"/>
      <c r="N10" s="21" t="s">
        <v>26</v>
      </c>
      <c r="O10" s="2">
        <v>2.0499999999999998</v>
      </c>
      <c r="P10" s="2">
        <v>0</v>
      </c>
      <c r="Q10" s="2">
        <v>1.58</v>
      </c>
      <c r="R10" s="2">
        <f t="shared" si="0"/>
        <v>1.58</v>
      </c>
      <c r="S10" s="2">
        <v>36</v>
      </c>
      <c r="T10" s="2">
        <v>3</v>
      </c>
      <c r="U10" s="9">
        <v>300000</v>
      </c>
    </row>
    <row r="11" spans="1:42" ht="17.25" hidden="1" customHeight="1" x14ac:dyDescent="0.3">
      <c r="A11" s="31"/>
      <c r="B11" s="61"/>
      <c r="C11" s="62" t="str">
        <f>IF(AND(J4=6,K4=1),Q10,IF(AND(J4=6,K4=2),R10,IF(AND(J4=6,K4=3),P10,"-")))</f>
        <v>-</v>
      </c>
      <c r="D11" s="57"/>
      <c r="E11" s="57"/>
      <c r="F11" s="57"/>
      <c r="G11" s="58"/>
      <c r="N11" s="21" t="s">
        <v>76</v>
      </c>
      <c r="O11" s="21">
        <v>1.82</v>
      </c>
      <c r="P11" s="21">
        <v>1.5</v>
      </c>
      <c r="Q11" s="21">
        <v>1.5</v>
      </c>
      <c r="R11" s="12">
        <f t="shared" si="0"/>
        <v>1.5</v>
      </c>
      <c r="S11" s="21">
        <v>36</v>
      </c>
      <c r="T11" s="21">
        <v>3</v>
      </c>
      <c r="U11" s="22">
        <v>21000</v>
      </c>
    </row>
    <row r="12" spans="1:42" ht="16.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</row>
    <row r="13" spans="1:42" ht="17.25" hidden="1" customHeight="1" x14ac:dyDescent="0.25">
      <c r="B13" s="21"/>
      <c r="K13" s="2" t="s">
        <v>157</v>
      </c>
    </row>
    <row r="14" spans="1:42" ht="28.5" customHeight="1" x14ac:dyDescent="0.35">
      <c r="A14" s="237" t="s">
        <v>17</v>
      </c>
      <c r="B14" s="238"/>
      <c r="C14" s="238"/>
      <c r="D14" s="238"/>
      <c r="E14" s="238"/>
      <c r="F14" s="239"/>
      <c r="G14" s="2"/>
      <c r="I14" s="84">
        <f>IF(B15&lt;=5000,IF(AND(B15&lt;=5000,J21=TRUE),D15,0),0.0169)</f>
        <v>1.6899999999999998E-2</v>
      </c>
    </row>
    <row r="15" spans="1:42" ht="35.25" customHeight="1" x14ac:dyDescent="0.25">
      <c r="A15" s="34" t="s">
        <v>10</v>
      </c>
      <c r="B15" s="150">
        <v>5000</v>
      </c>
      <c r="C15" s="63" t="s">
        <v>49</v>
      </c>
      <c r="D15" s="152">
        <f>IF(J4=1,O5,IF(J4=2,O6,IF(J4=3,O7,IF(J4=4,O8,IF(J4=5,O9,IF(J4=6,O10,IF(J4=7,O11)))))))/100</f>
        <v>1.6899999999999998E-2</v>
      </c>
      <c r="E15" s="144"/>
      <c r="F15" s="176">
        <f>IF(B15&lt;=3000,50,IF(B15&lt;=21000,IF(B15*0.03&lt;=420,B15*0.03,420),IF(B15&lt;=100000,B15*0.02,2000+B15*0.005)))</f>
        <v>150</v>
      </c>
      <c r="H15"/>
      <c r="I15" s="90">
        <f>IF(B15&lt;=3000,50,IF(B15&lt;=21000,IF(B15*0.03&lt;=420,B15*0.03,420),IF(B15&lt;=100000,B15*0.02,2000+B15*0.005)))</f>
        <v>150</v>
      </c>
      <c r="J15" s="2">
        <v>4</v>
      </c>
      <c r="K15"/>
      <c r="L15" s="7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42" ht="35.25" customHeight="1" x14ac:dyDescent="0.25">
      <c r="A16" s="35" t="s">
        <v>6</v>
      </c>
      <c r="B16" s="133">
        <v>6</v>
      </c>
      <c r="C16" s="64" t="s">
        <v>52</v>
      </c>
      <c r="D16" s="152">
        <f>IF(B15&lt;=5000,IF(AND(B15&lt;=5000,J21=TRUE),D15,0),0.0169)</f>
        <v>1.6899999999999998E-2</v>
      </c>
      <c r="E16" s="51"/>
      <c r="F16" s="177">
        <f ca="1">AF24</f>
        <v>42.906500000000008</v>
      </c>
      <c r="H16"/>
      <c r="I16">
        <f>IF(B15*0.03&lt;=420,B15*0.03,420)</f>
        <v>150</v>
      </c>
      <c r="J16" s="2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P16" s="2">
        <v>36</v>
      </c>
    </row>
    <row r="17" spans="1:47" ht="35.25" customHeight="1" x14ac:dyDescent="0.25">
      <c r="A17" s="35" t="s">
        <v>22</v>
      </c>
      <c r="B17" s="133">
        <v>36</v>
      </c>
      <c r="C17" s="34" t="s">
        <v>11</v>
      </c>
      <c r="D17" s="147">
        <f ca="1">TODAY()</f>
        <v>46240</v>
      </c>
      <c r="E17" s="120"/>
      <c r="F17" s="187">
        <f>IF(B15&gt;5000,IF(B15&gt;5000,IF(K4=1,(B15*E19*0.001*B17),IF(K4=2,(F19*0.001*B17),IF(K4=3,0,""))),0),IF(J21=TRUE,IF(K4=1,(B15*E19*0.001*B17),IF(K4=2,(F19*0.001*B17),IF(K4=3,0,""))),0))</f>
        <v>180</v>
      </c>
      <c r="G17" s="204"/>
      <c r="H17"/>
      <c r="I17"/>
      <c r="J17" s="2" t="s">
        <v>41</v>
      </c>
      <c r="K17"/>
      <c r="L17" t="b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47" ht="23.25" customHeight="1" x14ac:dyDescent="0.25">
      <c r="A18" s="124" t="s">
        <v>65</v>
      </c>
      <c r="B18" s="124"/>
      <c r="C18" s="125"/>
      <c r="D18" s="125"/>
      <c r="E18" s="126"/>
      <c r="F18" s="126"/>
      <c r="H18"/>
      <c r="I18"/>
      <c r="J18" s="2" t="s">
        <v>42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47" ht="34.5" customHeight="1" x14ac:dyDescent="0.25">
      <c r="A19" s="34" t="s">
        <v>63</v>
      </c>
      <c r="B19" s="43">
        <f>IF(LARGE(F23:F241,1)*3&lt;2424,2424,LARGE(F23:F241,1)*3)</f>
        <v>2424</v>
      </c>
      <c r="C19" s="42" t="s">
        <v>64</v>
      </c>
      <c r="D19" s="43">
        <f>IF(J21=TRUE,(B15-F19)*1.5/0.7,B15*1.5/0.7)</f>
        <v>0</v>
      </c>
      <c r="E19" s="188">
        <v>1</v>
      </c>
      <c r="F19" s="165">
        <f>IF(F17&lt;&gt;0,IF(K4=1,(B15*E19),IF(K4=2,B15*E19,IF(K4=3,0,""))),0)</f>
        <v>5000</v>
      </c>
      <c r="H19"/>
      <c r="I19"/>
      <c r="J19" t="s">
        <v>68</v>
      </c>
      <c r="K19"/>
      <c r="L19" s="2" t="b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5"/>
    </row>
    <row r="20" spans="1:47" s="25" customFormat="1" ht="23.25" x14ac:dyDescent="0.25">
      <c r="A20" s="229" t="s">
        <v>31</v>
      </c>
      <c r="B20" s="230"/>
      <c r="C20" s="230"/>
      <c r="D20" s="230"/>
      <c r="E20" s="230"/>
      <c r="F20" s="231"/>
      <c r="G20" s="21"/>
      <c r="J20" s="25" t="s">
        <v>42</v>
      </c>
      <c r="AK20" s="26"/>
      <c r="AM20" s="205">
        <f>IRR(AM23:AM47)</f>
        <v>-5.9870182396352112E-3</v>
      </c>
      <c r="AN20" s="205"/>
    </row>
    <row r="21" spans="1:47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56</v>
      </c>
      <c r="J21" s="2" t="b">
        <v>1</v>
      </c>
      <c r="AB21" s="232" t="s">
        <v>45</v>
      </c>
      <c r="AC21" s="232"/>
      <c r="AD21" s="232"/>
      <c r="AE21" s="232"/>
      <c r="AF21" s="232"/>
      <c r="AG21" s="232"/>
    </row>
    <row r="22" spans="1:47" ht="18.75" x14ac:dyDescent="0.25">
      <c r="A22" s="235" t="s">
        <v>60</v>
      </c>
      <c r="B22" s="236"/>
      <c r="C22" s="169">
        <f>SUM(C23:C242)</f>
        <v>1816.7668999999996</v>
      </c>
      <c r="D22" s="169">
        <f>SUM(D23:D242)</f>
        <v>5000</v>
      </c>
      <c r="E22" s="234"/>
      <c r="F22" s="169">
        <f>SUM(F23:F242)</f>
        <v>6816.7499999999991</v>
      </c>
      <c r="AB22" s="232"/>
      <c r="AC22" s="232"/>
      <c r="AD22" s="232"/>
      <c r="AE22" s="232"/>
      <c r="AF22" s="232"/>
      <c r="AG22" s="232"/>
    </row>
    <row r="23" spans="1:47" x14ac:dyDescent="0.25">
      <c r="A23" s="68">
        <v>0</v>
      </c>
      <c r="B23" s="68"/>
      <c r="C23" s="166">
        <f>D16</f>
        <v>1.6899999999999998E-2</v>
      </c>
      <c r="D23" s="156"/>
      <c r="E23" s="162">
        <f>IF(AND(AA1=1,AB1=1,J16=1),B15,IF(AND(AA1=1,AB1=1,J16=2),B15+F17,IF(AND(AA1=1,AB1=2,J16=1),B15+F16,IF(AND(AA1=1,AB1=2,J16=3),B15+F16,IF(AND(AA1=2,AB1=1,J16=1),B15+F15,IF(AND(AA1=2,AB1=1,J16=2),B15+F15+F17,IF(AND(AA1=2,AB1=2,J16=2),B15+F17+F16+F15,IF(AND(AA1=2,AB1=2,J16=3),B15+F15+F16,IF(AND(AA1=2,AB1=2,J16=1),B15+F15+F16,IF(AND(AA1=1,AB1=2,J16=2),B15+F16+F17, IF(AND(AA1=1,AB1=1,J16=3),B15)))))))))))</f>
        <v>5000</v>
      </c>
      <c r="F23" s="163"/>
      <c r="G23" s="67"/>
      <c r="AB23" s="232"/>
      <c r="AC23" s="232"/>
      <c r="AD23" s="232"/>
      <c r="AE23" s="232"/>
      <c r="AF23" s="232"/>
      <c r="AG23" s="232"/>
      <c r="AM23" s="190">
        <f>-B15</f>
        <v>-5000</v>
      </c>
      <c r="AN23" s="190"/>
    </row>
    <row r="24" spans="1:47" x14ac:dyDescent="0.25">
      <c r="A24" s="68">
        <f t="shared" ref="A24:A71" si="1">IF(A23&lt;B$17,A23+1,"")</f>
        <v>1</v>
      </c>
      <c r="B24" s="68" t="str">
        <f t="shared" ref="B24:B71" si="2">IF(A24="","",IF(A24&lt;=B$16,"carência","amortização"))</f>
        <v>carência</v>
      </c>
      <c r="C24" s="156">
        <f>IF(B24="","",E23*$C$23)</f>
        <v>84.499999999999986</v>
      </c>
      <c r="D24" s="156">
        <f t="shared" ref="D24:D35" si="3">IF(C24="","",IF(A24&lt;=B$16,0,B$15/(B$17-B$16)))</f>
        <v>0</v>
      </c>
      <c r="E24" s="162">
        <f t="shared" ref="E24:E71" si="4">IF(F24="","",E23-D24)</f>
        <v>5000</v>
      </c>
      <c r="F24" s="156">
        <f t="shared" ref="F24:F71" si="5">IF(D24="","",D24+C24)</f>
        <v>84.499999999999986</v>
      </c>
      <c r="G24" s="67"/>
      <c r="AB24" s="2" t="s">
        <v>38</v>
      </c>
      <c r="AC24" s="6">
        <v>3.8E-3</v>
      </c>
      <c r="AE24" s="13">
        <f>AC27*AC24</f>
        <v>19</v>
      </c>
      <c r="AF24" s="13">
        <f ca="1">IF(L19=FALSE,0,IF(AND(AH25=TRUE,B15&lt;=30000),AE24+AE26,AE24+AE25))</f>
        <v>42.906500000000008</v>
      </c>
      <c r="AM24" s="190">
        <f>F24</f>
        <v>84.499999999999986</v>
      </c>
      <c r="AN24" s="190"/>
    </row>
    <row r="25" spans="1:47" x14ac:dyDescent="0.25">
      <c r="A25" s="68">
        <f t="shared" si="1"/>
        <v>2</v>
      </c>
      <c r="B25" s="68" t="str">
        <f t="shared" si="2"/>
        <v>carência</v>
      </c>
      <c r="C25" s="156">
        <f>IF(B25="","",E24*$C$23)</f>
        <v>84.499999999999986</v>
      </c>
      <c r="D25" s="156">
        <f t="shared" si="3"/>
        <v>0</v>
      </c>
      <c r="E25" s="162">
        <f t="shared" si="4"/>
        <v>5000</v>
      </c>
      <c r="F25" s="156">
        <f t="shared" si="5"/>
        <v>84.499999999999986</v>
      </c>
      <c r="G25" s="67"/>
      <c r="AA25" s="3"/>
      <c r="AB25" s="2" t="s">
        <v>46</v>
      </c>
      <c r="AC25" s="6">
        <v>4.1E-5</v>
      </c>
      <c r="AE25" s="5">
        <f ca="1">SUM(AG30:AG83)</f>
        <v>71.544999999999987</v>
      </c>
      <c r="AG25" s="13"/>
      <c r="AH25" s="14" t="b">
        <v>1</v>
      </c>
      <c r="AM25" s="190">
        <f t="shared" ref="AM25:AM47" si="6">F25</f>
        <v>84.499999999999986</v>
      </c>
      <c r="AN25" s="190"/>
    </row>
    <row r="26" spans="1:47" x14ac:dyDescent="0.25">
      <c r="A26" s="68">
        <f t="shared" si="1"/>
        <v>3</v>
      </c>
      <c r="B26" s="68" t="str">
        <f t="shared" si="2"/>
        <v>carência</v>
      </c>
      <c r="C26" s="156">
        <f t="shared" ref="C26:C71" si="7">IF(B26="","",E25*$C$23)</f>
        <v>84.499999999999986</v>
      </c>
      <c r="D26" s="156">
        <f t="shared" si="3"/>
        <v>0</v>
      </c>
      <c r="E26" s="162">
        <f t="shared" si="4"/>
        <v>5000</v>
      </c>
      <c r="F26" s="156">
        <f t="shared" si="5"/>
        <v>84.499999999999986</v>
      </c>
      <c r="G26" s="67"/>
      <c r="AB26" s="2" t="s">
        <v>51</v>
      </c>
      <c r="AC26" s="24">
        <f>0.00137/100</f>
        <v>1.3699999999999999E-5</v>
      </c>
      <c r="AE26" s="5">
        <f ca="1">SUM(AH30:AH308)</f>
        <v>23.906500000000012</v>
      </c>
      <c r="AM26" s="190">
        <f t="shared" si="6"/>
        <v>84.499999999999986</v>
      </c>
      <c r="AN26" s="190"/>
    </row>
    <row r="27" spans="1:47" x14ac:dyDescent="0.25">
      <c r="A27" s="68">
        <f t="shared" si="1"/>
        <v>4</v>
      </c>
      <c r="B27" s="68" t="str">
        <f t="shared" si="2"/>
        <v>carência</v>
      </c>
      <c r="C27" s="156">
        <f t="shared" si="7"/>
        <v>84.499999999999986</v>
      </c>
      <c r="D27" s="156">
        <f t="shared" si="3"/>
        <v>0</v>
      </c>
      <c r="E27" s="162">
        <f t="shared" si="4"/>
        <v>5000</v>
      </c>
      <c r="F27" s="156">
        <f t="shared" si="5"/>
        <v>84.499999999999986</v>
      </c>
      <c r="G27" s="67"/>
      <c r="AB27" s="2" t="s">
        <v>16</v>
      </c>
      <c r="AC27" s="5">
        <f>B15</f>
        <v>5000</v>
      </c>
      <c r="AG27" s="5"/>
      <c r="AM27" s="190">
        <f t="shared" si="6"/>
        <v>84.499999999999986</v>
      </c>
      <c r="AN27" s="190"/>
      <c r="AP27" s="190">
        <f>F27/0.3</f>
        <v>281.66666666666663</v>
      </c>
      <c r="AQ27" s="190">
        <f>AP27/0.2</f>
        <v>1408.333333333333</v>
      </c>
      <c r="AS27" s="190">
        <f>F27/0.2</f>
        <v>422.49999999999989</v>
      </c>
      <c r="AU27" s="23">
        <v>81000</v>
      </c>
    </row>
    <row r="28" spans="1:47" x14ac:dyDescent="0.25">
      <c r="A28" s="68">
        <f t="shared" si="1"/>
        <v>5</v>
      </c>
      <c r="B28" s="68" t="str">
        <f t="shared" si="2"/>
        <v>carência</v>
      </c>
      <c r="C28" s="156">
        <f t="shared" si="7"/>
        <v>84.499999999999986</v>
      </c>
      <c r="D28" s="156">
        <f t="shared" si="3"/>
        <v>0</v>
      </c>
      <c r="E28" s="162">
        <f t="shared" si="4"/>
        <v>5000</v>
      </c>
      <c r="F28" s="156">
        <f t="shared" si="5"/>
        <v>84.499999999999986</v>
      </c>
      <c r="G28" s="67"/>
      <c r="AG28" s="2" t="s">
        <v>53</v>
      </c>
      <c r="AH28" s="2" t="s">
        <v>54</v>
      </c>
      <c r="AM28" s="190">
        <f t="shared" si="6"/>
        <v>84.499999999999986</v>
      </c>
      <c r="AN28" s="190"/>
      <c r="AU28" s="140">
        <f>AU27/12</f>
        <v>6750</v>
      </c>
    </row>
    <row r="29" spans="1:47" x14ac:dyDescent="0.25">
      <c r="A29" s="68">
        <f t="shared" si="1"/>
        <v>6</v>
      </c>
      <c r="B29" s="68" t="str">
        <f t="shared" si="2"/>
        <v>carência</v>
      </c>
      <c r="C29" s="156">
        <f t="shared" si="7"/>
        <v>84.499999999999986</v>
      </c>
      <c r="D29" s="156">
        <f t="shared" si="3"/>
        <v>0</v>
      </c>
      <c r="E29" s="162">
        <f t="shared" si="4"/>
        <v>5000</v>
      </c>
      <c r="F29" s="156">
        <f t="shared" si="5"/>
        <v>84.499999999999986</v>
      </c>
      <c r="G29" s="67"/>
      <c r="AA29" s="2">
        <v>0</v>
      </c>
      <c r="AB29" s="8">
        <f ca="1">D17</f>
        <v>46240</v>
      </c>
      <c r="AC29" s="9">
        <f ca="1">IF(AB29="","",AC27)</f>
        <v>5000</v>
      </c>
      <c r="AD29" s="9">
        <f>IF(AA29="","",IF(AA29&lt;=B$16,0,B$15/(B$17-B$16)))</f>
        <v>0</v>
      </c>
      <c r="AM29" s="190">
        <f t="shared" si="6"/>
        <v>84.499999999999986</v>
      </c>
      <c r="AN29" s="190"/>
      <c r="AU29" s="207">
        <f>F27/AU28</f>
        <v>1.2518518518518516E-2</v>
      </c>
    </row>
    <row r="30" spans="1:47" x14ac:dyDescent="0.25">
      <c r="A30" s="68">
        <f t="shared" si="1"/>
        <v>7</v>
      </c>
      <c r="B30" s="68" t="str">
        <f t="shared" si="2"/>
        <v>amortização</v>
      </c>
      <c r="C30" s="156">
        <f t="shared" si="7"/>
        <v>84.499999999999986</v>
      </c>
      <c r="D30" s="156">
        <f t="shared" si="3"/>
        <v>166.66666666666666</v>
      </c>
      <c r="E30" s="162">
        <f t="shared" si="4"/>
        <v>4833.333333333333</v>
      </c>
      <c r="F30" s="156">
        <f t="shared" si="5"/>
        <v>251.16666666666663</v>
      </c>
      <c r="G30" s="67"/>
      <c r="AA30" s="2">
        <f>IF(AA29&lt;B$17,AA29+1,"")</f>
        <v>1</v>
      </c>
      <c r="AB30" s="8">
        <f ca="1">IF(AA30="","",AB29+30)</f>
        <v>46270</v>
      </c>
      <c r="AC30" s="9">
        <f ca="1">IF(AB30="","",IF(AA30&lt;=B$16,AC29,AC29-AD30))</f>
        <v>5000</v>
      </c>
      <c r="AD30" s="9">
        <f t="shared" ref="AD30:AD93" si="8">IF(AA30="","",IF(AA30&lt;=B$16,0,B$15/(B$17-B$16)))</f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M30" s="190">
        <f t="shared" si="6"/>
        <v>251.16666666666663</v>
      </c>
      <c r="AN30" s="190">
        <f>F30*12</f>
        <v>3013.9999999999995</v>
      </c>
    </row>
    <row r="31" spans="1:47" x14ac:dyDescent="0.25">
      <c r="A31" s="68">
        <f t="shared" si="1"/>
        <v>8</v>
      </c>
      <c r="B31" s="68" t="str">
        <f t="shared" si="2"/>
        <v>amortização</v>
      </c>
      <c r="C31" s="156">
        <f t="shared" si="7"/>
        <v>81.683333333333323</v>
      </c>
      <c r="D31" s="156">
        <f t="shared" si="3"/>
        <v>166.66666666666666</v>
      </c>
      <c r="E31" s="162">
        <f t="shared" si="4"/>
        <v>4666.6666666666661</v>
      </c>
      <c r="F31" s="156">
        <f t="shared" si="5"/>
        <v>248.34999999999997</v>
      </c>
      <c r="G31" s="67"/>
      <c r="AA31" s="2">
        <f t="shared" ref="AA31:AA94" si="9">IF(AA30&lt;B$17,AA30+1,"")</f>
        <v>2</v>
      </c>
      <c r="AB31" s="8">
        <f t="shared" ref="AB31:AB77" ca="1" si="10">IF(AA31="","",AB30+30)</f>
        <v>46300</v>
      </c>
      <c r="AC31" s="9">
        <f t="shared" ref="AC31:AC94" ca="1" si="11">IF(AB31="","",IF(AA31&lt;=B$16,AC30,AC30-AD31))</f>
        <v>5000</v>
      </c>
      <c r="AD31" s="9">
        <f t="shared" si="8"/>
        <v>0</v>
      </c>
      <c r="AE31" s="2">
        <f t="shared" ref="AE31:AE77" ca="1" si="12">IF(AD31="","",AB31-AB30)</f>
        <v>30</v>
      </c>
      <c r="AF31" s="2">
        <f t="shared" ref="AF31:AF94" ca="1" si="13">IF(AE31="","",AB31-AB$29)</f>
        <v>60</v>
      </c>
      <c r="AG31" s="9">
        <f t="shared" ref="AG31:AG94" ca="1" si="14">IF(AF31="","",IF(AF31&lt;365,AF31*AC$25*AD31,365*AD31*AC$25))</f>
        <v>0</v>
      </c>
      <c r="AH31" s="9">
        <f t="shared" ref="AH31:AH94" ca="1" si="15">IF(AF31="","",IF(AF31&lt;365,AF31*AC$26*AD31,365*AD31*AC$26))</f>
        <v>0</v>
      </c>
      <c r="AM31" s="190">
        <f t="shared" si="6"/>
        <v>248.34999999999997</v>
      </c>
      <c r="AN31" s="190"/>
      <c r="AU31" s="140">
        <f>AU28*0.1</f>
        <v>675</v>
      </c>
    </row>
    <row r="32" spans="1:47" x14ac:dyDescent="0.25">
      <c r="A32" s="68">
        <f t="shared" si="1"/>
        <v>9</v>
      </c>
      <c r="B32" s="68" t="str">
        <f t="shared" si="2"/>
        <v>amortização</v>
      </c>
      <c r="C32" s="156">
        <f t="shared" si="7"/>
        <v>78.866666666666646</v>
      </c>
      <c r="D32" s="156">
        <f t="shared" si="3"/>
        <v>166.66666666666666</v>
      </c>
      <c r="E32" s="162">
        <f t="shared" si="4"/>
        <v>4499.9999999999991</v>
      </c>
      <c r="F32" s="156">
        <f t="shared" si="5"/>
        <v>245.5333333333333</v>
      </c>
      <c r="G32" s="67"/>
      <c r="AA32" s="2">
        <f t="shared" si="9"/>
        <v>3</v>
      </c>
      <c r="AB32" s="8">
        <f t="shared" ca="1" si="10"/>
        <v>46330</v>
      </c>
      <c r="AC32" s="9">
        <f t="shared" ca="1" si="11"/>
        <v>5000</v>
      </c>
      <c r="AD32" s="9">
        <f t="shared" si="8"/>
        <v>0</v>
      </c>
      <c r="AE32" s="2">
        <f t="shared" ca="1" si="12"/>
        <v>30</v>
      </c>
      <c r="AF32" s="2">
        <f t="shared" ca="1" si="13"/>
        <v>90</v>
      </c>
      <c r="AG32" s="9">
        <f t="shared" ca="1" si="14"/>
        <v>0</v>
      </c>
      <c r="AH32" s="9">
        <f t="shared" ca="1" si="15"/>
        <v>0</v>
      </c>
      <c r="AM32" s="190">
        <f t="shared" si="6"/>
        <v>245.5333333333333</v>
      </c>
      <c r="AN32" s="190"/>
    </row>
    <row r="33" spans="1:41" x14ac:dyDescent="0.25">
      <c r="A33" s="68">
        <f t="shared" si="1"/>
        <v>10</v>
      </c>
      <c r="B33" s="68" t="str">
        <f t="shared" si="2"/>
        <v>amortização</v>
      </c>
      <c r="C33" s="156">
        <f t="shared" si="7"/>
        <v>76.049999999999983</v>
      </c>
      <c r="D33" s="156">
        <f t="shared" si="3"/>
        <v>166.66666666666666</v>
      </c>
      <c r="E33" s="162">
        <f t="shared" si="4"/>
        <v>4333.3333333333321</v>
      </c>
      <c r="F33" s="156">
        <f t="shared" si="5"/>
        <v>242.71666666666664</v>
      </c>
      <c r="G33" s="67"/>
      <c r="AA33" s="2">
        <f t="shared" si="9"/>
        <v>4</v>
      </c>
      <c r="AB33" s="8">
        <f t="shared" ca="1" si="10"/>
        <v>46360</v>
      </c>
      <c r="AC33" s="9">
        <f t="shared" ca="1" si="11"/>
        <v>5000</v>
      </c>
      <c r="AD33" s="9">
        <f t="shared" si="8"/>
        <v>0</v>
      </c>
      <c r="AE33" s="2">
        <f t="shared" ca="1" si="12"/>
        <v>30</v>
      </c>
      <c r="AF33" s="2">
        <f t="shared" ca="1" si="13"/>
        <v>120</v>
      </c>
      <c r="AG33" s="9">
        <f t="shared" ca="1" si="14"/>
        <v>0</v>
      </c>
      <c r="AH33" s="9">
        <f t="shared" ca="1" si="15"/>
        <v>0</v>
      </c>
      <c r="AM33" s="190">
        <f t="shared" si="6"/>
        <v>242.71666666666664</v>
      </c>
      <c r="AN33" s="190"/>
    </row>
    <row r="34" spans="1:41" x14ac:dyDescent="0.25">
      <c r="A34" s="68">
        <f t="shared" si="1"/>
        <v>11</v>
      </c>
      <c r="B34" s="68" t="str">
        <f t="shared" si="2"/>
        <v>amortização</v>
      </c>
      <c r="C34" s="156">
        <f t="shared" si="7"/>
        <v>73.233333333333306</v>
      </c>
      <c r="D34" s="156">
        <f t="shared" si="3"/>
        <v>166.66666666666666</v>
      </c>
      <c r="E34" s="162">
        <f t="shared" si="4"/>
        <v>4166.6666666666652</v>
      </c>
      <c r="F34" s="156">
        <f t="shared" si="5"/>
        <v>239.89999999999998</v>
      </c>
      <c r="G34" s="67"/>
      <c r="AA34" s="2">
        <f t="shared" si="9"/>
        <v>5</v>
      </c>
      <c r="AB34" s="8">
        <f t="shared" ca="1" si="10"/>
        <v>46390</v>
      </c>
      <c r="AC34" s="9">
        <f t="shared" ca="1" si="11"/>
        <v>5000</v>
      </c>
      <c r="AD34" s="9">
        <f t="shared" si="8"/>
        <v>0</v>
      </c>
      <c r="AE34" s="2">
        <f t="shared" ca="1" si="12"/>
        <v>30</v>
      </c>
      <c r="AF34" s="2">
        <f t="shared" ca="1" si="13"/>
        <v>150</v>
      </c>
      <c r="AG34" s="9">
        <f t="shared" ca="1" si="14"/>
        <v>0</v>
      </c>
      <c r="AH34" s="9">
        <f t="shared" ca="1" si="15"/>
        <v>0</v>
      </c>
      <c r="AM34" s="190">
        <f t="shared" si="6"/>
        <v>239.89999999999998</v>
      </c>
      <c r="AN34" s="190"/>
    </row>
    <row r="35" spans="1:41" x14ac:dyDescent="0.25">
      <c r="A35" s="68">
        <f t="shared" si="1"/>
        <v>12</v>
      </c>
      <c r="B35" s="68" t="str">
        <f t="shared" si="2"/>
        <v>amortização</v>
      </c>
      <c r="C35" s="156">
        <f t="shared" si="7"/>
        <v>70.416666666666629</v>
      </c>
      <c r="D35" s="156">
        <f t="shared" si="3"/>
        <v>166.66666666666666</v>
      </c>
      <c r="E35" s="162">
        <f t="shared" si="4"/>
        <v>3999.9999999999986</v>
      </c>
      <c r="F35" s="156">
        <f t="shared" si="5"/>
        <v>237.08333333333329</v>
      </c>
      <c r="G35" s="67"/>
      <c r="AA35" s="2">
        <f t="shared" si="9"/>
        <v>6</v>
      </c>
      <c r="AB35" s="8">
        <f t="shared" ca="1" si="10"/>
        <v>46420</v>
      </c>
      <c r="AC35" s="9">
        <f t="shared" ca="1" si="11"/>
        <v>5000</v>
      </c>
      <c r="AD35" s="9">
        <f t="shared" si="8"/>
        <v>0</v>
      </c>
      <c r="AE35" s="2">
        <f t="shared" ca="1" si="12"/>
        <v>30</v>
      </c>
      <c r="AF35" s="2">
        <f t="shared" ca="1" si="13"/>
        <v>180</v>
      </c>
      <c r="AG35" s="9">
        <f t="shared" ca="1" si="14"/>
        <v>0</v>
      </c>
      <c r="AH35" s="9">
        <f t="shared" ca="1" si="15"/>
        <v>0</v>
      </c>
      <c r="AM35" s="190">
        <f t="shared" si="6"/>
        <v>237.08333333333329</v>
      </c>
      <c r="AN35" s="190">
        <f>SUM(F24:F35)</f>
        <v>1971.7499999999998</v>
      </c>
      <c r="AO35" s="190">
        <f>LARGE(F24:F35,1)</f>
        <v>251.16666666666663</v>
      </c>
    </row>
    <row r="36" spans="1:41" x14ac:dyDescent="0.25">
      <c r="A36" s="68">
        <f t="shared" si="1"/>
        <v>13</v>
      </c>
      <c r="B36" s="68" t="str">
        <f t="shared" si="2"/>
        <v>amortização</v>
      </c>
      <c r="C36" s="156">
        <f t="shared" si="7"/>
        <v>67.599999999999966</v>
      </c>
      <c r="D36" s="156">
        <f t="shared" ref="D36:D71" si="16">IF(C36="","",IF(A36&lt;=B$16,0,E$23/(B$17-B$16)))</f>
        <v>166.66666666666666</v>
      </c>
      <c r="E36" s="162">
        <f t="shared" si="4"/>
        <v>3833.3333333333321</v>
      </c>
      <c r="F36" s="156">
        <f t="shared" si="5"/>
        <v>234.26666666666662</v>
      </c>
      <c r="G36" s="67"/>
      <c r="AA36" s="2">
        <f t="shared" si="9"/>
        <v>7</v>
      </c>
      <c r="AB36" s="8">
        <f t="shared" ca="1" si="10"/>
        <v>46450</v>
      </c>
      <c r="AC36" s="9">
        <f t="shared" ca="1" si="11"/>
        <v>4833.333333333333</v>
      </c>
      <c r="AD36" s="9">
        <f t="shared" si="8"/>
        <v>166.66666666666666</v>
      </c>
      <c r="AE36" s="2">
        <f t="shared" ca="1" si="12"/>
        <v>30</v>
      </c>
      <c r="AF36" s="2">
        <f t="shared" ca="1" si="13"/>
        <v>210</v>
      </c>
      <c r="AG36" s="9">
        <f t="shared" ca="1" si="14"/>
        <v>1.4349999999999998</v>
      </c>
      <c r="AH36" s="9">
        <f t="shared" ca="1" si="15"/>
        <v>0.47949999999999993</v>
      </c>
      <c r="AM36" s="190">
        <f t="shared" si="6"/>
        <v>234.26666666666662</v>
      </c>
      <c r="AN36" s="190"/>
    </row>
    <row r="37" spans="1:41" x14ac:dyDescent="0.25">
      <c r="A37" s="68">
        <f t="shared" si="1"/>
        <v>14</v>
      </c>
      <c r="B37" s="68" t="str">
        <f t="shared" si="2"/>
        <v>amortização</v>
      </c>
      <c r="C37" s="156">
        <f t="shared" si="7"/>
        <v>64.783333333333303</v>
      </c>
      <c r="D37" s="156">
        <f t="shared" si="16"/>
        <v>166.66666666666666</v>
      </c>
      <c r="E37" s="162">
        <f t="shared" si="4"/>
        <v>3666.6666666666656</v>
      </c>
      <c r="F37" s="156">
        <f t="shared" si="5"/>
        <v>231.44999999999996</v>
      </c>
      <c r="G37" s="67"/>
      <c r="AA37" s="2">
        <f t="shared" si="9"/>
        <v>8</v>
      </c>
      <c r="AB37" s="8">
        <f t="shared" ca="1" si="10"/>
        <v>46480</v>
      </c>
      <c r="AC37" s="9">
        <f t="shared" ca="1" si="11"/>
        <v>4666.6666666666661</v>
      </c>
      <c r="AD37" s="9">
        <f t="shared" si="8"/>
        <v>166.66666666666666</v>
      </c>
      <c r="AE37" s="2">
        <f t="shared" ca="1" si="12"/>
        <v>30</v>
      </c>
      <c r="AF37" s="2">
        <f t="shared" ca="1" si="13"/>
        <v>240</v>
      </c>
      <c r="AG37" s="9">
        <f t="shared" ca="1" si="14"/>
        <v>1.64</v>
      </c>
      <c r="AH37" s="9">
        <f t="shared" ca="1" si="15"/>
        <v>0.54799999999999993</v>
      </c>
      <c r="AM37" s="190">
        <f t="shared" si="6"/>
        <v>231.44999999999996</v>
      </c>
      <c r="AN37" s="190"/>
    </row>
    <row r="38" spans="1:41" x14ac:dyDescent="0.25">
      <c r="A38" s="68">
        <f t="shared" si="1"/>
        <v>15</v>
      </c>
      <c r="B38" s="68" t="str">
        <f t="shared" si="2"/>
        <v>amortização</v>
      </c>
      <c r="C38" s="156">
        <f t="shared" si="7"/>
        <v>61.96666666666664</v>
      </c>
      <c r="D38" s="156">
        <f t="shared" si="16"/>
        <v>166.66666666666666</v>
      </c>
      <c r="E38" s="162">
        <f t="shared" si="4"/>
        <v>3499.9999999999991</v>
      </c>
      <c r="F38" s="156">
        <f t="shared" si="5"/>
        <v>228.6333333333333</v>
      </c>
      <c r="G38" s="67"/>
      <c r="AA38" s="2">
        <f t="shared" si="9"/>
        <v>9</v>
      </c>
      <c r="AB38" s="8">
        <f t="shared" ca="1" si="10"/>
        <v>46510</v>
      </c>
      <c r="AC38" s="9">
        <f t="shared" ca="1" si="11"/>
        <v>4499.9999999999991</v>
      </c>
      <c r="AD38" s="9">
        <f t="shared" si="8"/>
        <v>166.66666666666666</v>
      </c>
      <c r="AE38" s="2">
        <f t="shared" ca="1" si="12"/>
        <v>30</v>
      </c>
      <c r="AF38" s="2">
        <f t="shared" ca="1" si="13"/>
        <v>270</v>
      </c>
      <c r="AG38" s="9">
        <f t="shared" ca="1" si="14"/>
        <v>1.845</v>
      </c>
      <c r="AH38" s="9">
        <f t="shared" ca="1" si="15"/>
        <v>0.61649999999999994</v>
      </c>
      <c r="AM38" s="190">
        <f t="shared" si="6"/>
        <v>228.6333333333333</v>
      </c>
      <c r="AN38" s="190"/>
    </row>
    <row r="39" spans="1:41" x14ac:dyDescent="0.25">
      <c r="A39" s="68">
        <f t="shared" si="1"/>
        <v>16</v>
      </c>
      <c r="B39" s="68" t="str">
        <f t="shared" si="2"/>
        <v>amortização</v>
      </c>
      <c r="C39" s="156">
        <f t="shared" si="7"/>
        <v>59.149999999999977</v>
      </c>
      <c r="D39" s="156">
        <f t="shared" si="16"/>
        <v>166.66666666666666</v>
      </c>
      <c r="E39" s="162">
        <f t="shared" si="4"/>
        <v>3333.3333333333326</v>
      </c>
      <c r="F39" s="156">
        <f t="shared" si="5"/>
        <v>225.81666666666663</v>
      </c>
      <c r="G39" s="67"/>
      <c r="AA39" s="2">
        <f t="shared" si="9"/>
        <v>10</v>
      </c>
      <c r="AB39" s="8">
        <f t="shared" ca="1" si="10"/>
        <v>46540</v>
      </c>
      <c r="AC39" s="9">
        <f t="shared" ca="1" si="11"/>
        <v>4333.3333333333321</v>
      </c>
      <c r="AD39" s="9">
        <f t="shared" si="8"/>
        <v>166.66666666666666</v>
      </c>
      <c r="AE39" s="2">
        <f t="shared" ca="1" si="12"/>
        <v>30</v>
      </c>
      <c r="AF39" s="2">
        <f t="shared" ca="1" si="13"/>
        <v>300</v>
      </c>
      <c r="AG39" s="9">
        <f t="shared" ca="1" si="14"/>
        <v>2.0499999999999998</v>
      </c>
      <c r="AH39" s="9">
        <f t="shared" ca="1" si="15"/>
        <v>0.68499999999999994</v>
      </c>
      <c r="AM39" s="190">
        <f t="shared" si="6"/>
        <v>225.81666666666663</v>
      </c>
      <c r="AN39" s="190"/>
    </row>
    <row r="40" spans="1:41" x14ac:dyDescent="0.25">
      <c r="A40" s="68">
        <f t="shared" si="1"/>
        <v>17</v>
      </c>
      <c r="B40" s="68" t="str">
        <f t="shared" si="2"/>
        <v>amortização</v>
      </c>
      <c r="C40" s="156">
        <f t="shared" si="7"/>
        <v>56.333333333333314</v>
      </c>
      <c r="D40" s="156">
        <f t="shared" si="16"/>
        <v>166.66666666666666</v>
      </c>
      <c r="E40" s="162">
        <f t="shared" si="4"/>
        <v>3166.6666666666661</v>
      </c>
      <c r="F40" s="156">
        <f t="shared" si="5"/>
        <v>222.99999999999997</v>
      </c>
      <c r="G40" s="67"/>
      <c r="AA40" s="2">
        <f t="shared" si="9"/>
        <v>11</v>
      </c>
      <c r="AB40" s="8">
        <f t="shared" ca="1" si="10"/>
        <v>46570</v>
      </c>
      <c r="AC40" s="9">
        <f t="shared" ca="1" si="11"/>
        <v>4166.6666666666652</v>
      </c>
      <c r="AD40" s="9">
        <f t="shared" si="8"/>
        <v>166.66666666666666</v>
      </c>
      <c r="AE40" s="2">
        <f t="shared" ca="1" si="12"/>
        <v>30</v>
      </c>
      <c r="AF40" s="2">
        <f t="shared" ca="1" si="13"/>
        <v>330</v>
      </c>
      <c r="AG40" s="9">
        <f t="shared" ca="1" si="14"/>
        <v>2.2549999999999999</v>
      </c>
      <c r="AH40" s="9">
        <f t="shared" ca="1" si="15"/>
        <v>0.75349999999999995</v>
      </c>
      <c r="AM40" s="190">
        <f t="shared" si="6"/>
        <v>222.99999999999997</v>
      </c>
      <c r="AN40" s="190"/>
    </row>
    <row r="41" spans="1:41" x14ac:dyDescent="0.25">
      <c r="A41" s="68">
        <f t="shared" si="1"/>
        <v>18</v>
      </c>
      <c r="B41" s="68" t="str">
        <f t="shared" si="2"/>
        <v>amortização</v>
      </c>
      <c r="C41" s="156">
        <f t="shared" si="7"/>
        <v>53.516666666666652</v>
      </c>
      <c r="D41" s="156">
        <f t="shared" si="16"/>
        <v>166.66666666666666</v>
      </c>
      <c r="E41" s="162">
        <f t="shared" si="4"/>
        <v>2999.9999999999995</v>
      </c>
      <c r="F41" s="156">
        <f t="shared" si="5"/>
        <v>220.18333333333331</v>
      </c>
      <c r="G41" s="67"/>
      <c r="AA41" s="2">
        <f t="shared" si="9"/>
        <v>12</v>
      </c>
      <c r="AB41" s="8">
        <f t="shared" ca="1" si="10"/>
        <v>46600</v>
      </c>
      <c r="AC41" s="9">
        <f t="shared" ca="1" si="11"/>
        <v>3999.9999999999986</v>
      </c>
      <c r="AD41" s="9">
        <f t="shared" si="8"/>
        <v>166.66666666666666</v>
      </c>
      <c r="AE41" s="2">
        <f t="shared" ca="1" si="12"/>
        <v>30</v>
      </c>
      <c r="AF41" s="2">
        <f t="shared" ca="1" si="13"/>
        <v>360</v>
      </c>
      <c r="AG41" s="9">
        <f t="shared" ca="1" si="14"/>
        <v>2.46</v>
      </c>
      <c r="AH41" s="9">
        <f t="shared" ca="1" si="15"/>
        <v>0.82199999999999995</v>
      </c>
      <c r="AM41" s="190">
        <f t="shared" si="6"/>
        <v>220.18333333333331</v>
      </c>
      <c r="AN41" s="190"/>
    </row>
    <row r="42" spans="1:41" x14ac:dyDescent="0.25">
      <c r="A42" s="68">
        <f t="shared" si="1"/>
        <v>19</v>
      </c>
      <c r="B42" s="68" t="str">
        <f t="shared" si="2"/>
        <v>amortização</v>
      </c>
      <c r="C42" s="156">
        <f t="shared" si="7"/>
        <v>50.699999999999989</v>
      </c>
      <c r="D42" s="156">
        <f t="shared" si="16"/>
        <v>166.66666666666666</v>
      </c>
      <c r="E42" s="162">
        <f t="shared" si="4"/>
        <v>2833.333333333333</v>
      </c>
      <c r="F42" s="156">
        <f t="shared" si="5"/>
        <v>217.36666666666665</v>
      </c>
      <c r="G42" s="67"/>
      <c r="AA42" s="2">
        <f t="shared" si="9"/>
        <v>13</v>
      </c>
      <c r="AB42" s="8">
        <f t="shared" ca="1" si="10"/>
        <v>46630</v>
      </c>
      <c r="AC42" s="9">
        <f ca="1">IF(AA42="","",IF(AB42&lt;=B$16,AC27,AC41-AD42))</f>
        <v>3833.3333333333321</v>
      </c>
      <c r="AD42" s="9">
        <f t="shared" si="8"/>
        <v>166.66666666666666</v>
      </c>
      <c r="AE42" s="2">
        <f t="shared" ca="1" si="12"/>
        <v>30</v>
      </c>
      <c r="AF42" s="2">
        <f t="shared" ca="1" si="13"/>
        <v>390</v>
      </c>
      <c r="AG42" s="9">
        <f t="shared" ca="1" si="14"/>
        <v>2.4941666666666666</v>
      </c>
      <c r="AH42" s="9">
        <f t="shared" ca="1" si="15"/>
        <v>0.83341666666666658</v>
      </c>
      <c r="AM42" s="190">
        <f t="shared" si="6"/>
        <v>217.36666666666665</v>
      </c>
      <c r="AN42" s="190"/>
    </row>
    <row r="43" spans="1:41" x14ac:dyDescent="0.25">
      <c r="A43" s="68">
        <f t="shared" si="1"/>
        <v>20</v>
      </c>
      <c r="B43" s="68" t="str">
        <f t="shared" si="2"/>
        <v>amortização</v>
      </c>
      <c r="C43" s="156">
        <f t="shared" si="7"/>
        <v>47.883333333333326</v>
      </c>
      <c r="D43" s="156">
        <f t="shared" si="16"/>
        <v>166.66666666666666</v>
      </c>
      <c r="E43" s="162">
        <f t="shared" si="4"/>
        <v>2666.6666666666665</v>
      </c>
      <c r="F43" s="156">
        <f t="shared" si="5"/>
        <v>214.54999999999998</v>
      </c>
      <c r="G43" s="67"/>
      <c r="AA43" s="2">
        <f t="shared" si="9"/>
        <v>14</v>
      </c>
      <c r="AB43" s="8">
        <f t="shared" ca="1" si="10"/>
        <v>46660</v>
      </c>
      <c r="AC43" s="9">
        <f t="shared" ca="1" si="11"/>
        <v>3666.6666666666656</v>
      </c>
      <c r="AD43" s="9">
        <f t="shared" si="8"/>
        <v>166.66666666666666</v>
      </c>
      <c r="AE43" s="2">
        <f t="shared" ca="1" si="12"/>
        <v>30</v>
      </c>
      <c r="AF43" s="2">
        <f t="shared" ca="1" si="13"/>
        <v>420</v>
      </c>
      <c r="AG43" s="9">
        <f t="shared" ca="1" si="14"/>
        <v>2.4941666666666666</v>
      </c>
      <c r="AH43" s="9">
        <f t="shared" ca="1" si="15"/>
        <v>0.83341666666666658</v>
      </c>
      <c r="AM43" s="190">
        <f t="shared" si="6"/>
        <v>214.54999999999998</v>
      </c>
      <c r="AN43" s="190"/>
    </row>
    <row r="44" spans="1:41" x14ac:dyDescent="0.25">
      <c r="A44" s="68">
        <f t="shared" si="1"/>
        <v>21</v>
      </c>
      <c r="B44" s="68" t="str">
        <f t="shared" si="2"/>
        <v>amortização</v>
      </c>
      <c r="C44" s="156">
        <f t="shared" si="7"/>
        <v>45.066666666666663</v>
      </c>
      <c r="D44" s="156">
        <f t="shared" si="16"/>
        <v>166.66666666666666</v>
      </c>
      <c r="E44" s="162">
        <f t="shared" si="4"/>
        <v>2500</v>
      </c>
      <c r="F44" s="156">
        <f t="shared" si="5"/>
        <v>211.73333333333332</v>
      </c>
      <c r="G44" s="67"/>
      <c r="AA44" s="2">
        <f t="shared" si="9"/>
        <v>15</v>
      </c>
      <c r="AB44" s="8">
        <f t="shared" ca="1" si="10"/>
        <v>46690</v>
      </c>
      <c r="AC44" s="9">
        <f t="shared" ca="1" si="11"/>
        <v>3499.9999999999991</v>
      </c>
      <c r="AD44" s="9">
        <f t="shared" si="8"/>
        <v>166.66666666666666</v>
      </c>
      <c r="AE44" s="2">
        <f t="shared" ca="1" si="12"/>
        <v>30</v>
      </c>
      <c r="AF44" s="2">
        <f t="shared" ca="1" si="13"/>
        <v>450</v>
      </c>
      <c r="AG44" s="9">
        <f t="shared" ca="1" si="14"/>
        <v>2.4941666666666666</v>
      </c>
      <c r="AH44" s="9">
        <f t="shared" ca="1" si="15"/>
        <v>0.83341666666666658</v>
      </c>
      <c r="AM44" s="190">
        <f t="shared" si="6"/>
        <v>211.73333333333332</v>
      </c>
      <c r="AN44" s="190"/>
    </row>
    <row r="45" spans="1:41" x14ac:dyDescent="0.25">
      <c r="A45" s="68">
        <f t="shared" si="1"/>
        <v>22</v>
      </c>
      <c r="B45" s="68" t="str">
        <f t="shared" si="2"/>
        <v>amortização</v>
      </c>
      <c r="C45" s="156">
        <f t="shared" si="7"/>
        <v>42.249999999999993</v>
      </c>
      <c r="D45" s="156">
        <f t="shared" si="16"/>
        <v>166.66666666666666</v>
      </c>
      <c r="E45" s="162">
        <f t="shared" si="4"/>
        <v>2333.3333333333335</v>
      </c>
      <c r="F45" s="156">
        <f t="shared" si="5"/>
        <v>208.91666666666666</v>
      </c>
      <c r="G45" s="67"/>
      <c r="AA45" s="2">
        <f t="shared" si="9"/>
        <v>16</v>
      </c>
      <c r="AB45" s="8">
        <f t="shared" ca="1" si="10"/>
        <v>46720</v>
      </c>
      <c r="AC45" s="9">
        <f t="shared" ca="1" si="11"/>
        <v>3333.3333333333326</v>
      </c>
      <c r="AD45" s="9">
        <f t="shared" si="8"/>
        <v>166.66666666666666</v>
      </c>
      <c r="AE45" s="2">
        <f t="shared" ca="1" si="12"/>
        <v>30</v>
      </c>
      <c r="AF45" s="2">
        <f t="shared" ca="1" si="13"/>
        <v>480</v>
      </c>
      <c r="AG45" s="9">
        <f t="shared" ca="1" si="14"/>
        <v>2.4941666666666666</v>
      </c>
      <c r="AH45" s="9">
        <f t="shared" ca="1" si="15"/>
        <v>0.83341666666666658</v>
      </c>
      <c r="AM45" s="190">
        <f t="shared" si="6"/>
        <v>208.91666666666666</v>
      </c>
      <c r="AN45" s="190"/>
    </row>
    <row r="46" spans="1:41" x14ac:dyDescent="0.25">
      <c r="A46" s="68">
        <f t="shared" si="1"/>
        <v>23</v>
      </c>
      <c r="B46" s="68" t="str">
        <f t="shared" si="2"/>
        <v>amortização</v>
      </c>
      <c r="C46" s="156">
        <f t="shared" si="7"/>
        <v>39.43333333333333</v>
      </c>
      <c r="D46" s="156">
        <f t="shared" si="16"/>
        <v>166.66666666666666</v>
      </c>
      <c r="E46" s="162">
        <f t="shared" si="4"/>
        <v>2166.666666666667</v>
      </c>
      <c r="F46" s="156">
        <f t="shared" si="5"/>
        <v>206.1</v>
      </c>
      <c r="G46" s="67"/>
      <c r="AA46" s="2">
        <f t="shared" si="9"/>
        <v>17</v>
      </c>
      <c r="AB46" s="8">
        <f t="shared" ca="1" si="10"/>
        <v>46750</v>
      </c>
      <c r="AC46" s="9">
        <f t="shared" ca="1" si="11"/>
        <v>3166.6666666666661</v>
      </c>
      <c r="AD46" s="9">
        <f t="shared" si="8"/>
        <v>166.66666666666666</v>
      </c>
      <c r="AE46" s="2">
        <f t="shared" ca="1" si="12"/>
        <v>30</v>
      </c>
      <c r="AF46" s="2">
        <f t="shared" ca="1" si="13"/>
        <v>510</v>
      </c>
      <c r="AG46" s="9">
        <f t="shared" ca="1" si="14"/>
        <v>2.4941666666666666</v>
      </c>
      <c r="AH46" s="9">
        <f t="shared" ca="1" si="15"/>
        <v>0.83341666666666658</v>
      </c>
      <c r="AM46" s="190">
        <f t="shared" si="6"/>
        <v>206.1</v>
      </c>
      <c r="AN46" s="190"/>
    </row>
    <row r="47" spans="1:41" x14ac:dyDescent="0.25">
      <c r="A47" s="68">
        <f t="shared" si="1"/>
        <v>24</v>
      </c>
      <c r="B47" s="68" t="str">
        <f t="shared" si="2"/>
        <v>amortização</v>
      </c>
      <c r="C47" s="156">
        <f t="shared" si="7"/>
        <v>36.616666666666667</v>
      </c>
      <c r="D47" s="156">
        <f t="shared" si="16"/>
        <v>166.66666666666666</v>
      </c>
      <c r="E47" s="162">
        <f t="shared" si="4"/>
        <v>2000.0000000000002</v>
      </c>
      <c r="F47" s="156">
        <f t="shared" si="5"/>
        <v>203.28333333333333</v>
      </c>
      <c r="G47" s="67"/>
      <c r="AA47" s="2">
        <f t="shared" si="9"/>
        <v>18</v>
      </c>
      <c r="AB47" s="8">
        <f t="shared" ca="1" si="10"/>
        <v>46780</v>
      </c>
      <c r="AC47" s="9">
        <f t="shared" ca="1" si="11"/>
        <v>2999.9999999999995</v>
      </c>
      <c r="AD47" s="9">
        <f t="shared" si="8"/>
        <v>166.66666666666666</v>
      </c>
      <c r="AE47" s="2">
        <f t="shared" ca="1" si="12"/>
        <v>30</v>
      </c>
      <c r="AF47" s="2">
        <f t="shared" ca="1" si="13"/>
        <v>540</v>
      </c>
      <c r="AG47" s="9">
        <f t="shared" ca="1" si="14"/>
        <v>2.4941666666666666</v>
      </c>
      <c r="AH47" s="9">
        <f t="shared" ca="1" si="15"/>
        <v>0.83341666666666658</v>
      </c>
      <c r="AM47" s="190">
        <f t="shared" si="6"/>
        <v>203.28333333333333</v>
      </c>
      <c r="AN47" s="190">
        <f>SUM(F36:F47)</f>
        <v>2625.2999999999997</v>
      </c>
      <c r="AO47" s="190">
        <f>LARGE(F36:F47,1)</f>
        <v>234.26666666666662</v>
      </c>
    </row>
    <row r="48" spans="1:41" x14ac:dyDescent="0.25">
      <c r="A48" s="68">
        <f t="shared" si="1"/>
        <v>25</v>
      </c>
      <c r="B48" s="68" t="str">
        <f t="shared" si="2"/>
        <v>amortização</v>
      </c>
      <c r="C48" s="156">
        <f t="shared" si="7"/>
        <v>33.799999999999997</v>
      </c>
      <c r="D48" s="156">
        <f t="shared" si="16"/>
        <v>166.66666666666666</v>
      </c>
      <c r="E48" s="162">
        <f t="shared" si="4"/>
        <v>1833.3333333333335</v>
      </c>
      <c r="F48" s="156">
        <f t="shared" si="5"/>
        <v>200.46666666666664</v>
      </c>
      <c r="G48" s="67"/>
      <c r="AA48" s="2">
        <f t="shared" si="9"/>
        <v>19</v>
      </c>
      <c r="AB48" s="8">
        <f t="shared" ca="1" si="10"/>
        <v>46810</v>
      </c>
      <c r="AC48" s="9">
        <f t="shared" ca="1" si="11"/>
        <v>2833.333333333333</v>
      </c>
      <c r="AD48" s="9">
        <f t="shared" si="8"/>
        <v>166.66666666666666</v>
      </c>
      <c r="AE48" s="2">
        <f t="shared" ca="1" si="12"/>
        <v>30</v>
      </c>
      <c r="AF48" s="2">
        <f t="shared" ca="1" si="13"/>
        <v>570</v>
      </c>
      <c r="AG48" s="9">
        <f t="shared" ca="1" si="14"/>
        <v>2.4941666666666666</v>
      </c>
      <c r="AH48" s="9">
        <f t="shared" ca="1" si="15"/>
        <v>0.83341666666666658</v>
      </c>
    </row>
    <row r="49" spans="1:41" x14ac:dyDescent="0.25">
      <c r="A49" s="68">
        <f t="shared" si="1"/>
        <v>26</v>
      </c>
      <c r="B49" s="68" t="str">
        <f t="shared" si="2"/>
        <v>amortização</v>
      </c>
      <c r="C49" s="156">
        <f t="shared" si="7"/>
        <v>30.983333333333334</v>
      </c>
      <c r="D49" s="156">
        <f t="shared" si="16"/>
        <v>166.66666666666666</v>
      </c>
      <c r="E49" s="162">
        <f t="shared" si="4"/>
        <v>1666.6666666666667</v>
      </c>
      <c r="F49" s="156">
        <f t="shared" si="5"/>
        <v>197.64999999999998</v>
      </c>
      <c r="G49" s="67"/>
      <c r="AA49" s="2">
        <f t="shared" si="9"/>
        <v>20</v>
      </c>
      <c r="AB49" s="8">
        <f t="shared" ca="1" si="10"/>
        <v>46840</v>
      </c>
      <c r="AC49" s="9">
        <f t="shared" ca="1" si="11"/>
        <v>2666.6666666666665</v>
      </c>
      <c r="AD49" s="9">
        <f t="shared" si="8"/>
        <v>166.66666666666666</v>
      </c>
      <c r="AE49" s="2">
        <f t="shared" ca="1" si="12"/>
        <v>30</v>
      </c>
      <c r="AF49" s="2">
        <f t="shared" ca="1" si="13"/>
        <v>600</v>
      </c>
      <c r="AG49" s="9">
        <f t="shared" ca="1" si="14"/>
        <v>2.4941666666666666</v>
      </c>
      <c r="AH49" s="9">
        <f t="shared" ca="1" si="15"/>
        <v>0.83341666666666658</v>
      </c>
    </row>
    <row r="50" spans="1:41" x14ac:dyDescent="0.25">
      <c r="A50" s="68">
        <f t="shared" si="1"/>
        <v>27</v>
      </c>
      <c r="B50" s="68" t="str">
        <f t="shared" si="2"/>
        <v>amortização</v>
      </c>
      <c r="C50" s="156">
        <f t="shared" si="7"/>
        <v>28.166666666666664</v>
      </c>
      <c r="D50" s="156">
        <f t="shared" si="16"/>
        <v>166.66666666666666</v>
      </c>
      <c r="E50" s="162">
        <f t="shared" si="4"/>
        <v>1500</v>
      </c>
      <c r="F50" s="156">
        <f t="shared" si="5"/>
        <v>194.83333333333331</v>
      </c>
      <c r="G50" s="67"/>
      <c r="AA50" s="2">
        <f t="shared" si="9"/>
        <v>21</v>
      </c>
      <c r="AB50" s="8">
        <f t="shared" ca="1" si="10"/>
        <v>46870</v>
      </c>
      <c r="AC50" s="9">
        <f t="shared" ca="1" si="11"/>
        <v>2500</v>
      </c>
      <c r="AD50" s="9">
        <f t="shared" si="8"/>
        <v>166.66666666666666</v>
      </c>
      <c r="AE50" s="2">
        <f t="shared" ca="1" si="12"/>
        <v>30</v>
      </c>
      <c r="AF50" s="2">
        <f t="shared" ca="1" si="13"/>
        <v>630</v>
      </c>
      <c r="AG50" s="9">
        <f t="shared" ca="1" si="14"/>
        <v>2.4941666666666666</v>
      </c>
      <c r="AH50" s="9">
        <f t="shared" ca="1" si="15"/>
        <v>0.83341666666666658</v>
      </c>
    </row>
    <row r="51" spans="1:41" x14ac:dyDescent="0.25">
      <c r="A51" s="68">
        <f t="shared" si="1"/>
        <v>28</v>
      </c>
      <c r="B51" s="68" t="str">
        <f t="shared" si="2"/>
        <v>amortização</v>
      </c>
      <c r="C51" s="156">
        <f t="shared" si="7"/>
        <v>25.349999999999998</v>
      </c>
      <c r="D51" s="156">
        <f t="shared" si="16"/>
        <v>166.66666666666666</v>
      </c>
      <c r="E51" s="162">
        <f t="shared" si="4"/>
        <v>1333.3333333333333</v>
      </c>
      <c r="F51" s="156">
        <f t="shared" si="5"/>
        <v>192.01666666666665</v>
      </c>
      <c r="G51" s="67"/>
      <c r="AA51" s="2">
        <f t="shared" si="9"/>
        <v>22</v>
      </c>
      <c r="AB51" s="8">
        <f t="shared" ca="1" si="10"/>
        <v>46900</v>
      </c>
      <c r="AC51" s="9">
        <f t="shared" ca="1" si="11"/>
        <v>2333.3333333333335</v>
      </c>
      <c r="AD51" s="9">
        <f t="shared" si="8"/>
        <v>166.66666666666666</v>
      </c>
      <c r="AE51" s="2">
        <f t="shared" ca="1" si="12"/>
        <v>30</v>
      </c>
      <c r="AF51" s="2">
        <f t="shared" ca="1" si="13"/>
        <v>660</v>
      </c>
      <c r="AG51" s="9">
        <f t="shared" ca="1" si="14"/>
        <v>2.4941666666666666</v>
      </c>
      <c r="AH51" s="9">
        <f t="shared" ca="1" si="15"/>
        <v>0.83341666666666658</v>
      </c>
    </row>
    <row r="52" spans="1:41" x14ac:dyDescent="0.25">
      <c r="A52" s="68">
        <f t="shared" si="1"/>
        <v>29</v>
      </c>
      <c r="B52" s="68" t="str">
        <f t="shared" si="2"/>
        <v>amortização</v>
      </c>
      <c r="C52" s="156">
        <f t="shared" si="7"/>
        <v>22.533333333333331</v>
      </c>
      <c r="D52" s="156">
        <f t="shared" si="16"/>
        <v>166.66666666666666</v>
      </c>
      <c r="E52" s="162">
        <f t="shared" si="4"/>
        <v>1166.6666666666665</v>
      </c>
      <c r="F52" s="156">
        <f t="shared" si="5"/>
        <v>189.2</v>
      </c>
      <c r="G52" s="67"/>
      <c r="AA52" s="2">
        <f t="shared" si="9"/>
        <v>23</v>
      </c>
      <c r="AB52" s="8">
        <f t="shared" ca="1" si="10"/>
        <v>46930</v>
      </c>
      <c r="AC52" s="9">
        <f t="shared" ca="1" si="11"/>
        <v>2166.666666666667</v>
      </c>
      <c r="AD52" s="9">
        <f t="shared" si="8"/>
        <v>166.66666666666666</v>
      </c>
      <c r="AE52" s="2">
        <f t="shared" ca="1" si="12"/>
        <v>30</v>
      </c>
      <c r="AF52" s="2">
        <f t="shared" ca="1" si="13"/>
        <v>690</v>
      </c>
      <c r="AG52" s="9">
        <f t="shared" ca="1" si="14"/>
        <v>2.4941666666666666</v>
      </c>
      <c r="AH52" s="9">
        <f t="shared" ca="1" si="15"/>
        <v>0.83341666666666658</v>
      </c>
    </row>
    <row r="53" spans="1:41" x14ac:dyDescent="0.25">
      <c r="A53" s="68">
        <f t="shared" si="1"/>
        <v>30</v>
      </c>
      <c r="B53" s="68" t="str">
        <f t="shared" si="2"/>
        <v>amortização</v>
      </c>
      <c r="C53" s="156">
        <f t="shared" si="7"/>
        <v>19.716666666666661</v>
      </c>
      <c r="D53" s="156">
        <f t="shared" si="16"/>
        <v>166.66666666666666</v>
      </c>
      <c r="E53" s="162">
        <f t="shared" si="4"/>
        <v>999.99999999999989</v>
      </c>
      <c r="F53" s="156">
        <f t="shared" si="5"/>
        <v>186.38333333333333</v>
      </c>
      <c r="G53" s="67"/>
      <c r="AA53" s="2">
        <f t="shared" si="9"/>
        <v>24</v>
      </c>
      <c r="AB53" s="8">
        <f t="shared" ca="1" si="10"/>
        <v>46960</v>
      </c>
      <c r="AC53" s="9">
        <f t="shared" ca="1" si="11"/>
        <v>2000.0000000000002</v>
      </c>
      <c r="AD53" s="9">
        <f t="shared" si="8"/>
        <v>166.66666666666666</v>
      </c>
      <c r="AE53" s="2">
        <f t="shared" ca="1" si="12"/>
        <v>30</v>
      </c>
      <c r="AF53" s="2">
        <f t="shared" ca="1" si="13"/>
        <v>720</v>
      </c>
      <c r="AG53" s="9">
        <f t="shared" ca="1" si="14"/>
        <v>2.4941666666666666</v>
      </c>
      <c r="AH53" s="9">
        <f t="shared" ca="1" si="15"/>
        <v>0.83341666666666658</v>
      </c>
    </row>
    <row r="54" spans="1:41" x14ac:dyDescent="0.25">
      <c r="A54" s="68">
        <f t="shared" si="1"/>
        <v>31</v>
      </c>
      <c r="B54" s="68" t="str">
        <f t="shared" si="2"/>
        <v>amortização</v>
      </c>
      <c r="C54" s="156">
        <f t="shared" si="7"/>
        <v>16.899999999999995</v>
      </c>
      <c r="D54" s="156">
        <f t="shared" si="16"/>
        <v>166.66666666666666</v>
      </c>
      <c r="E54" s="162">
        <f t="shared" si="4"/>
        <v>833.33333333333326</v>
      </c>
      <c r="F54" s="156">
        <f t="shared" si="5"/>
        <v>183.56666666666666</v>
      </c>
      <c r="G54" s="67"/>
      <c r="AA54" s="2">
        <f t="shared" si="9"/>
        <v>25</v>
      </c>
      <c r="AB54" s="8">
        <f t="shared" ca="1" si="10"/>
        <v>46990</v>
      </c>
      <c r="AC54" s="9">
        <f t="shared" ca="1" si="11"/>
        <v>1833.3333333333335</v>
      </c>
      <c r="AD54" s="9">
        <f t="shared" si="8"/>
        <v>166.66666666666666</v>
      </c>
      <c r="AE54" s="2">
        <f t="shared" ca="1" si="12"/>
        <v>30</v>
      </c>
      <c r="AF54" s="2">
        <f t="shared" ca="1" si="13"/>
        <v>750</v>
      </c>
      <c r="AG54" s="9">
        <f t="shared" ca="1" si="14"/>
        <v>2.4941666666666666</v>
      </c>
      <c r="AH54" s="9">
        <f t="shared" ca="1" si="15"/>
        <v>0.83341666666666658</v>
      </c>
    </row>
    <row r="55" spans="1:41" x14ac:dyDescent="0.25">
      <c r="A55" s="68">
        <f t="shared" si="1"/>
        <v>32</v>
      </c>
      <c r="B55" s="68" t="str">
        <f t="shared" si="2"/>
        <v>amortização</v>
      </c>
      <c r="C55" s="156">
        <f t="shared" si="7"/>
        <v>14.08333333333333</v>
      </c>
      <c r="D55" s="156">
        <f t="shared" si="16"/>
        <v>166.66666666666666</v>
      </c>
      <c r="E55" s="162">
        <f t="shared" si="4"/>
        <v>666.66666666666663</v>
      </c>
      <c r="F55" s="156">
        <f t="shared" si="5"/>
        <v>180.75</v>
      </c>
      <c r="G55" s="67"/>
      <c r="AA55" s="2">
        <f t="shared" si="9"/>
        <v>26</v>
      </c>
      <c r="AB55" s="8">
        <f t="shared" ca="1" si="10"/>
        <v>47020</v>
      </c>
      <c r="AC55" s="9">
        <f t="shared" ca="1" si="11"/>
        <v>1666.6666666666667</v>
      </c>
      <c r="AD55" s="9">
        <f t="shared" si="8"/>
        <v>166.66666666666666</v>
      </c>
      <c r="AE55" s="2">
        <f t="shared" ca="1" si="12"/>
        <v>30</v>
      </c>
      <c r="AF55" s="2">
        <f t="shared" ca="1" si="13"/>
        <v>780</v>
      </c>
      <c r="AG55" s="9">
        <f t="shared" ca="1" si="14"/>
        <v>2.4941666666666666</v>
      </c>
      <c r="AH55" s="9">
        <f t="shared" ca="1" si="15"/>
        <v>0.83341666666666658</v>
      </c>
    </row>
    <row r="56" spans="1:41" x14ac:dyDescent="0.25">
      <c r="A56" s="68">
        <f t="shared" si="1"/>
        <v>33</v>
      </c>
      <c r="B56" s="68" t="str">
        <f t="shared" si="2"/>
        <v>amortização</v>
      </c>
      <c r="C56" s="156">
        <f t="shared" si="7"/>
        <v>11.266666666666666</v>
      </c>
      <c r="D56" s="156">
        <f t="shared" si="16"/>
        <v>166.66666666666666</v>
      </c>
      <c r="E56" s="162">
        <f t="shared" si="4"/>
        <v>500</v>
      </c>
      <c r="F56" s="156">
        <f t="shared" si="5"/>
        <v>177.93333333333334</v>
      </c>
      <c r="G56" s="67"/>
      <c r="AA56" s="2">
        <f t="shared" si="9"/>
        <v>27</v>
      </c>
      <c r="AB56" s="8">
        <f t="shared" ca="1" si="10"/>
        <v>47050</v>
      </c>
      <c r="AC56" s="9">
        <f t="shared" ca="1" si="11"/>
        <v>1500</v>
      </c>
      <c r="AD56" s="9">
        <f t="shared" si="8"/>
        <v>166.66666666666666</v>
      </c>
      <c r="AE56" s="2">
        <f t="shared" ca="1" si="12"/>
        <v>30</v>
      </c>
      <c r="AF56" s="2">
        <f t="shared" ca="1" si="13"/>
        <v>810</v>
      </c>
      <c r="AG56" s="9">
        <f t="shared" ca="1" si="14"/>
        <v>2.4941666666666666</v>
      </c>
      <c r="AH56" s="9">
        <f t="shared" ca="1" si="15"/>
        <v>0.83341666666666658</v>
      </c>
    </row>
    <row r="57" spans="1:41" x14ac:dyDescent="0.25">
      <c r="A57" s="68">
        <f t="shared" si="1"/>
        <v>34</v>
      </c>
      <c r="B57" s="68" t="str">
        <f t="shared" si="2"/>
        <v>amortização</v>
      </c>
      <c r="C57" s="156">
        <f t="shared" si="7"/>
        <v>8.4499999999999993</v>
      </c>
      <c r="D57" s="156">
        <f t="shared" si="16"/>
        <v>166.66666666666666</v>
      </c>
      <c r="E57" s="162">
        <f t="shared" si="4"/>
        <v>333.33333333333337</v>
      </c>
      <c r="F57" s="156">
        <f t="shared" si="5"/>
        <v>175.11666666666665</v>
      </c>
      <c r="G57" s="67"/>
      <c r="AA57" s="2">
        <f t="shared" si="9"/>
        <v>28</v>
      </c>
      <c r="AB57" s="8">
        <f t="shared" ca="1" si="10"/>
        <v>47080</v>
      </c>
      <c r="AC57" s="9">
        <f t="shared" ca="1" si="11"/>
        <v>1333.3333333333333</v>
      </c>
      <c r="AD57" s="9">
        <f t="shared" si="8"/>
        <v>166.66666666666666</v>
      </c>
      <c r="AE57" s="2">
        <f t="shared" ca="1" si="12"/>
        <v>30</v>
      </c>
      <c r="AF57" s="2">
        <f t="shared" ca="1" si="13"/>
        <v>840</v>
      </c>
      <c r="AG57" s="9">
        <f t="shared" ca="1" si="14"/>
        <v>2.4941666666666666</v>
      </c>
      <c r="AH57" s="9">
        <f t="shared" ca="1" si="15"/>
        <v>0.83341666666666658</v>
      </c>
    </row>
    <row r="58" spans="1:41" x14ac:dyDescent="0.25">
      <c r="A58" s="68">
        <f t="shared" si="1"/>
        <v>35</v>
      </c>
      <c r="B58" s="68" t="str">
        <f t="shared" si="2"/>
        <v>amortização</v>
      </c>
      <c r="C58" s="156">
        <f t="shared" si="7"/>
        <v>5.6333333333333337</v>
      </c>
      <c r="D58" s="156">
        <f t="shared" si="16"/>
        <v>166.66666666666666</v>
      </c>
      <c r="E58" s="162">
        <f t="shared" si="4"/>
        <v>166.66666666666671</v>
      </c>
      <c r="F58" s="156">
        <f t="shared" si="5"/>
        <v>172.29999999999998</v>
      </c>
      <c r="G58" s="67"/>
      <c r="AA58" s="2">
        <f t="shared" si="9"/>
        <v>29</v>
      </c>
      <c r="AB58" s="8">
        <f t="shared" ca="1" si="10"/>
        <v>47110</v>
      </c>
      <c r="AC58" s="9">
        <f t="shared" ca="1" si="11"/>
        <v>1166.6666666666665</v>
      </c>
      <c r="AD58" s="9">
        <f t="shared" si="8"/>
        <v>166.66666666666666</v>
      </c>
      <c r="AE58" s="2">
        <f t="shared" ca="1" si="12"/>
        <v>30</v>
      </c>
      <c r="AF58" s="2">
        <f t="shared" ca="1" si="13"/>
        <v>870</v>
      </c>
      <c r="AG58" s="9">
        <f t="shared" ca="1" si="14"/>
        <v>2.4941666666666666</v>
      </c>
      <c r="AH58" s="9">
        <f t="shared" ca="1" si="15"/>
        <v>0.83341666666666658</v>
      </c>
    </row>
    <row r="59" spans="1:41" x14ac:dyDescent="0.25">
      <c r="A59" s="68">
        <f t="shared" si="1"/>
        <v>36</v>
      </c>
      <c r="B59" s="68" t="str">
        <f t="shared" si="2"/>
        <v>amortização</v>
      </c>
      <c r="C59" s="156">
        <f t="shared" si="7"/>
        <v>2.8166666666666673</v>
      </c>
      <c r="D59" s="156">
        <f t="shared" si="16"/>
        <v>166.66666666666666</v>
      </c>
      <c r="E59" s="162">
        <f t="shared" si="4"/>
        <v>5.6843418860808015E-14</v>
      </c>
      <c r="F59" s="156">
        <f t="shared" si="5"/>
        <v>169.48333333333332</v>
      </c>
      <c r="G59" s="67"/>
      <c r="AA59" s="2">
        <f t="shared" si="9"/>
        <v>30</v>
      </c>
      <c r="AB59" s="8">
        <f t="shared" ca="1" si="10"/>
        <v>47140</v>
      </c>
      <c r="AC59" s="9">
        <f t="shared" ca="1" si="11"/>
        <v>999.99999999999989</v>
      </c>
      <c r="AD59" s="9">
        <f t="shared" si="8"/>
        <v>166.66666666666666</v>
      </c>
      <c r="AE59" s="2">
        <f t="shared" ca="1" si="12"/>
        <v>30</v>
      </c>
      <c r="AF59" s="2">
        <f t="shared" ca="1" si="13"/>
        <v>900</v>
      </c>
      <c r="AG59" s="9">
        <f t="shared" ca="1" si="14"/>
        <v>2.4941666666666666</v>
      </c>
      <c r="AH59" s="9">
        <f t="shared" ca="1" si="15"/>
        <v>0.83341666666666658</v>
      </c>
      <c r="AN59" s="190">
        <f>SUM(F48:F59)</f>
        <v>2219.6999999999994</v>
      </c>
      <c r="AO59" s="190">
        <f>LARGE(F48:F59,1)</f>
        <v>200.46666666666664</v>
      </c>
    </row>
    <row r="60" spans="1:41" x14ac:dyDescent="0.25">
      <c r="A60" s="68" t="str">
        <f t="shared" si="1"/>
        <v/>
      </c>
      <c r="B60" s="68" t="str">
        <f t="shared" si="2"/>
        <v/>
      </c>
      <c r="C60" s="156" t="str">
        <f t="shared" si="7"/>
        <v/>
      </c>
      <c r="D60" s="156" t="str">
        <f t="shared" si="16"/>
        <v/>
      </c>
      <c r="E60" s="162" t="str">
        <f t="shared" si="4"/>
        <v/>
      </c>
      <c r="F60" s="156" t="str">
        <f t="shared" si="5"/>
        <v/>
      </c>
      <c r="G60" s="67"/>
      <c r="AA60" s="2">
        <f t="shared" si="9"/>
        <v>31</v>
      </c>
      <c r="AB60" s="8">
        <f t="shared" ca="1" si="10"/>
        <v>47170</v>
      </c>
      <c r="AC60" s="9">
        <f t="shared" ca="1" si="11"/>
        <v>833.33333333333326</v>
      </c>
      <c r="AD60" s="9">
        <f t="shared" si="8"/>
        <v>166.66666666666666</v>
      </c>
      <c r="AE60" s="2">
        <f t="shared" ca="1" si="12"/>
        <v>30</v>
      </c>
      <c r="AF60" s="2">
        <f t="shared" ca="1" si="13"/>
        <v>930</v>
      </c>
      <c r="AG60" s="9">
        <f t="shared" ca="1" si="14"/>
        <v>2.4941666666666666</v>
      </c>
      <c r="AH60" s="9">
        <f t="shared" ca="1" si="15"/>
        <v>0.83341666666666658</v>
      </c>
    </row>
    <row r="61" spans="1:41" x14ac:dyDescent="0.25">
      <c r="A61" s="68" t="str">
        <f t="shared" si="1"/>
        <v/>
      </c>
      <c r="B61" s="68" t="str">
        <f t="shared" si="2"/>
        <v/>
      </c>
      <c r="C61" s="156" t="str">
        <f t="shared" si="7"/>
        <v/>
      </c>
      <c r="D61" s="156" t="str">
        <f t="shared" si="16"/>
        <v/>
      </c>
      <c r="E61" s="162" t="str">
        <f t="shared" si="4"/>
        <v/>
      </c>
      <c r="F61" s="156" t="str">
        <f t="shared" si="5"/>
        <v/>
      </c>
      <c r="G61" s="67"/>
      <c r="AA61" s="2">
        <f t="shared" si="9"/>
        <v>32</v>
      </c>
      <c r="AB61" s="8">
        <f t="shared" ca="1" si="10"/>
        <v>47200</v>
      </c>
      <c r="AC61" s="9">
        <f t="shared" ca="1" si="11"/>
        <v>666.66666666666663</v>
      </c>
      <c r="AD61" s="9">
        <f t="shared" si="8"/>
        <v>166.66666666666666</v>
      </c>
      <c r="AE61" s="2">
        <f t="shared" ca="1" si="12"/>
        <v>30</v>
      </c>
      <c r="AF61" s="2">
        <f t="shared" ca="1" si="13"/>
        <v>960</v>
      </c>
      <c r="AG61" s="9">
        <f t="shared" ca="1" si="14"/>
        <v>2.4941666666666666</v>
      </c>
      <c r="AH61" s="9">
        <f t="shared" ca="1" si="15"/>
        <v>0.83341666666666658</v>
      </c>
    </row>
    <row r="62" spans="1:41" x14ac:dyDescent="0.25">
      <c r="A62" s="68" t="str">
        <f t="shared" si="1"/>
        <v/>
      </c>
      <c r="B62" s="68" t="str">
        <f t="shared" si="2"/>
        <v/>
      </c>
      <c r="C62" s="156" t="str">
        <f t="shared" si="7"/>
        <v/>
      </c>
      <c r="D62" s="156" t="str">
        <f t="shared" si="16"/>
        <v/>
      </c>
      <c r="E62" s="162" t="str">
        <f t="shared" si="4"/>
        <v/>
      </c>
      <c r="F62" s="156" t="str">
        <f t="shared" si="5"/>
        <v/>
      </c>
      <c r="G62" s="67"/>
      <c r="AA62" s="2">
        <f t="shared" si="9"/>
        <v>33</v>
      </c>
      <c r="AB62" s="8">
        <f t="shared" ca="1" si="10"/>
        <v>47230</v>
      </c>
      <c r="AC62" s="9">
        <f t="shared" ca="1" si="11"/>
        <v>500</v>
      </c>
      <c r="AD62" s="9">
        <f t="shared" si="8"/>
        <v>166.66666666666666</v>
      </c>
      <c r="AE62" s="2">
        <f t="shared" ca="1" si="12"/>
        <v>30</v>
      </c>
      <c r="AF62" s="2">
        <f t="shared" ca="1" si="13"/>
        <v>990</v>
      </c>
      <c r="AG62" s="9">
        <f t="shared" ca="1" si="14"/>
        <v>2.4941666666666666</v>
      </c>
      <c r="AH62" s="9">
        <f t="shared" ca="1" si="15"/>
        <v>0.83341666666666658</v>
      </c>
    </row>
    <row r="63" spans="1:41" x14ac:dyDescent="0.25">
      <c r="A63" s="68" t="str">
        <f t="shared" si="1"/>
        <v/>
      </c>
      <c r="B63" s="68" t="str">
        <f t="shared" si="2"/>
        <v/>
      </c>
      <c r="C63" s="156" t="str">
        <f t="shared" si="7"/>
        <v/>
      </c>
      <c r="D63" s="156" t="str">
        <f t="shared" si="16"/>
        <v/>
      </c>
      <c r="E63" s="162" t="str">
        <f t="shared" si="4"/>
        <v/>
      </c>
      <c r="F63" s="156" t="str">
        <f t="shared" si="5"/>
        <v/>
      </c>
      <c r="G63" s="67"/>
      <c r="AA63" s="2">
        <f t="shared" si="9"/>
        <v>34</v>
      </c>
      <c r="AB63" s="8">
        <f t="shared" ca="1" si="10"/>
        <v>47260</v>
      </c>
      <c r="AC63" s="9">
        <f t="shared" ca="1" si="11"/>
        <v>333.33333333333337</v>
      </c>
      <c r="AD63" s="9">
        <f t="shared" si="8"/>
        <v>166.66666666666666</v>
      </c>
      <c r="AE63" s="2">
        <f t="shared" ca="1" si="12"/>
        <v>30</v>
      </c>
      <c r="AF63" s="2">
        <f t="shared" ca="1" si="13"/>
        <v>1020</v>
      </c>
      <c r="AG63" s="9">
        <f t="shared" ca="1" si="14"/>
        <v>2.4941666666666666</v>
      </c>
      <c r="AH63" s="9">
        <f t="shared" ca="1" si="15"/>
        <v>0.83341666666666658</v>
      </c>
    </row>
    <row r="64" spans="1:41" x14ac:dyDescent="0.25">
      <c r="A64" s="68" t="str">
        <f t="shared" si="1"/>
        <v/>
      </c>
      <c r="B64" s="68" t="str">
        <f t="shared" si="2"/>
        <v/>
      </c>
      <c r="C64" s="156" t="str">
        <f t="shared" si="7"/>
        <v/>
      </c>
      <c r="D64" s="156" t="str">
        <f t="shared" si="16"/>
        <v/>
      </c>
      <c r="E64" s="162" t="str">
        <f t="shared" si="4"/>
        <v/>
      </c>
      <c r="F64" s="156" t="str">
        <f t="shared" si="5"/>
        <v/>
      </c>
      <c r="G64" s="67"/>
      <c r="AA64" s="2">
        <f t="shared" si="9"/>
        <v>35</v>
      </c>
      <c r="AB64" s="8">
        <f t="shared" ca="1" si="10"/>
        <v>47290</v>
      </c>
      <c r="AC64" s="9">
        <f t="shared" ca="1" si="11"/>
        <v>166.66666666666671</v>
      </c>
      <c r="AD64" s="9">
        <f t="shared" si="8"/>
        <v>166.66666666666666</v>
      </c>
      <c r="AE64" s="2">
        <f t="shared" ca="1" si="12"/>
        <v>30</v>
      </c>
      <c r="AF64" s="2">
        <f t="shared" ca="1" si="13"/>
        <v>1050</v>
      </c>
      <c r="AG64" s="9">
        <f t="shared" ca="1" si="14"/>
        <v>2.4941666666666666</v>
      </c>
      <c r="AH64" s="9">
        <f t="shared" ca="1" si="15"/>
        <v>0.83341666666666658</v>
      </c>
    </row>
    <row r="65" spans="1:34" x14ac:dyDescent="0.25">
      <c r="A65" s="68" t="str">
        <f t="shared" si="1"/>
        <v/>
      </c>
      <c r="B65" s="68" t="str">
        <f t="shared" si="2"/>
        <v/>
      </c>
      <c r="C65" s="156" t="str">
        <f t="shared" si="7"/>
        <v/>
      </c>
      <c r="D65" s="156" t="str">
        <f t="shared" si="16"/>
        <v/>
      </c>
      <c r="E65" s="162" t="str">
        <f t="shared" si="4"/>
        <v/>
      </c>
      <c r="F65" s="156" t="str">
        <f t="shared" si="5"/>
        <v/>
      </c>
      <c r="G65" s="67"/>
      <c r="AA65" s="2">
        <f t="shared" si="9"/>
        <v>36</v>
      </c>
      <c r="AB65" s="8">
        <f t="shared" ca="1" si="10"/>
        <v>47320</v>
      </c>
      <c r="AC65" s="9">
        <f t="shared" ca="1" si="11"/>
        <v>5.6843418860808015E-14</v>
      </c>
      <c r="AD65" s="9">
        <f t="shared" si="8"/>
        <v>166.66666666666666</v>
      </c>
      <c r="AE65" s="2">
        <f t="shared" ca="1" si="12"/>
        <v>30</v>
      </c>
      <c r="AF65" s="2">
        <f t="shared" ca="1" si="13"/>
        <v>1080</v>
      </c>
      <c r="AG65" s="9">
        <f t="shared" ca="1" si="14"/>
        <v>2.4941666666666666</v>
      </c>
      <c r="AH65" s="9">
        <f t="shared" ca="1" si="15"/>
        <v>0.83341666666666658</v>
      </c>
    </row>
    <row r="66" spans="1:34" x14ac:dyDescent="0.25">
      <c r="A66" s="68" t="str">
        <f t="shared" si="1"/>
        <v/>
      </c>
      <c r="B66" s="68" t="str">
        <f t="shared" si="2"/>
        <v/>
      </c>
      <c r="C66" s="156" t="str">
        <f t="shared" si="7"/>
        <v/>
      </c>
      <c r="D66" s="156" t="str">
        <f t="shared" si="16"/>
        <v/>
      </c>
      <c r="E66" s="162" t="str">
        <f t="shared" si="4"/>
        <v/>
      </c>
      <c r="F66" s="156" t="str">
        <f t="shared" si="5"/>
        <v/>
      </c>
      <c r="G66" s="67"/>
      <c r="AA66" s="2" t="str">
        <f t="shared" si="9"/>
        <v/>
      </c>
      <c r="AB66" s="8" t="str">
        <f t="shared" si="10"/>
        <v/>
      </c>
      <c r="AC66" s="9" t="str">
        <f t="shared" si="11"/>
        <v/>
      </c>
      <c r="AD66" s="9" t="str">
        <f t="shared" si="8"/>
        <v/>
      </c>
      <c r="AE66" s="2" t="str">
        <f t="shared" si="12"/>
        <v/>
      </c>
      <c r="AF66" s="2" t="str">
        <f t="shared" si="13"/>
        <v/>
      </c>
      <c r="AG66" s="9" t="str">
        <f t="shared" si="14"/>
        <v/>
      </c>
      <c r="AH66" s="9" t="str">
        <f t="shared" si="15"/>
        <v/>
      </c>
    </row>
    <row r="67" spans="1:34" x14ac:dyDescent="0.25">
      <c r="A67" s="68" t="str">
        <f t="shared" si="1"/>
        <v/>
      </c>
      <c r="B67" s="68" t="str">
        <f t="shared" si="2"/>
        <v/>
      </c>
      <c r="C67" s="156" t="str">
        <f t="shared" si="7"/>
        <v/>
      </c>
      <c r="D67" s="156" t="str">
        <f t="shared" si="16"/>
        <v/>
      </c>
      <c r="E67" s="162" t="str">
        <f t="shared" si="4"/>
        <v/>
      </c>
      <c r="F67" s="156" t="str">
        <f t="shared" si="5"/>
        <v/>
      </c>
      <c r="G67" s="67"/>
      <c r="AA67" s="2" t="str">
        <f t="shared" si="9"/>
        <v/>
      </c>
      <c r="AB67" s="8" t="str">
        <f t="shared" si="10"/>
        <v/>
      </c>
      <c r="AC67" s="9" t="str">
        <f t="shared" si="11"/>
        <v/>
      </c>
      <c r="AD67" s="9" t="str">
        <f t="shared" si="8"/>
        <v/>
      </c>
      <c r="AE67" s="2" t="str">
        <f t="shared" si="12"/>
        <v/>
      </c>
      <c r="AF67" s="2" t="str">
        <f t="shared" si="13"/>
        <v/>
      </c>
      <c r="AG67" s="9" t="str">
        <f t="shared" si="14"/>
        <v/>
      </c>
      <c r="AH67" s="9" t="str">
        <f t="shared" si="15"/>
        <v/>
      </c>
    </row>
    <row r="68" spans="1:34" x14ac:dyDescent="0.25">
      <c r="A68" s="68" t="str">
        <f t="shared" si="1"/>
        <v/>
      </c>
      <c r="B68" s="68" t="str">
        <f t="shared" si="2"/>
        <v/>
      </c>
      <c r="C68" s="156" t="str">
        <f t="shared" si="7"/>
        <v/>
      </c>
      <c r="D68" s="156" t="str">
        <f t="shared" si="16"/>
        <v/>
      </c>
      <c r="E68" s="162" t="str">
        <f t="shared" si="4"/>
        <v/>
      </c>
      <c r="F68" s="156" t="str">
        <f t="shared" si="5"/>
        <v/>
      </c>
      <c r="G68" s="67"/>
      <c r="AA68" s="2" t="str">
        <f t="shared" si="9"/>
        <v/>
      </c>
      <c r="AB68" s="8" t="str">
        <f t="shared" si="10"/>
        <v/>
      </c>
      <c r="AC68" s="9" t="str">
        <f t="shared" si="11"/>
        <v/>
      </c>
      <c r="AD68" s="9" t="str">
        <f t="shared" si="8"/>
        <v/>
      </c>
      <c r="AE68" s="2" t="str">
        <f t="shared" si="12"/>
        <v/>
      </c>
      <c r="AF68" s="2" t="str">
        <f t="shared" si="13"/>
        <v/>
      </c>
      <c r="AG68" s="9" t="str">
        <f t="shared" si="14"/>
        <v/>
      </c>
      <c r="AH68" s="9" t="str">
        <f t="shared" si="15"/>
        <v/>
      </c>
    </row>
    <row r="69" spans="1:34" x14ac:dyDescent="0.25">
      <c r="A69" s="68" t="str">
        <f t="shared" si="1"/>
        <v/>
      </c>
      <c r="B69" s="68" t="str">
        <f t="shared" si="2"/>
        <v/>
      </c>
      <c r="C69" s="156" t="str">
        <f t="shared" si="7"/>
        <v/>
      </c>
      <c r="D69" s="156" t="str">
        <f t="shared" si="16"/>
        <v/>
      </c>
      <c r="E69" s="162" t="str">
        <f t="shared" si="4"/>
        <v/>
      </c>
      <c r="F69" s="156" t="str">
        <f t="shared" si="5"/>
        <v/>
      </c>
      <c r="G69" s="67"/>
      <c r="AA69" s="2" t="str">
        <f t="shared" si="9"/>
        <v/>
      </c>
      <c r="AB69" s="8" t="str">
        <f t="shared" si="10"/>
        <v/>
      </c>
      <c r="AC69" s="9" t="str">
        <f t="shared" si="11"/>
        <v/>
      </c>
      <c r="AD69" s="9" t="str">
        <f t="shared" si="8"/>
        <v/>
      </c>
      <c r="AE69" s="2" t="str">
        <f t="shared" si="12"/>
        <v/>
      </c>
      <c r="AF69" s="2" t="str">
        <f t="shared" si="13"/>
        <v/>
      </c>
      <c r="AG69" s="9" t="str">
        <f t="shared" si="14"/>
        <v/>
      </c>
      <c r="AH69" s="9" t="str">
        <f t="shared" si="15"/>
        <v/>
      </c>
    </row>
    <row r="70" spans="1:34" x14ac:dyDescent="0.25">
      <c r="A70" s="68" t="str">
        <f t="shared" si="1"/>
        <v/>
      </c>
      <c r="B70" s="68" t="str">
        <f t="shared" si="2"/>
        <v/>
      </c>
      <c r="C70" s="156" t="str">
        <f t="shared" si="7"/>
        <v/>
      </c>
      <c r="D70" s="156" t="str">
        <f t="shared" si="16"/>
        <v/>
      </c>
      <c r="E70" s="162" t="str">
        <f t="shared" si="4"/>
        <v/>
      </c>
      <c r="F70" s="156" t="str">
        <f t="shared" si="5"/>
        <v/>
      </c>
      <c r="G70" s="67"/>
      <c r="AA70" s="2" t="str">
        <f t="shared" si="9"/>
        <v/>
      </c>
      <c r="AB70" s="8" t="str">
        <f t="shared" si="10"/>
        <v/>
      </c>
      <c r="AC70" s="9" t="str">
        <f t="shared" si="11"/>
        <v/>
      </c>
      <c r="AD70" s="9" t="str">
        <f t="shared" si="8"/>
        <v/>
      </c>
      <c r="AE70" s="2" t="str">
        <f t="shared" si="12"/>
        <v/>
      </c>
      <c r="AF70" s="2" t="str">
        <f t="shared" si="13"/>
        <v/>
      </c>
      <c r="AG70" s="9" t="str">
        <f t="shared" si="14"/>
        <v/>
      </c>
      <c r="AH70" s="9" t="str">
        <f t="shared" si="15"/>
        <v/>
      </c>
    </row>
    <row r="71" spans="1:34" x14ac:dyDescent="0.25">
      <c r="A71" s="68" t="str">
        <f t="shared" si="1"/>
        <v/>
      </c>
      <c r="B71" s="68" t="str">
        <f t="shared" si="2"/>
        <v/>
      </c>
      <c r="C71" s="156" t="str">
        <f t="shared" si="7"/>
        <v/>
      </c>
      <c r="D71" s="156" t="str">
        <f t="shared" si="16"/>
        <v/>
      </c>
      <c r="E71" s="162" t="str">
        <f t="shared" si="4"/>
        <v/>
      </c>
      <c r="F71" s="156" t="str">
        <f t="shared" si="5"/>
        <v/>
      </c>
      <c r="G71" s="67"/>
      <c r="AA71" s="2" t="str">
        <f t="shared" si="9"/>
        <v/>
      </c>
      <c r="AB71" s="8" t="str">
        <f t="shared" si="10"/>
        <v/>
      </c>
      <c r="AC71" s="9" t="str">
        <f t="shared" si="11"/>
        <v/>
      </c>
      <c r="AD71" s="9" t="str">
        <f t="shared" si="8"/>
        <v/>
      </c>
      <c r="AE71" s="2" t="str">
        <f t="shared" si="12"/>
        <v/>
      </c>
      <c r="AF71" s="2" t="str">
        <f t="shared" si="13"/>
        <v/>
      </c>
      <c r="AG71" s="9" t="str">
        <f t="shared" si="14"/>
        <v/>
      </c>
      <c r="AH71" s="9" t="str">
        <f t="shared" si="15"/>
        <v/>
      </c>
    </row>
    <row r="72" spans="1:34" x14ac:dyDescent="0.25">
      <c r="A72" s="68"/>
      <c r="B72" s="68"/>
      <c r="C72" s="156"/>
      <c r="D72" s="156"/>
      <c r="E72" s="162"/>
      <c r="F72" s="156"/>
      <c r="G72" s="67"/>
      <c r="AA72" s="2" t="str">
        <f t="shared" si="9"/>
        <v/>
      </c>
      <c r="AB72" s="8" t="str">
        <f t="shared" si="10"/>
        <v/>
      </c>
      <c r="AC72" s="9" t="str">
        <f t="shared" si="11"/>
        <v/>
      </c>
      <c r="AD72" s="9" t="str">
        <f t="shared" si="8"/>
        <v/>
      </c>
      <c r="AE72" s="2" t="str">
        <f t="shared" si="12"/>
        <v/>
      </c>
      <c r="AF72" s="2" t="str">
        <f t="shared" si="13"/>
        <v/>
      </c>
      <c r="AG72" s="9" t="str">
        <f t="shared" si="14"/>
        <v/>
      </c>
      <c r="AH72" s="9" t="str">
        <f t="shared" si="15"/>
        <v/>
      </c>
    </row>
    <row r="73" spans="1:34" x14ac:dyDescent="0.25">
      <c r="A73" s="68"/>
      <c r="B73" s="68"/>
      <c r="C73" s="156"/>
      <c r="D73" s="156"/>
      <c r="E73" s="162"/>
      <c r="F73" s="156"/>
      <c r="G73" s="67"/>
      <c r="AA73" s="2" t="str">
        <f t="shared" si="9"/>
        <v/>
      </c>
      <c r="AB73" s="8" t="str">
        <f t="shared" si="10"/>
        <v/>
      </c>
      <c r="AC73" s="9" t="str">
        <f t="shared" si="11"/>
        <v/>
      </c>
      <c r="AD73" s="9" t="str">
        <f t="shared" si="8"/>
        <v/>
      </c>
      <c r="AE73" s="2" t="str">
        <f t="shared" si="12"/>
        <v/>
      </c>
      <c r="AF73" s="2" t="str">
        <f t="shared" si="13"/>
        <v/>
      </c>
      <c r="AG73" s="9" t="str">
        <f t="shared" si="14"/>
        <v/>
      </c>
      <c r="AH73" s="9" t="str">
        <f t="shared" si="15"/>
        <v/>
      </c>
    </row>
    <row r="74" spans="1:34" x14ac:dyDescent="0.25">
      <c r="A74" s="68"/>
      <c r="B74" s="68"/>
      <c r="C74" s="156"/>
      <c r="D74" s="156"/>
      <c r="E74" s="162"/>
      <c r="F74" s="156"/>
      <c r="G74" s="67"/>
      <c r="AA74" s="2" t="str">
        <f t="shared" si="9"/>
        <v/>
      </c>
      <c r="AB74" s="8" t="str">
        <f t="shared" si="10"/>
        <v/>
      </c>
      <c r="AC74" s="9" t="str">
        <f t="shared" si="11"/>
        <v/>
      </c>
      <c r="AD74" s="9" t="str">
        <f t="shared" si="8"/>
        <v/>
      </c>
      <c r="AE74" s="2" t="str">
        <f t="shared" si="12"/>
        <v/>
      </c>
      <c r="AF74" s="2" t="str">
        <f t="shared" si="13"/>
        <v/>
      </c>
      <c r="AG74" s="9" t="str">
        <f t="shared" si="14"/>
        <v/>
      </c>
      <c r="AH74" s="9" t="str">
        <f t="shared" si="15"/>
        <v/>
      </c>
    </row>
    <row r="75" spans="1:34" x14ac:dyDescent="0.25">
      <c r="A75" s="68"/>
      <c r="B75" s="68"/>
      <c r="C75" s="156"/>
      <c r="D75" s="156"/>
      <c r="E75" s="162"/>
      <c r="F75" s="156"/>
      <c r="G75" s="67"/>
      <c r="AA75" s="2" t="str">
        <f t="shared" si="9"/>
        <v/>
      </c>
      <c r="AB75" s="8" t="str">
        <f t="shared" si="10"/>
        <v/>
      </c>
      <c r="AC75" s="9" t="str">
        <f t="shared" si="11"/>
        <v/>
      </c>
      <c r="AD75" s="9" t="str">
        <f t="shared" si="8"/>
        <v/>
      </c>
      <c r="AE75" s="2" t="str">
        <f t="shared" si="12"/>
        <v/>
      </c>
      <c r="AF75" s="2" t="str">
        <f t="shared" si="13"/>
        <v/>
      </c>
      <c r="AG75" s="9" t="str">
        <f t="shared" si="14"/>
        <v/>
      </c>
      <c r="AH75" s="9" t="str">
        <f t="shared" si="15"/>
        <v/>
      </c>
    </row>
    <row r="76" spans="1:34" x14ac:dyDescent="0.25">
      <c r="A76" s="68"/>
      <c r="B76" s="68"/>
      <c r="C76" s="156"/>
      <c r="D76" s="156"/>
      <c r="E76" s="162"/>
      <c r="F76" s="156"/>
      <c r="G76" s="67"/>
      <c r="AA76" s="2" t="str">
        <f t="shared" si="9"/>
        <v/>
      </c>
      <c r="AB76" s="8" t="str">
        <f t="shared" si="10"/>
        <v/>
      </c>
      <c r="AC76" s="9" t="str">
        <f t="shared" si="11"/>
        <v/>
      </c>
      <c r="AD76" s="9" t="str">
        <f t="shared" si="8"/>
        <v/>
      </c>
      <c r="AE76" s="2" t="str">
        <f t="shared" si="12"/>
        <v/>
      </c>
      <c r="AF76" s="2" t="str">
        <f t="shared" si="13"/>
        <v/>
      </c>
      <c r="AG76" s="9" t="str">
        <f t="shared" si="14"/>
        <v/>
      </c>
      <c r="AH76" s="9" t="str">
        <f t="shared" si="15"/>
        <v/>
      </c>
    </row>
    <row r="77" spans="1:34" x14ac:dyDescent="0.25">
      <c r="A77" s="68"/>
      <c r="B77" s="68"/>
      <c r="C77" s="156"/>
      <c r="D77" s="156"/>
      <c r="E77" s="162"/>
      <c r="F77" s="156"/>
      <c r="G77" s="67"/>
      <c r="AA77" s="2" t="str">
        <f t="shared" si="9"/>
        <v/>
      </c>
      <c r="AB77" s="8" t="str">
        <f t="shared" si="10"/>
        <v/>
      </c>
      <c r="AC77" s="9" t="str">
        <f t="shared" si="11"/>
        <v/>
      </c>
      <c r="AD77" s="9" t="str">
        <f t="shared" si="8"/>
        <v/>
      </c>
      <c r="AE77" s="2" t="str">
        <f t="shared" si="12"/>
        <v/>
      </c>
      <c r="AF77" s="2" t="str">
        <f t="shared" si="13"/>
        <v/>
      </c>
      <c r="AG77" s="9" t="str">
        <f t="shared" si="14"/>
        <v/>
      </c>
      <c r="AH77" s="9" t="str">
        <f t="shared" si="15"/>
        <v/>
      </c>
    </row>
    <row r="78" spans="1:34" x14ac:dyDescent="0.25">
      <c r="A78" s="68"/>
      <c r="B78" s="68"/>
      <c r="C78" s="156"/>
      <c r="D78" s="156"/>
      <c r="E78" s="162"/>
      <c r="F78" s="156"/>
      <c r="G78" s="67"/>
      <c r="AA78" s="2" t="str">
        <f t="shared" si="9"/>
        <v/>
      </c>
      <c r="AC78" s="9" t="str">
        <f t="shared" si="11"/>
        <v/>
      </c>
      <c r="AD78" s="9" t="str">
        <f t="shared" si="8"/>
        <v/>
      </c>
      <c r="AF78" s="2" t="str">
        <f t="shared" si="13"/>
        <v/>
      </c>
      <c r="AG78" s="9" t="str">
        <f t="shared" si="14"/>
        <v/>
      </c>
      <c r="AH78" s="9" t="str">
        <f t="shared" si="15"/>
        <v/>
      </c>
    </row>
    <row r="79" spans="1:34" x14ac:dyDescent="0.25">
      <c r="A79" s="68"/>
      <c r="B79" s="68"/>
      <c r="C79" s="156"/>
      <c r="D79" s="156"/>
      <c r="E79" s="162"/>
      <c r="F79" s="156"/>
      <c r="G79" s="67"/>
      <c r="AA79" s="2" t="str">
        <f t="shared" si="9"/>
        <v/>
      </c>
      <c r="AC79" s="9" t="str">
        <f t="shared" si="11"/>
        <v/>
      </c>
      <c r="AD79" s="9" t="str">
        <f t="shared" si="8"/>
        <v/>
      </c>
      <c r="AF79" s="2" t="str">
        <f t="shared" si="13"/>
        <v/>
      </c>
      <c r="AG79" s="9" t="str">
        <f t="shared" si="14"/>
        <v/>
      </c>
      <c r="AH79" s="9" t="str">
        <f t="shared" si="15"/>
        <v/>
      </c>
    </row>
    <row r="80" spans="1:34" x14ac:dyDescent="0.25">
      <c r="A80" s="68"/>
      <c r="B80" s="68"/>
      <c r="C80" s="156"/>
      <c r="D80" s="156"/>
      <c r="E80" s="162"/>
      <c r="F80" s="156"/>
      <c r="G80" s="67"/>
      <c r="AA80" s="2" t="str">
        <f t="shared" si="9"/>
        <v/>
      </c>
      <c r="AC80" s="9" t="str">
        <f t="shared" si="11"/>
        <v/>
      </c>
      <c r="AD80" s="9" t="str">
        <f t="shared" si="8"/>
        <v/>
      </c>
      <c r="AF80" s="2" t="str">
        <f t="shared" si="13"/>
        <v/>
      </c>
      <c r="AG80" s="9" t="str">
        <f t="shared" si="14"/>
        <v/>
      </c>
      <c r="AH80" s="9" t="str">
        <f t="shared" si="15"/>
        <v/>
      </c>
    </row>
    <row r="81" spans="1:34" x14ac:dyDescent="0.25">
      <c r="A81" s="68"/>
      <c r="B81" s="68"/>
      <c r="C81" s="156"/>
      <c r="D81" s="156"/>
      <c r="E81" s="162"/>
      <c r="F81" s="156"/>
      <c r="G81" s="67"/>
      <c r="AA81" s="2" t="str">
        <f t="shared" si="9"/>
        <v/>
      </c>
      <c r="AC81" s="9" t="str">
        <f t="shared" si="11"/>
        <v/>
      </c>
      <c r="AD81" s="9" t="str">
        <f t="shared" si="8"/>
        <v/>
      </c>
      <c r="AF81" s="2" t="str">
        <f t="shared" si="13"/>
        <v/>
      </c>
      <c r="AG81" s="9" t="str">
        <f t="shared" si="14"/>
        <v/>
      </c>
      <c r="AH81" s="9" t="str">
        <f t="shared" si="15"/>
        <v/>
      </c>
    </row>
    <row r="82" spans="1:34" x14ac:dyDescent="0.25">
      <c r="A82" s="68"/>
      <c r="B82" s="68"/>
      <c r="C82" s="156"/>
      <c r="D82" s="156"/>
      <c r="E82" s="162"/>
      <c r="F82" s="156"/>
      <c r="G82" s="67"/>
      <c r="AA82" s="2" t="str">
        <f t="shared" si="9"/>
        <v/>
      </c>
      <c r="AC82" s="9" t="str">
        <f t="shared" si="11"/>
        <v/>
      </c>
      <c r="AD82" s="9" t="str">
        <f t="shared" si="8"/>
        <v/>
      </c>
      <c r="AF82" s="2" t="str">
        <f t="shared" si="13"/>
        <v/>
      </c>
      <c r="AG82" s="9" t="str">
        <f t="shared" si="14"/>
        <v/>
      </c>
      <c r="AH82" s="9" t="str">
        <f t="shared" si="15"/>
        <v/>
      </c>
    </row>
    <row r="83" spans="1:34" x14ac:dyDescent="0.25">
      <c r="A83" s="68"/>
      <c r="B83" s="68"/>
      <c r="C83" s="156"/>
      <c r="D83" s="156"/>
      <c r="E83" s="162"/>
      <c r="F83" s="156"/>
      <c r="G83" s="67"/>
      <c r="AA83" s="2" t="str">
        <f t="shared" si="9"/>
        <v/>
      </c>
      <c r="AC83" s="9" t="str">
        <f t="shared" si="11"/>
        <v/>
      </c>
      <c r="AD83" s="9" t="str">
        <f t="shared" si="8"/>
        <v/>
      </c>
      <c r="AF83" s="2" t="str">
        <f t="shared" si="13"/>
        <v/>
      </c>
      <c r="AG83" s="9" t="str">
        <f t="shared" si="14"/>
        <v/>
      </c>
      <c r="AH83" s="9" t="str">
        <f t="shared" si="15"/>
        <v/>
      </c>
    </row>
    <row r="84" spans="1:34" x14ac:dyDescent="0.25">
      <c r="A84" s="68"/>
      <c r="B84" s="68"/>
      <c r="C84" s="156"/>
      <c r="D84" s="156"/>
      <c r="E84" s="162"/>
      <c r="F84" s="156"/>
      <c r="G84" s="67"/>
      <c r="AA84" s="2" t="str">
        <f t="shared" si="9"/>
        <v/>
      </c>
      <c r="AC84" s="9" t="str">
        <f t="shared" si="11"/>
        <v/>
      </c>
      <c r="AD84" s="9" t="str">
        <f t="shared" si="8"/>
        <v/>
      </c>
      <c r="AF84" s="2" t="str">
        <f t="shared" si="13"/>
        <v/>
      </c>
      <c r="AG84" s="9" t="str">
        <f t="shared" si="14"/>
        <v/>
      </c>
      <c r="AH84" s="9" t="str">
        <f t="shared" si="15"/>
        <v/>
      </c>
    </row>
    <row r="85" spans="1:34" x14ac:dyDescent="0.25">
      <c r="A85" s="68"/>
      <c r="B85" s="68"/>
      <c r="C85" s="156"/>
      <c r="D85" s="156"/>
      <c r="E85" s="162"/>
      <c r="F85" s="156"/>
      <c r="G85" s="67"/>
      <c r="AA85" s="2" t="str">
        <f t="shared" si="9"/>
        <v/>
      </c>
      <c r="AC85" s="9" t="str">
        <f t="shared" si="11"/>
        <v/>
      </c>
      <c r="AD85" s="9" t="str">
        <f t="shared" si="8"/>
        <v/>
      </c>
      <c r="AF85" s="2" t="str">
        <f t="shared" si="13"/>
        <v/>
      </c>
      <c r="AG85" s="9" t="str">
        <f t="shared" si="14"/>
        <v/>
      </c>
      <c r="AH85" s="9" t="str">
        <f t="shared" si="15"/>
        <v/>
      </c>
    </row>
    <row r="86" spans="1:34" x14ac:dyDescent="0.25">
      <c r="A86" s="68"/>
      <c r="B86" s="68"/>
      <c r="C86" s="156"/>
      <c r="D86" s="156"/>
      <c r="E86" s="162"/>
      <c r="F86" s="156"/>
      <c r="G86" s="67"/>
      <c r="AA86" s="2" t="str">
        <f t="shared" si="9"/>
        <v/>
      </c>
      <c r="AC86" s="9" t="str">
        <f t="shared" si="11"/>
        <v/>
      </c>
      <c r="AD86" s="9" t="str">
        <f t="shared" si="8"/>
        <v/>
      </c>
      <c r="AF86" s="2" t="str">
        <f t="shared" si="13"/>
        <v/>
      </c>
      <c r="AG86" s="9" t="str">
        <f t="shared" si="14"/>
        <v/>
      </c>
      <c r="AH86" s="9" t="str">
        <f t="shared" si="15"/>
        <v/>
      </c>
    </row>
    <row r="87" spans="1:34" x14ac:dyDescent="0.25">
      <c r="A87" s="68"/>
      <c r="B87" s="68"/>
      <c r="C87" s="156"/>
      <c r="D87" s="156"/>
      <c r="E87" s="162"/>
      <c r="F87" s="156"/>
      <c r="G87" s="67"/>
      <c r="AA87" s="2" t="str">
        <f t="shared" si="9"/>
        <v/>
      </c>
      <c r="AC87" s="9" t="str">
        <f t="shared" si="11"/>
        <v/>
      </c>
      <c r="AD87" s="9" t="str">
        <f t="shared" si="8"/>
        <v/>
      </c>
      <c r="AF87" s="2" t="str">
        <f t="shared" si="13"/>
        <v/>
      </c>
      <c r="AG87" s="9" t="str">
        <f t="shared" si="14"/>
        <v/>
      </c>
      <c r="AH87" s="9" t="str">
        <f t="shared" si="15"/>
        <v/>
      </c>
    </row>
    <row r="88" spans="1:34" x14ac:dyDescent="0.25">
      <c r="A88" s="68"/>
      <c r="B88" s="68"/>
      <c r="C88" s="156"/>
      <c r="D88" s="156"/>
      <c r="E88" s="162"/>
      <c r="F88" s="156"/>
      <c r="G88" s="67"/>
      <c r="AA88" s="2" t="str">
        <f t="shared" si="9"/>
        <v/>
      </c>
      <c r="AC88" s="9" t="str">
        <f t="shared" si="11"/>
        <v/>
      </c>
      <c r="AD88" s="9" t="str">
        <f t="shared" si="8"/>
        <v/>
      </c>
      <c r="AF88" s="2" t="str">
        <f t="shared" si="13"/>
        <v/>
      </c>
      <c r="AG88" s="9" t="str">
        <f t="shared" si="14"/>
        <v/>
      </c>
      <c r="AH88" s="9" t="str">
        <f t="shared" si="15"/>
        <v/>
      </c>
    </row>
    <row r="89" spans="1:34" x14ac:dyDescent="0.25">
      <c r="A89" s="68"/>
      <c r="B89" s="68"/>
      <c r="C89" s="156"/>
      <c r="D89" s="156"/>
      <c r="E89" s="162"/>
      <c r="F89" s="156"/>
      <c r="G89" s="67"/>
      <c r="AA89" s="2" t="str">
        <f t="shared" si="9"/>
        <v/>
      </c>
      <c r="AC89" s="9" t="str">
        <f t="shared" si="11"/>
        <v/>
      </c>
      <c r="AD89" s="9" t="str">
        <f t="shared" si="8"/>
        <v/>
      </c>
      <c r="AF89" s="2" t="str">
        <f t="shared" si="13"/>
        <v/>
      </c>
      <c r="AG89" s="9" t="str">
        <f t="shared" si="14"/>
        <v/>
      </c>
      <c r="AH89" s="9" t="str">
        <f t="shared" si="15"/>
        <v/>
      </c>
    </row>
    <row r="90" spans="1:34" x14ac:dyDescent="0.25">
      <c r="A90" s="68"/>
      <c r="B90" s="68"/>
      <c r="C90" s="156"/>
      <c r="D90" s="156"/>
      <c r="E90" s="162"/>
      <c r="F90" s="156"/>
      <c r="G90" s="67"/>
      <c r="AA90" s="2" t="str">
        <f t="shared" si="9"/>
        <v/>
      </c>
      <c r="AC90" s="9" t="str">
        <f t="shared" si="11"/>
        <v/>
      </c>
      <c r="AD90" s="9" t="str">
        <f t="shared" si="8"/>
        <v/>
      </c>
      <c r="AF90" s="2" t="str">
        <f t="shared" si="13"/>
        <v/>
      </c>
      <c r="AG90" s="9" t="str">
        <f t="shared" si="14"/>
        <v/>
      </c>
      <c r="AH90" s="9" t="str">
        <f t="shared" si="15"/>
        <v/>
      </c>
    </row>
    <row r="91" spans="1:34" x14ac:dyDescent="0.25">
      <c r="A91" s="68"/>
      <c r="B91" s="68"/>
      <c r="C91" s="156"/>
      <c r="D91" s="156"/>
      <c r="E91" s="162"/>
      <c r="F91" s="156"/>
      <c r="G91" s="67"/>
      <c r="AA91" s="2" t="str">
        <f t="shared" si="9"/>
        <v/>
      </c>
      <c r="AC91" s="9" t="str">
        <f t="shared" si="11"/>
        <v/>
      </c>
      <c r="AD91" s="9" t="str">
        <f t="shared" si="8"/>
        <v/>
      </c>
      <c r="AF91" s="2" t="str">
        <f t="shared" si="13"/>
        <v/>
      </c>
      <c r="AG91" s="9" t="str">
        <f t="shared" si="14"/>
        <v/>
      </c>
      <c r="AH91" s="9" t="str">
        <f t="shared" si="15"/>
        <v/>
      </c>
    </row>
    <row r="92" spans="1:34" x14ac:dyDescent="0.25">
      <c r="A92" s="68"/>
      <c r="B92" s="68"/>
      <c r="C92" s="156"/>
      <c r="D92" s="156"/>
      <c r="E92" s="162"/>
      <c r="F92" s="156"/>
      <c r="G92" s="67"/>
      <c r="AA92" s="2" t="str">
        <f t="shared" si="9"/>
        <v/>
      </c>
      <c r="AC92" s="9" t="str">
        <f t="shared" si="11"/>
        <v/>
      </c>
      <c r="AD92" s="9" t="str">
        <f t="shared" si="8"/>
        <v/>
      </c>
      <c r="AF92" s="2" t="str">
        <f t="shared" si="13"/>
        <v/>
      </c>
      <c r="AG92" s="9" t="str">
        <f t="shared" si="14"/>
        <v/>
      </c>
      <c r="AH92" s="9" t="str">
        <f t="shared" si="15"/>
        <v/>
      </c>
    </row>
    <row r="93" spans="1:34" x14ac:dyDescent="0.25">
      <c r="A93" s="68"/>
      <c r="B93" s="68"/>
      <c r="C93" s="156"/>
      <c r="D93" s="156"/>
      <c r="E93" s="162"/>
      <c r="F93" s="156"/>
      <c r="G93" s="67"/>
      <c r="AA93" s="2" t="str">
        <f t="shared" si="9"/>
        <v/>
      </c>
      <c r="AC93" s="9" t="str">
        <f t="shared" si="11"/>
        <v/>
      </c>
      <c r="AD93" s="9" t="str">
        <f t="shared" si="8"/>
        <v/>
      </c>
      <c r="AF93" s="2" t="str">
        <f t="shared" si="13"/>
        <v/>
      </c>
      <c r="AG93" s="9" t="str">
        <f t="shared" si="14"/>
        <v/>
      </c>
      <c r="AH93" s="9" t="str">
        <f t="shared" si="15"/>
        <v/>
      </c>
    </row>
    <row r="94" spans="1:34" x14ac:dyDescent="0.25">
      <c r="A94" s="68"/>
      <c r="B94" s="68"/>
      <c r="C94" s="156"/>
      <c r="D94" s="156"/>
      <c r="E94" s="162"/>
      <c r="F94" s="156"/>
      <c r="G94" s="67"/>
      <c r="AA94" s="2" t="str">
        <f t="shared" si="9"/>
        <v/>
      </c>
      <c r="AC94" s="9" t="str">
        <f t="shared" si="11"/>
        <v/>
      </c>
      <c r="AD94" s="9" t="str">
        <f t="shared" ref="AD94:AD157" si="17">IF(AA94="","",IF(AA94&lt;=B$16,0,B$15/(B$17-B$16)))</f>
        <v/>
      </c>
      <c r="AF94" s="2" t="str">
        <f t="shared" si="13"/>
        <v/>
      </c>
      <c r="AG94" s="9" t="str">
        <f t="shared" si="14"/>
        <v/>
      </c>
      <c r="AH94" s="9" t="str">
        <f t="shared" si="15"/>
        <v/>
      </c>
    </row>
    <row r="95" spans="1:34" x14ac:dyDescent="0.25">
      <c r="A95" s="68"/>
      <c r="B95" s="68"/>
      <c r="C95" s="156"/>
      <c r="D95" s="156"/>
      <c r="E95" s="162"/>
      <c r="F95" s="156"/>
      <c r="G95" s="67"/>
      <c r="AA95" s="2" t="str">
        <f t="shared" ref="AA95:AA158" si="18">IF(AA94&lt;B$17,AA94+1,"")</f>
        <v/>
      </c>
      <c r="AC95" s="9" t="str">
        <f t="shared" ref="AC95:AC158" si="19">IF(AB95="","",IF(AA95&lt;=B$16,AC94,AC94-AD95))</f>
        <v/>
      </c>
      <c r="AD95" s="9" t="str">
        <f t="shared" si="17"/>
        <v/>
      </c>
      <c r="AF95" s="2" t="str">
        <f t="shared" ref="AF95:AF158" si="20">IF(AE95="","",AB95-AB$29)</f>
        <v/>
      </c>
      <c r="AG95" s="9" t="str">
        <f t="shared" ref="AG95:AG158" si="21">IF(AF95="","",IF(AF95&lt;365,AF95*AC$25*AD95,365*AD95*AC$25))</f>
        <v/>
      </c>
      <c r="AH95" s="9" t="str">
        <f t="shared" ref="AH95:AH158" si="22">IF(AF95="","",IF(AF95&lt;365,AF95*AC$26*AD95,365*AD95*AC$26))</f>
        <v/>
      </c>
    </row>
    <row r="96" spans="1:34" x14ac:dyDescent="0.25">
      <c r="A96" s="68"/>
      <c r="B96" s="68"/>
      <c r="C96" s="156"/>
      <c r="D96" s="156"/>
      <c r="E96" s="162"/>
      <c r="F96" s="156"/>
      <c r="G96" s="67"/>
      <c r="AA96" s="2" t="str">
        <f t="shared" si="18"/>
        <v/>
      </c>
      <c r="AC96" s="9" t="str">
        <f t="shared" si="19"/>
        <v/>
      </c>
      <c r="AD96" s="9" t="str">
        <f t="shared" si="17"/>
        <v/>
      </c>
      <c r="AF96" s="2" t="str">
        <f t="shared" si="20"/>
        <v/>
      </c>
      <c r="AG96" s="9" t="str">
        <f t="shared" si="21"/>
        <v/>
      </c>
      <c r="AH96" s="9" t="str">
        <f t="shared" si="22"/>
        <v/>
      </c>
    </row>
    <row r="97" spans="1:34" x14ac:dyDescent="0.25">
      <c r="A97" s="68"/>
      <c r="B97" s="68"/>
      <c r="C97" s="156"/>
      <c r="D97" s="156"/>
      <c r="E97" s="162"/>
      <c r="F97" s="156"/>
      <c r="G97" s="67"/>
      <c r="AA97" s="2" t="str">
        <f t="shared" si="18"/>
        <v/>
      </c>
      <c r="AC97" s="9" t="str">
        <f t="shared" si="19"/>
        <v/>
      </c>
      <c r="AD97" s="9" t="str">
        <f t="shared" si="17"/>
        <v/>
      </c>
      <c r="AF97" s="2" t="str">
        <f t="shared" si="20"/>
        <v/>
      </c>
      <c r="AG97" s="9" t="str">
        <f t="shared" si="21"/>
        <v/>
      </c>
      <c r="AH97" s="9" t="str">
        <f t="shared" si="22"/>
        <v/>
      </c>
    </row>
    <row r="98" spans="1:34" x14ac:dyDescent="0.25">
      <c r="A98" s="68"/>
      <c r="B98" s="68"/>
      <c r="C98" s="156"/>
      <c r="D98" s="156"/>
      <c r="E98" s="162"/>
      <c r="F98" s="156"/>
      <c r="G98" s="67"/>
      <c r="AA98" s="2" t="str">
        <f t="shared" si="18"/>
        <v/>
      </c>
      <c r="AC98" s="9" t="str">
        <f t="shared" si="19"/>
        <v/>
      </c>
      <c r="AD98" s="9" t="str">
        <f t="shared" si="17"/>
        <v/>
      </c>
      <c r="AF98" s="2" t="str">
        <f t="shared" si="20"/>
        <v/>
      </c>
      <c r="AG98" s="9" t="str">
        <f t="shared" si="21"/>
        <v/>
      </c>
      <c r="AH98" s="9" t="str">
        <f t="shared" si="22"/>
        <v/>
      </c>
    </row>
    <row r="99" spans="1:34" x14ac:dyDescent="0.25">
      <c r="A99" s="68"/>
      <c r="B99" s="68"/>
      <c r="C99" s="156"/>
      <c r="D99" s="156"/>
      <c r="E99" s="162"/>
      <c r="F99" s="156"/>
      <c r="G99" s="67"/>
      <c r="AA99" s="2" t="str">
        <f t="shared" si="18"/>
        <v/>
      </c>
      <c r="AC99" s="9" t="str">
        <f t="shared" si="19"/>
        <v/>
      </c>
      <c r="AD99" s="9" t="str">
        <f t="shared" si="17"/>
        <v/>
      </c>
      <c r="AF99" s="2" t="str">
        <f t="shared" si="20"/>
        <v/>
      </c>
      <c r="AG99" s="9" t="str">
        <f t="shared" si="21"/>
        <v/>
      </c>
      <c r="AH99" s="9" t="str">
        <f t="shared" si="22"/>
        <v/>
      </c>
    </row>
    <row r="100" spans="1:34" x14ac:dyDescent="0.25">
      <c r="A100" s="68"/>
      <c r="B100" s="68"/>
      <c r="C100" s="156"/>
      <c r="D100" s="156"/>
      <c r="E100" s="162"/>
      <c r="F100" s="156"/>
      <c r="G100" s="67"/>
      <c r="AA100" s="2" t="str">
        <f t="shared" si="18"/>
        <v/>
      </c>
      <c r="AC100" s="9" t="str">
        <f t="shared" si="19"/>
        <v/>
      </c>
      <c r="AD100" s="9" t="str">
        <f t="shared" si="17"/>
        <v/>
      </c>
      <c r="AF100" s="2" t="str">
        <f t="shared" si="20"/>
        <v/>
      </c>
      <c r="AG100" s="9" t="str">
        <f t="shared" si="21"/>
        <v/>
      </c>
      <c r="AH100" s="9" t="str">
        <f t="shared" si="22"/>
        <v/>
      </c>
    </row>
    <row r="101" spans="1:34" x14ac:dyDescent="0.25">
      <c r="A101" s="68"/>
      <c r="B101" s="68"/>
      <c r="C101" s="156"/>
      <c r="D101" s="156"/>
      <c r="E101" s="162"/>
      <c r="F101" s="156"/>
      <c r="G101" s="67"/>
      <c r="AA101" s="2" t="str">
        <f t="shared" si="18"/>
        <v/>
      </c>
      <c r="AC101" s="9" t="str">
        <f t="shared" si="19"/>
        <v/>
      </c>
      <c r="AD101" s="9" t="str">
        <f t="shared" si="17"/>
        <v/>
      </c>
      <c r="AF101" s="2" t="str">
        <f t="shared" si="20"/>
        <v/>
      </c>
      <c r="AG101" s="9" t="str">
        <f t="shared" si="21"/>
        <v/>
      </c>
      <c r="AH101" s="9" t="str">
        <f t="shared" si="22"/>
        <v/>
      </c>
    </row>
    <row r="102" spans="1:34" x14ac:dyDescent="0.25">
      <c r="A102" s="68"/>
      <c r="B102" s="68"/>
      <c r="C102" s="156"/>
      <c r="D102" s="156"/>
      <c r="E102" s="162"/>
      <c r="F102" s="156"/>
      <c r="G102" s="67"/>
      <c r="AA102" s="2" t="str">
        <f t="shared" si="18"/>
        <v/>
      </c>
      <c r="AC102" s="9" t="str">
        <f t="shared" si="19"/>
        <v/>
      </c>
      <c r="AD102" s="9" t="str">
        <f t="shared" si="17"/>
        <v/>
      </c>
      <c r="AF102" s="2" t="str">
        <f t="shared" si="20"/>
        <v/>
      </c>
      <c r="AG102" s="9" t="str">
        <f t="shared" si="21"/>
        <v/>
      </c>
      <c r="AH102" s="9" t="str">
        <f t="shared" si="22"/>
        <v/>
      </c>
    </row>
    <row r="103" spans="1:34" x14ac:dyDescent="0.25">
      <c r="A103" s="68"/>
      <c r="B103" s="68"/>
      <c r="C103" s="156"/>
      <c r="D103" s="156"/>
      <c r="E103" s="162"/>
      <c r="F103" s="156"/>
      <c r="G103" s="67"/>
      <c r="AA103" s="2" t="str">
        <f t="shared" si="18"/>
        <v/>
      </c>
      <c r="AC103" s="9" t="str">
        <f t="shared" si="19"/>
        <v/>
      </c>
      <c r="AD103" s="9" t="str">
        <f t="shared" si="17"/>
        <v/>
      </c>
      <c r="AF103" s="2" t="str">
        <f t="shared" si="20"/>
        <v/>
      </c>
      <c r="AG103" s="9" t="str">
        <f t="shared" si="21"/>
        <v/>
      </c>
      <c r="AH103" s="9" t="str">
        <f t="shared" si="22"/>
        <v/>
      </c>
    </row>
    <row r="104" spans="1:34" x14ac:dyDescent="0.25">
      <c r="A104" s="68"/>
      <c r="B104" s="68"/>
      <c r="C104" s="156"/>
      <c r="D104" s="156"/>
      <c r="E104" s="162"/>
      <c r="F104" s="156"/>
      <c r="G104" s="67"/>
      <c r="AA104" s="2" t="str">
        <f t="shared" si="18"/>
        <v/>
      </c>
      <c r="AC104" s="9" t="str">
        <f t="shared" si="19"/>
        <v/>
      </c>
      <c r="AD104" s="9" t="str">
        <f t="shared" si="17"/>
        <v/>
      </c>
      <c r="AF104" s="2" t="str">
        <f t="shared" si="20"/>
        <v/>
      </c>
      <c r="AG104" s="9" t="str">
        <f t="shared" si="21"/>
        <v/>
      </c>
      <c r="AH104" s="9" t="str">
        <f t="shared" si="22"/>
        <v/>
      </c>
    </row>
    <row r="105" spans="1:34" x14ac:dyDescent="0.25">
      <c r="A105" s="68"/>
      <c r="B105" s="68"/>
      <c r="C105" s="156"/>
      <c r="D105" s="156"/>
      <c r="E105" s="162"/>
      <c r="F105" s="156"/>
      <c r="G105" s="67"/>
      <c r="AA105" s="2" t="str">
        <f t="shared" si="18"/>
        <v/>
      </c>
      <c r="AC105" s="9" t="str">
        <f t="shared" si="19"/>
        <v/>
      </c>
      <c r="AD105" s="9" t="str">
        <f t="shared" si="17"/>
        <v/>
      </c>
      <c r="AF105" s="2" t="str">
        <f t="shared" si="20"/>
        <v/>
      </c>
      <c r="AG105" s="9" t="str">
        <f t="shared" si="21"/>
        <v/>
      </c>
      <c r="AH105" s="9" t="str">
        <f t="shared" si="22"/>
        <v/>
      </c>
    </row>
    <row r="106" spans="1:34" x14ac:dyDescent="0.25">
      <c r="A106" s="68"/>
      <c r="B106" s="68"/>
      <c r="C106" s="156"/>
      <c r="D106" s="156"/>
      <c r="E106" s="162"/>
      <c r="F106" s="156"/>
      <c r="G106" s="67"/>
      <c r="AA106" s="2" t="str">
        <f t="shared" si="18"/>
        <v/>
      </c>
      <c r="AC106" s="9" t="str">
        <f t="shared" si="19"/>
        <v/>
      </c>
      <c r="AD106" s="9" t="str">
        <f t="shared" si="17"/>
        <v/>
      </c>
      <c r="AF106" s="2" t="str">
        <f t="shared" si="20"/>
        <v/>
      </c>
      <c r="AG106" s="9" t="str">
        <f t="shared" si="21"/>
        <v/>
      </c>
      <c r="AH106" s="9" t="str">
        <f t="shared" si="22"/>
        <v/>
      </c>
    </row>
    <row r="107" spans="1:34" x14ac:dyDescent="0.25">
      <c r="A107" s="68"/>
      <c r="B107" s="68"/>
      <c r="C107" s="156"/>
      <c r="D107" s="156"/>
      <c r="E107" s="162"/>
      <c r="F107" s="156"/>
      <c r="G107" s="67"/>
      <c r="AA107" s="2" t="str">
        <f t="shared" si="18"/>
        <v/>
      </c>
      <c r="AC107" s="9" t="str">
        <f t="shared" si="19"/>
        <v/>
      </c>
      <c r="AD107" s="9" t="str">
        <f t="shared" si="17"/>
        <v/>
      </c>
      <c r="AF107" s="2" t="str">
        <f t="shared" si="20"/>
        <v/>
      </c>
      <c r="AG107" s="9" t="str">
        <f t="shared" si="21"/>
        <v/>
      </c>
      <c r="AH107" s="9" t="str">
        <f t="shared" si="22"/>
        <v/>
      </c>
    </row>
    <row r="108" spans="1:34" x14ac:dyDescent="0.25">
      <c r="A108" s="68"/>
      <c r="B108" s="68"/>
      <c r="C108" s="156"/>
      <c r="D108" s="156"/>
      <c r="E108" s="162"/>
      <c r="F108" s="156"/>
      <c r="G108" s="67"/>
      <c r="AA108" s="2" t="str">
        <f t="shared" si="18"/>
        <v/>
      </c>
      <c r="AC108" s="9" t="str">
        <f t="shared" si="19"/>
        <v/>
      </c>
      <c r="AD108" s="9" t="str">
        <f t="shared" si="17"/>
        <v/>
      </c>
      <c r="AF108" s="2" t="str">
        <f t="shared" si="20"/>
        <v/>
      </c>
      <c r="AG108" s="9" t="str">
        <f t="shared" si="21"/>
        <v/>
      </c>
      <c r="AH108" s="9" t="str">
        <f t="shared" si="22"/>
        <v/>
      </c>
    </row>
    <row r="109" spans="1:34" x14ac:dyDescent="0.25">
      <c r="A109" s="68"/>
      <c r="B109" s="68"/>
      <c r="C109" s="156"/>
      <c r="D109" s="156"/>
      <c r="E109" s="162"/>
      <c r="F109" s="156"/>
      <c r="G109" s="67"/>
      <c r="AA109" s="2" t="str">
        <f t="shared" si="18"/>
        <v/>
      </c>
      <c r="AC109" s="9" t="str">
        <f t="shared" si="19"/>
        <v/>
      </c>
      <c r="AD109" s="9" t="str">
        <f t="shared" si="17"/>
        <v/>
      </c>
      <c r="AF109" s="2" t="str">
        <f t="shared" si="20"/>
        <v/>
      </c>
      <c r="AG109" s="9" t="str">
        <f t="shared" si="21"/>
        <v/>
      </c>
      <c r="AH109" s="9" t="str">
        <f t="shared" si="22"/>
        <v/>
      </c>
    </row>
    <row r="110" spans="1:34" x14ac:dyDescent="0.25">
      <c r="A110" s="68"/>
      <c r="B110" s="68"/>
      <c r="C110" s="156"/>
      <c r="D110" s="156"/>
      <c r="E110" s="162"/>
      <c r="F110" s="156"/>
      <c r="G110" s="67"/>
      <c r="AA110" s="2" t="str">
        <f t="shared" si="18"/>
        <v/>
      </c>
      <c r="AC110" s="9" t="str">
        <f t="shared" si="19"/>
        <v/>
      </c>
      <c r="AD110" s="9" t="str">
        <f t="shared" si="17"/>
        <v/>
      </c>
      <c r="AF110" s="2" t="str">
        <f t="shared" si="20"/>
        <v/>
      </c>
      <c r="AG110" s="9" t="str">
        <f t="shared" si="21"/>
        <v/>
      </c>
      <c r="AH110" s="9" t="str">
        <f t="shared" si="22"/>
        <v/>
      </c>
    </row>
    <row r="111" spans="1:34" x14ac:dyDescent="0.25">
      <c r="A111" s="68"/>
      <c r="B111" s="68"/>
      <c r="C111" s="156"/>
      <c r="D111" s="156"/>
      <c r="E111" s="162"/>
      <c r="F111" s="156"/>
      <c r="G111" s="67"/>
      <c r="AA111" s="2" t="str">
        <f t="shared" si="18"/>
        <v/>
      </c>
      <c r="AC111" s="9" t="str">
        <f t="shared" si="19"/>
        <v/>
      </c>
      <c r="AD111" s="9" t="str">
        <f t="shared" si="17"/>
        <v/>
      </c>
      <c r="AF111" s="2" t="str">
        <f t="shared" si="20"/>
        <v/>
      </c>
      <c r="AG111" s="9" t="str">
        <f t="shared" si="21"/>
        <v/>
      </c>
      <c r="AH111" s="9" t="str">
        <f t="shared" si="22"/>
        <v/>
      </c>
    </row>
    <row r="112" spans="1:34" x14ac:dyDescent="0.25">
      <c r="A112" s="68"/>
      <c r="B112" s="68"/>
      <c r="C112" s="156"/>
      <c r="D112" s="156"/>
      <c r="E112" s="162"/>
      <c r="F112" s="156"/>
      <c r="G112" s="67"/>
      <c r="AA112" s="2" t="str">
        <f t="shared" si="18"/>
        <v/>
      </c>
      <c r="AC112" s="9" t="str">
        <f t="shared" si="19"/>
        <v/>
      </c>
      <c r="AD112" s="9" t="str">
        <f t="shared" si="17"/>
        <v/>
      </c>
      <c r="AF112" s="2" t="str">
        <f t="shared" si="20"/>
        <v/>
      </c>
      <c r="AG112" s="9" t="str">
        <f t="shared" si="21"/>
        <v/>
      </c>
      <c r="AH112" s="9" t="str">
        <f t="shared" si="22"/>
        <v/>
      </c>
    </row>
    <row r="113" spans="1:34" x14ac:dyDescent="0.25">
      <c r="A113" s="68"/>
      <c r="B113" s="68"/>
      <c r="C113" s="156"/>
      <c r="D113" s="156"/>
      <c r="E113" s="162"/>
      <c r="F113" s="156"/>
      <c r="G113" s="67"/>
      <c r="AA113" s="2" t="str">
        <f t="shared" si="18"/>
        <v/>
      </c>
      <c r="AC113" s="9" t="str">
        <f t="shared" si="19"/>
        <v/>
      </c>
      <c r="AD113" s="9" t="str">
        <f t="shared" si="17"/>
        <v/>
      </c>
      <c r="AF113" s="2" t="str">
        <f t="shared" si="20"/>
        <v/>
      </c>
      <c r="AG113" s="9" t="str">
        <f t="shared" si="21"/>
        <v/>
      </c>
      <c r="AH113" s="9" t="str">
        <f t="shared" si="22"/>
        <v/>
      </c>
    </row>
    <row r="114" spans="1:34" x14ac:dyDescent="0.25">
      <c r="A114" s="68"/>
      <c r="B114" s="68"/>
      <c r="C114" s="156"/>
      <c r="D114" s="156"/>
      <c r="E114" s="162"/>
      <c r="F114" s="156"/>
      <c r="G114" s="67"/>
      <c r="AA114" s="2" t="str">
        <f t="shared" si="18"/>
        <v/>
      </c>
      <c r="AC114" s="9" t="str">
        <f t="shared" si="19"/>
        <v/>
      </c>
      <c r="AD114" s="9" t="str">
        <f t="shared" si="17"/>
        <v/>
      </c>
      <c r="AF114" s="2" t="str">
        <f t="shared" si="20"/>
        <v/>
      </c>
      <c r="AG114" s="9" t="str">
        <f t="shared" si="21"/>
        <v/>
      </c>
      <c r="AH114" s="9" t="str">
        <f t="shared" si="22"/>
        <v/>
      </c>
    </row>
    <row r="115" spans="1:34" x14ac:dyDescent="0.25">
      <c r="A115" s="68"/>
      <c r="B115" s="68"/>
      <c r="C115" s="156"/>
      <c r="D115" s="156"/>
      <c r="E115" s="162"/>
      <c r="F115" s="156"/>
      <c r="G115" s="67"/>
      <c r="AA115" s="2" t="str">
        <f t="shared" si="18"/>
        <v/>
      </c>
      <c r="AC115" s="9" t="str">
        <f t="shared" si="19"/>
        <v/>
      </c>
      <c r="AD115" s="9" t="str">
        <f t="shared" si="17"/>
        <v/>
      </c>
      <c r="AF115" s="2" t="str">
        <f t="shared" si="20"/>
        <v/>
      </c>
      <c r="AG115" s="9" t="str">
        <f t="shared" si="21"/>
        <v/>
      </c>
      <c r="AH115" s="9" t="str">
        <f t="shared" si="22"/>
        <v/>
      </c>
    </row>
    <row r="116" spans="1:34" x14ac:dyDescent="0.25">
      <c r="A116" s="68"/>
      <c r="B116" s="68"/>
      <c r="C116" s="156"/>
      <c r="D116" s="156"/>
      <c r="E116" s="162"/>
      <c r="F116" s="156"/>
      <c r="G116" s="67"/>
      <c r="AA116" s="2" t="str">
        <f t="shared" si="18"/>
        <v/>
      </c>
      <c r="AC116" s="9" t="str">
        <f t="shared" si="19"/>
        <v/>
      </c>
      <c r="AD116" s="9" t="str">
        <f t="shared" si="17"/>
        <v/>
      </c>
      <c r="AF116" s="2" t="str">
        <f t="shared" si="20"/>
        <v/>
      </c>
      <c r="AG116" s="9" t="str">
        <f t="shared" si="21"/>
        <v/>
      </c>
      <c r="AH116" s="9" t="str">
        <f t="shared" si="22"/>
        <v/>
      </c>
    </row>
    <row r="117" spans="1:34" x14ac:dyDescent="0.25">
      <c r="A117" s="68"/>
      <c r="B117" s="68"/>
      <c r="C117" s="156"/>
      <c r="D117" s="156"/>
      <c r="E117" s="162"/>
      <c r="F117" s="156"/>
      <c r="G117" s="67"/>
      <c r="AA117" s="2" t="str">
        <f t="shared" si="18"/>
        <v/>
      </c>
      <c r="AC117" s="9" t="str">
        <f t="shared" si="19"/>
        <v/>
      </c>
      <c r="AD117" s="9" t="str">
        <f t="shared" si="17"/>
        <v/>
      </c>
      <c r="AF117" s="2" t="str">
        <f t="shared" si="20"/>
        <v/>
      </c>
      <c r="AG117" s="9" t="str">
        <f t="shared" si="21"/>
        <v/>
      </c>
      <c r="AH117" s="9" t="str">
        <f t="shared" si="22"/>
        <v/>
      </c>
    </row>
    <row r="118" spans="1:34" x14ac:dyDescent="0.25">
      <c r="A118" s="68"/>
      <c r="B118" s="68"/>
      <c r="C118" s="156"/>
      <c r="D118" s="156"/>
      <c r="E118" s="162"/>
      <c r="F118" s="156"/>
      <c r="G118" s="67"/>
      <c r="AA118" s="2" t="str">
        <f t="shared" si="18"/>
        <v/>
      </c>
      <c r="AC118" s="9" t="str">
        <f t="shared" si="19"/>
        <v/>
      </c>
      <c r="AD118" s="9" t="str">
        <f t="shared" si="17"/>
        <v/>
      </c>
      <c r="AF118" s="2" t="str">
        <f t="shared" si="20"/>
        <v/>
      </c>
      <c r="AG118" s="9" t="str">
        <f t="shared" si="21"/>
        <v/>
      </c>
      <c r="AH118" s="9" t="str">
        <f t="shared" si="22"/>
        <v/>
      </c>
    </row>
    <row r="119" spans="1:34" x14ac:dyDescent="0.25">
      <c r="A119" s="68"/>
      <c r="B119" s="68"/>
      <c r="C119" s="156"/>
      <c r="D119" s="156"/>
      <c r="E119" s="162"/>
      <c r="F119" s="156"/>
      <c r="G119" s="67"/>
      <c r="AA119" s="2" t="str">
        <f t="shared" si="18"/>
        <v/>
      </c>
      <c r="AC119" s="9" t="str">
        <f t="shared" si="19"/>
        <v/>
      </c>
      <c r="AD119" s="9" t="str">
        <f t="shared" si="17"/>
        <v/>
      </c>
      <c r="AF119" s="2" t="str">
        <f t="shared" si="20"/>
        <v/>
      </c>
      <c r="AG119" s="9" t="str">
        <f t="shared" si="21"/>
        <v/>
      </c>
      <c r="AH119" s="9" t="str">
        <f t="shared" si="22"/>
        <v/>
      </c>
    </row>
    <row r="120" spans="1:34" x14ac:dyDescent="0.25">
      <c r="A120" s="68"/>
      <c r="B120" s="68"/>
      <c r="C120" s="156"/>
      <c r="D120" s="156"/>
      <c r="E120" s="162"/>
      <c r="F120" s="156"/>
      <c r="G120" s="67"/>
      <c r="AA120" s="2" t="str">
        <f t="shared" si="18"/>
        <v/>
      </c>
      <c r="AC120" s="9" t="str">
        <f t="shared" si="19"/>
        <v/>
      </c>
      <c r="AD120" s="9" t="str">
        <f t="shared" si="17"/>
        <v/>
      </c>
      <c r="AF120" s="2" t="str">
        <f t="shared" si="20"/>
        <v/>
      </c>
      <c r="AG120" s="9" t="str">
        <f t="shared" si="21"/>
        <v/>
      </c>
      <c r="AH120" s="9" t="str">
        <f t="shared" si="22"/>
        <v/>
      </c>
    </row>
    <row r="121" spans="1:34" x14ac:dyDescent="0.25">
      <c r="A121" s="68"/>
      <c r="B121" s="68"/>
      <c r="C121" s="156"/>
      <c r="D121" s="156"/>
      <c r="E121" s="162"/>
      <c r="F121" s="156"/>
      <c r="G121" s="67"/>
      <c r="AA121" s="2" t="str">
        <f t="shared" si="18"/>
        <v/>
      </c>
      <c r="AC121" s="9" t="str">
        <f t="shared" si="19"/>
        <v/>
      </c>
      <c r="AD121" s="9" t="str">
        <f t="shared" si="17"/>
        <v/>
      </c>
      <c r="AF121" s="2" t="str">
        <f t="shared" si="20"/>
        <v/>
      </c>
      <c r="AG121" s="9" t="str">
        <f t="shared" si="21"/>
        <v/>
      </c>
      <c r="AH121" s="9" t="str">
        <f t="shared" si="22"/>
        <v/>
      </c>
    </row>
    <row r="122" spans="1:34" x14ac:dyDescent="0.25">
      <c r="A122" s="68"/>
      <c r="B122" s="68"/>
      <c r="C122" s="156"/>
      <c r="D122" s="156"/>
      <c r="E122" s="162"/>
      <c r="F122" s="156"/>
      <c r="G122" s="67"/>
      <c r="AA122" s="2" t="str">
        <f t="shared" si="18"/>
        <v/>
      </c>
      <c r="AC122" s="9" t="str">
        <f t="shared" si="19"/>
        <v/>
      </c>
      <c r="AD122" s="9" t="str">
        <f t="shared" si="17"/>
        <v/>
      </c>
      <c r="AF122" s="2" t="str">
        <f t="shared" si="20"/>
        <v/>
      </c>
      <c r="AG122" s="9" t="str">
        <f t="shared" si="21"/>
        <v/>
      </c>
      <c r="AH122" s="9" t="str">
        <f t="shared" si="22"/>
        <v/>
      </c>
    </row>
    <row r="123" spans="1:34" x14ac:dyDescent="0.25">
      <c r="A123" s="68"/>
      <c r="B123" s="68"/>
      <c r="C123" s="156"/>
      <c r="D123" s="156"/>
      <c r="E123" s="162"/>
      <c r="F123" s="156"/>
      <c r="G123" s="67"/>
      <c r="AA123" s="2" t="str">
        <f t="shared" si="18"/>
        <v/>
      </c>
      <c r="AC123" s="9" t="str">
        <f t="shared" si="19"/>
        <v/>
      </c>
      <c r="AD123" s="9" t="str">
        <f t="shared" si="17"/>
        <v/>
      </c>
      <c r="AF123" s="2" t="str">
        <f t="shared" si="20"/>
        <v/>
      </c>
      <c r="AG123" s="9" t="str">
        <f t="shared" si="21"/>
        <v/>
      </c>
      <c r="AH123" s="9" t="str">
        <f t="shared" si="22"/>
        <v/>
      </c>
    </row>
    <row r="124" spans="1:34" x14ac:dyDescent="0.25">
      <c r="A124" s="68"/>
      <c r="B124" s="68"/>
      <c r="C124" s="156"/>
      <c r="D124" s="156"/>
      <c r="E124" s="162"/>
      <c r="F124" s="156"/>
      <c r="G124" s="67"/>
      <c r="AA124" s="2" t="str">
        <f t="shared" si="18"/>
        <v/>
      </c>
      <c r="AC124" s="9" t="str">
        <f t="shared" si="19"/>
        <v/>
      </c>
      <c r="AD124" s="9" t="str">
        <f t="shared" si="17"/>
        <v/>
      </c>
      <c r="AF124" s="2" t="str">
        <f t="shared" si="20"/>
        <v/>
      </c>
      <c r="AG124" s="9" t="str">
        <f t="shared" si="21"/>
        <v/>
      </c>
      <c r="AH124" s="9" t="str">
        <f t="shared" si="22"/>
        <v/>
      </c>
    </row>
    <row r="125" spans="1:34" x14ac:dyDescent="0.25">
      <c r="A125" s="68"/>
      <c r="B125" s="68"/>
      <c r="C125" s="156"/>
      <c r="D125" s="156"/>
      <c r="E125" s="162"/>
      <c r="F125" s="156"/>
      <c r="G125" s="67"/>
      <c r="AA125" s="2" t="str">
        <f t="shared" si="18"/>
        <v/>
      </c>
      <c r="AC125" s="9" t="str">
        <f t="shared" si="19"/>
        <v/>
      </c>
      <c r="AD125" s="9" t="str">
        <f t="shared" si="17"/>
        <v/>
      </c>
      <c r="AF125" s="2" t="str">
        <f t="shared" si="20"/>
        <v/>
      </c>
      <c r="AG125" s="9" t="str">
        <f t="shared" si="21"/>
        <v/>
      </c>
      <c r="AH125" s="9" t="str">
        <f t="shared" si="22"/>
        <v/>
      </c>
    </row>
    <row r="126" spans="1:34" x14ac:dyDescent="0.25">
      <c r="A126" s="68"/>
      <c r="B126" s="68"/>
      <c r="C126" s="156"/>
      <c r="D126" s="156"/>
      <c r="E126" s="162"/>
      <c r="F126" s="156"/>
      <c r="G126" s="67"/>
      <c r="AA126" s="2" t="str">
        <f t="shared" si="18"/>
        <v/>
      </c>
      <c r="AC126" s="9" t="str">
        <f t="shared" si="19"/>
        <v/>
      </c>
      <c r="AD126" s="9" t="str">
        <f t="shared" si="17"/>
        <v/>
      </c>
      <c r="AF126" s="2" t="str">
        <f t="shared" si="20"/>
        <v/>
      </c>
      <c r="AG126" s="9" t="str">
        <f t="shared" si="21"/>
        <v/>
      </c>
      <c r="AH126" s="9" t="str">
        <f t="shared" si="22"/>
        <v/>
      </c>
    </row>
    <row r="127" spans="1:34" x14ac:dyDescent="0.25">
      <c r="A127" s="68"/>
      <c r="B127" s="68"/>
      <c r="C127" s="156"/>
      <c r="D127" s="156"/>
      <c r="E127" s="162"/>
      <c r="F127" s="156"/>
      <c r="G127" s="67"/>
      <c r="AA127" s="2" t="str">
        <f t="shared" si="18"/>
        <v/>
      </c>
      <c r="AC127" s="9" t="str">
        <f t="shared" si="19"/>
        <v/>
      </c>
      <c r="AD127" s="9" t="str">
        <f t="shared" si="17"/>
        <v/>
      </c>
      <c r="AF127" s="2" t="str">
        <f t="shared" si="20"/>
        <v/>
      </c>
      <c r="AG127" s="9" t="str">
        <f t="shared" si="21"/>
        <v/>
      </c>
      <c r="AH127" s="9" t="str">
        <f t="shared" si="22"/>
        <v/>
      </c>
    </row>
    <row r="128" spans="1:34" x14ac:dyDescent="0.25">
      <c r="A128" s="68"/>
      <c r="B128" s="68"/>
      <c r="C128" s="65"/>
      <c r="D128" s="65"/>
      <c r="E128" s="66"/>
      <c r="F128" s="65"/>
      <c r="G128" s="67"/>
      <c r="AA128" s="2" t="str">
        <f t="shared" si="18"/>
        <v/>
      </c>
      <c r="AC128" s="9" t="str">
        <f t="shared" si="19"/>
        <v/>
      </c>
      <c r="AD128" s="9" t="str">
        <f t="shared" si="17"/>
        <v/>
      </c>
      <c r="AF128" s="2" t="str">
        <f t="shared" si="20"/>
        <v/>
      </c>
      <c r="AG128" s="9" t="str">
        <f t="shared" si="21"/>
        <v/>
      </c>
      <c r="AH128" s="9" t="str">
        <f t="shared" si="22"/>
        <v/>
      </c>
    </row>
    <row r="129" spans="1:34" x14ac:dyDescent="0.25">
      <c r="A129" s="68"/>
      <c r="B129" s="68"/>
      <c r="C129" s="65"/>
      <c r="D129" s="65"/>
      <c r="E129" s="66"/>
      <c r="F129" s="65"/>
      <c r="G129" s="67"/>
      <c r="AA129" s="2" t="str">
        <f t="shared" si="18"/>
        <v/>
      </c>
      <c r="AC129" s="9" t="str">
        <f t="shared" si="19"/>
        <v/>
      </c>
      <c r="AD129" s="9" t="str">
        <f t="shared" si="17"/>
        <v/>
      </c>
      <c r="AF129" s="2" t="str">
        <f t="shared" si="20"/>
        <v/>
      </c>
      <c r="AG129" s="9" t="str">
        <f t="shared" si="21"/>
        <v/>
      </c>
      <c r="AH129" s="9" t="str">
        <f t="shared" si="22"/>
        <v/>
      </c>
    </row>
    <row r="130" spans="1:34" x14ac:dyDescent="0.25">
      <c r="A130" s="68"/>
      <c r="B130" s="68"/>
      <c r="C130" s="65"/>
      <c r="D130" s="65"/>
      <c r="E130" s="66"/>
      <c r="F130" s="65"/>
      <c r="G130" s="67"/>
      <c r="AA130" s="2" t="str">
        <f t="shared" si="18"/>
        <v/>
      </c>
      <c r="AC130" s="9" t="str">
        <f t="shared" si="19"/>
        <v/>
      </c>
      <c r="AD130" s="9" t="str">
        <f t="shared" si="17"/>
        <v/>
      </c>
      <c r="AF130" s="2" t="str">
        <f t="shared" si="20"/>
        <v/>
      </c>
      <c r="AG130" s="9" t="str">
        <f t="shared" si="21"/>
        <v/>
      </c>
      <c r="AH130" s="9" t="str">
        <f t="shared" si="22"/>
        <v/>
      </c>
    </row>
    <row r="131" spans="1:34" x14ac:dyDescent="0.25">
      <c r="A131" s="68"/>
      <c r="B131" s="68"/>
      <c r="C131" s="65"/>
      <c r="D131" s="65"/>
      <c r="E131" s="66"/>
      <c r="F131" s="65"/>
      <c r="G131" s="67"/>
      <c r="AA131" s="2" t="str">
        <f t="shared" si="18"/>
        <v/>
      </c>
      <c r="AC131" s="9" t="str">
        <f t="shared" si="19"/>
        <v/>
      </c>
      <c r="AD131" s="9" t="str">
        <f t="shared" si="17"/>
        <v/>
      </c>
      <c r="AF131" s="2" t="str">
        <f t="shared" si="20"/>
        <v/>
      </c>
      <c r="AG131" s="9" t="str">
        <f t="shared" si="21"/>
        <v/>
      </c>
      <c r="AH131" s="9" t="str">
        <f t="shared" si="22"/>
        <v/>
      </c>
    </row>
    <row r="132" spans="1:34" x14ac:dyDescent="0.25">
      <c r="A132" s="68"/>
      <c r="B132" s="68"/>
      <c r="C132" s="65"/>
      <c r="D132" s="65"/>
      <c r="E132" s="66"/>
      <c r="F132" s="65"/>
      <c r="G132" s="67"/>
      <c r="AA132" s="2" t="str">
        <f t="shared" si="18"/>
        <v/>
      </c>
      <c r="AC132" s="9" t="str">
        <f t="shared" si="19"/>
        <v/>
      </c>
      <c r="AD132" s="9" t="str">
        <f t="shared" si="17"/>
        <v/>
      </c>
      <c r="AF132" s="2" t="str">
        <f t="shared" si="20"/>
        <v/>
      </c>
      <c r="AG132" s="9" t="str">
        <f t="shared" si="21"/>
        <v/>
      </c>
      <c r="AH132" s="9" t="str">
        <f t="shared" si="22"/>
        <v/>
      </c>
    </row>
    <row r="133" spans="1:34" x14ac:dyDescent="0.25">
      <c r="A133" s="68"/>
      <c r="B133" s="68"/>
      <c r="C133" s="65"/>
      <c r="D133" s="65"/>
      <c r="E133" s="66"/>
      <c r="F133" s="65"/>
      <c r="G133" s="67"/>
      <c r="AA133" s="2" t="str">
        <f t="shared" si="18"/>
        <v/>
      </c>
      <c r="AC133" s="9" t="str">
        <f t="shared" si="19"/>
        <v/>
      </c>
      <c r="AD133" s="9" t="str">
        <f t="shared" si="17"/>
        <v/>
      </c>
      <c r="AF133" s="2" t="str">
        <f t="shared" si="20"/>
        <v/>
      </c>
      <c r="AG133" s="9" t="str">
        <f t="shared" si="21"/>
        <v/>
      </c>
      <c r="AH133" s="9" t="str">
        <f t="shared" si="22"/>
        <v/>
      </c>
    </row>
    <row r="134" spans="1:34" x14ac:dyDescent="0.25">
      <c r="A134" s="68"/>
      <c r="B134" s="68"/>
      <c r="C134" s="65"/>
      <c r="D134" s="65"/>
      <c r="E134" s="66"/>
      <c r="F134" s="65"/>
      <c r="G134" s="67"/>
      <c r="AA134" s="2" t="str">
        <f t="shared" si="18"/>
        <v/>
      </c>
      <c r="AC134" s="9" t="str">
        <f t="shared" si="19"/>
        <v/>
      </c>
      <c r="AD134" s="9" t="str">
        <f t="shared" si="17"/>
        <v/>
      </c>
      <c r="AF134" s="2" t="str">
        <f t="shared" si="20"/>
        <v/>
      </c>
      <c r="AG134" s="9" t="str">
        <f t="shared" si="21"/>
        <v/>
      </c>
      <c r="AH134" s="9" t="str">
        <f t="shared" si="22"/>
        <v/>
      </c>
    </row>
    <row r="135" spans="1:34" x14ac:dyDescent="0.25">
      <c r="A135" s="68"/>
      <c r="B135" s="68"/>
      <c r="C135" s="65"/>
      <c r="D135" s="65"/>
      <c r="E135" s="66"/>
      <c r="F135" s="65"/>
      <c r="G135" s="67"/>
      <c r="AA135" s="2" t="str">
        <f t="shared" si="18"/>
        <v/>
      </c>
      <c r="AC135" s="9" t="str">
        <f t="shared" si="19"/>
        <v/>
      </c>
      <c r="AD135" s="9" t="str">
        <f t="shared" si="17"/>
        <v/>
      </c>
      <c r="AF135" s="2" t="str">
        <f t="shared" si="20"/>
        <v/>
      </c>
      <c r="AG135" s="9" t="str">
        <f t="shared" si="21"/>
        <v/>
      </c>
      <c r="AH135" s="9" t="str">
        <f t="shared" si="22"/>
        <v/>
      </c>
    </row>
    <row r="136" spans="1:34" x14ac:dyDescent="0.25">
      <c r="A136" s="68"/>
      <c r="B136" s="68"/>
      <c r="C136" s="65"/>
      <c r="D136" s="65"/>
      <c r="E136" s="66"/>
      <c r="F136" s="65"/>
      <c r="G136" s="67"/>
      <c r="AA136" s="2" t="str">
        <f t="shared" si="18"/>
        <v/>
      </c>
      <c r="AC136" s="9" t="str">
        <f t="shared" si="19"/>
        <v/>
      </c>
      <c r="AD136" s="9" t="str">
        <f t="shared" si="17"/>
        <v/>
      </c>
      <c r="AF136" s="2" t="str">
        <f t="shared" si="20"/>
        <v/>
      </c>
      <c r="AG136" s="9" t="str">
        <f t="shared" si="21"/>
        <v/>
      </c>
      <c r="AH136" s="9" t="str">
        <f t="shared" si="22"/>
        <v/>
      </c>
    </row>
    <row r="137" spans="1:34" x14ac:dyDescent="0.25">
      <c r="A137" s="68"/>
      <c r="B137" s="68"/>
      <c r="C137" s="65"/>
      <c r="D137" s="65"/>
      <c r="E137" s="66"/>
      <c r="F137" s="65"/>
      <c r="G137" s="67"/>
      <c r="AA137" s="2" t="str">
        <f t="shared" si="18"/>
        <v/>
      </c>
      <c r="AC137" s="9" t="str">
        <f t="shared" si="19"/>
        <v/>
      </c>
      <c r="AD137" s="9" t="str">
        <f t="shared" si="17"/>
        <v/>
      </c>
      <c r="AF137" s="2" t="str">
        <f t="shared" si="20"/>
        <v/>
      </c>
      <c r="AG137" s="9" t="str">
        <f t="shared" si="21"/>
        <v/>
      </c>
      <c r="AH137" s="9" t="str">
        <f t="shared" si="22"/>
        <v/>
      </c>
    </row>
    <row r="138" spans="1:34" x14ac:dyDescent="0.25">
      <c r="A138" s="68"/>
      <c r="B138" s="68"/>
      <c r="C138" s="65"/>
      <c r="D138" s="65"/>
      <c r="E138" s="66"/>
      <c r="F138" s="65"/>
      <c r="G138" s="67"/>
      <c r="AA138" s="2" t="str">
        <f t="shared" si="18"/>
        <v/>
      </c>
      <c r="AC138" s="9" t="str">
        <f t="shared" si="19"/>
        <v/>
      </c>
      <c r="AD138" s="9" t="str">
        <f t="shared" si="17"/>
        <v/>
      </c>
      <c r="AF138" s="2" t="str">
        <f t="shared" si="20"/>
        <v/>
      </c>
      <c r="AG138" s="9" t="str">
        <f t="shared" si="21"/>
        <v/>
      </c>
      <c r="AH138" s="9" t="str">
        <f t="shared" si="22"/>
        <v/>
      </c>
    </row>
    <row r="139" spans="1:34" x14ac:dyDescent="0.25">
      <c r="A139" s="68"/>
      <c r="B139" s="68"/>
      <c r="C139" s="65"/>
      <c r="D139" s="65"/>
      <c r="E139" s="66"/>
      <c r="F139" s="65"/>
      <c r="G139" s="67"/>
      <c r="AA139" s="2" t="str">
        <f t="shared" si="18"/>
        <v/>
      </c>
      <c r="AC139" s="9" t="str">
        <f t="shared" si="19"/>
        <v/>
      </c>
      <c r="AD139" s="9" t="str">
        <f t="shared" si="17"/>
        <v/>
      </c>
      <c r="AF139" s="2" t="str">
        <f t="shared" si="20"/>
        <v/>
      </c>
      <c r="AG139" s="9" t="str">
        <f t="shared" si="21"/>
        <v/>
      </c>
      <c r="AH139" s="9" t="str">
        <f t="shared" si="22"/>
        <v/>
      </c>
    </row>
    <row r="140" spans="1:34" x14ac:dyDescent="0.25">
      <c r="A140" s="68"/>
      <c r="B140" s="68"/>
      <c r="C140" s="65"/>
      <c r="D140" s="65"/>
      <c r="E140" s="66"/>
      <c r="F140" s="65"/>
      <c r="G140" s="67"/>
      <c r="AA140" s="2" t="str">
        <f t="shared" si="18"/>
        <v/>
      </c>
      <c r="AC140" s="9" t="str">
        <f t="shared" si="19"/>
        <v/>
      </c>
      <c r="AD140" s="9" t="str">
        <f t="shared" si="17"/>
        <v/>
      </c>
      <c r="AF140" s="2" t="str">
        <f t="shared" si="20"/>
        <v/>
      </c>
      <c r="AG140" s="9" t="str">
        <f t="shared" si="21"/>
        <v/>
      </c>
      <c r="AH140" s="9" t="str">
        <f t="shared" si="22"/>
        <v/>
      </c>
    </row>
    <row r="141" spans="1:34" x14ac:dyDescent="0.25">
      <c r="A141" s="68"/>
      <c r="B141" s="68"/>
      <c r="C141" s="65"/>
      <c r="D141" s="65"/>
      <c r="E141" s="66"/>
      <c r="F141" s="65"/>
      <c r="G141" s="67"/>
      <c r="AA141" s="2" t="str">
        <f t="shared" si="18"/>
        <v/>
      </c>
      <c r="AC141" s="9" t="str">
        <f t="shared" si="19"/>
        <v/>
      </c>
      <c r="AD141" s="9" t="str">
        <f t="shared" si="17"/>
        <v/>
      </c>
      <c r="AF141" s="2" t="str">
        <f t="shared" si="20"/>
        <v/>
      </c>
      <c r="AG141" s="9" t="str">
        <f t="shared" si="21"/>
        <v/>
      </c>
      <c r="AH141" s="9" t="str">
        <f t="shared" si="22"/>
        <v/>
      </c>
    </row>
    <row r="142" spans="1:34" x14ac:dyDescent="0.25">
      <c r="A142" s="68"/>
      <c r="B142" s="68"/>
      <c r="C142" s="65"/>
      <c r="D142" s="65"/>
      <c r="E142" s="66"/>
      <c r="F142" s="65"/>
      <c r="G142" s="67"/>
      <c r="AA142" s="2" t="str">
        <f t="shared" si="18"/>
        <v/>
      </c>
      <c r="AC142" s="9" t="str">
        <f t="shared" si="19"/>
        <v/>
      </c>
      <c r="AD142" s="9" t="str">
        <f t="shared" si="17"/>
        <v/>
      </c>
      <c r="AF142" s="2" t="str">
        <f t="shared" si="20"/>
        <v/>
      </c>
      <c r="AG142" s="9" t="str">
        <f t="shared" si="21"/>
        <v/>
      </c>
      <c r="AH142" s="9" t="str">
        <f t="shared" si="22"/>
        <v/>
      </c>
    </row>
    <row r="143" spans="1:34" x14ac:dyDescent="0.25">
      <c r="A143" s="68"/>
      <c r="B143" s="68"/>
      <c r="C143" s="65"/>
      <c r="D143" s="65"/>
      <c r="E143" s="66"/>
      <c r="F143" s="65"/>
      <c r="G143" s="67"/>
      <c r="AA143" s="2" t="str">
        <f t="shared" si="18"/>
        <v/>
      </c>
      <c r="AC143" s="9" t="str">
        <f t="shared" si="19"/>
        <v/>
      </c>
      <c r="AD143" s="9" t="str">
        <f t="shared" si="17"/>
        <v/>
      </c>
      <c r="AF143" s="2" t="str">
        <f t="shared" si="20"/>
        <v/>
      </c>
      <c r="AG143" s="9" t="str">
        <f t="shared" si="21"/>
        <v/>
      </c>
      <c r="AH143" s="9" t="str">
        <f t="shared" si="22"/>
        <v/>
      </c>
    </row>
    <row r="144" spans="1:34" x14ac:dyDescent="0.25">
      <c r="A144" s="68"/>
      <c r="B144" s="68"/>
      <c r="C144" s="65"/>
      <c r="D144" s="65"/>
      <c r="E144" s="66"/>
      <c r="F144" s="65"/>
      <c r="G144" s="67"/>
      <c r="AA144" s="2" t="str">
        <f t="shared" si="18"/>
        <v/>
      </c>
      <c r="AC144" s="9" t="str">
        <f t="shared" si="19"/>
        <v/>
      </c>
      <c r="AD144" s="9" t="str">
        <f t="shared" si="17"/>
        <v/>
      </c>
      <c r="AF144" s="2" t="str">
        <f t="shared" si="20"/>
        <v/>
      </c>
      <c r="AG144" s="9" t="str">
        <f t="shared" si="21"/>
        <v/>
      </c>
      <c r="AH144" s="9" t="str">
        <f t="shared" si="22"/>
        <v/>
      </c>
    </row>
    <row r="145" spans="1:34" x14ac:dyDescent="0.25">
      <c r="A145" s="68"/>
      <c r="B145" s="68"/>
      <c r="C145" s="65"/>
      <c r="D145" s="65"/>
      <c r="E145" s="66"/>
      <c r="F145" s="65"/>
      <c r="G145" s="67"/>
      <c r="AA145" s="2" t="str">
        <f t="shared" si="18"/>
        <v/>
      </c>
      <c r="AC145" s="9" t="str">
        <f t="shared" si="19"/>
        <v/>
      </c>
      <c r="AD145" s="9" t="str">
        <f t="shared" si="17"/>
        <v/>
      </c>
      <c r="AF145" s="2" t="str">
        <f t="shared" si="20"/>
        <v/>
      </c>
      <c r="AG145" s="9" t="str">
        <f t="shared" si="21"/>
        <v/>
      </c>
      <c r="AH145" s="9" t="str">
        <f t="shared" si="22"/>
        <v/>
      </c>
    </row>
    <row r="146" spans="1:34" x14ac:dyDescent="0.25">
      <c r="A146" s="68"/>
      <c r="B146" s="68"/>
      <c r="C146" s="65"/>
      <c r="D146" s="65"/>
      <c r="E146" s="66"/>
      <c r="F146" s="65"/>
      <c r="G146" s="67"/>
      <c r="AA146" s="2" t="str">
        <f t="shared" si="18"/>
        <v/>
      </c>
      <c r="AC146" s="9" t="str">
        <f t="shared" si="19"/>
        <v/>
      </c>
      <c r="AD146" s="9" t="str">
        <f t="shared" si="17"/>
        <v/>
      </c>
      <c r="AF146" s="2" t="str">
        <f t="shared" si="20"/>
        <v/>
      </c>
      <c r="AG146" s="9" t="str">
        <f t="shared" si="21"/>
        <v/>
      </c>
      <c r="AH146" s="9" t="str">
        <f t="shared" si="22"/>
        <v/>
      </c>
    </row>
    <row r="147" spans="1:34" x14ac:dyDescent="0.25">
      <c r="A147" s="68"/>
      <c r="B147" s="68"/>
      <c r="C147" s="65"/>
      <c r="D147" s="65"/>
      <c r="E147" s="66"/>
      <c r="F147" s="65"/>
      <c r="G147" s="67"/>
      <c r="AA147" s="2" t="str">
        <f t="shared" si="18"/>
        <v/>
      </c>
      <c r="AC147" s="9" t="str">
        <f t="shared" si="19"/>
        <v/>
      </c>
      <c r="AD147" s="9" t="str">
        <f t="shared" si="17"/>
        <v/>
      </c>
      <c r="AF147" s="2" t="str">
        <f t="shared" si="20"/>
        <v/>
      </c>
      <c r="AG147" s="9" t="str">
        <f t="shared" si="21"/>
        <v/>
      </c>
      <c r="AH147" s="9" t="str">
        <f t="shared" si="22"/>
        <v/>
      </c>
    </row>
    <row r="148" spans="1:34" x14ac:dyDescent="0.25">
      <c r="A148" s="68"/>
      <c r="B148" s="68"/>
      <c r="C148" s="65"/>
      <c r="D148" s="65"/>
      <c r="E148" s="66"/>
      <c r="F148" s="65"/>
      <c r="G148" s="67"/>
      <c r="AA148" s="2" t="str">
        <f t="shared" si="18"/>
        <v/>
      </c>
      <c r="AC148" s="9" t="str">
        <f t="shared" si="19"/>
        <v/>
      </c>
      <c r="AD148" s="9" t="str">
        <f t="shared" si="17"/>
        <v/>
      </c>
      <c r="AF148" s="2" t="str">
        <f t="shared" si="20"/>
        <v/>
      </c>
      <c r="AG148" s="9" t="str">
        <f t="shared" si="21"/>
        <v/>
      </c>
      <c r="AH148" s="9" t="str">
        <f t="shared" si="22"/>
        <v/>
      </c>
    </row>
    <row r="149" spans="1:34" x14ac:dyDescent="0.25">
      <c r="A149" s="68"/>
      <c r="B149" s="68"/>
      <c r="C149" s="65"/>
      <c r="D149" s="65"/>
      <c r="E149" s="66"/>
      <c r="F149" s="65"/>
      <c r="G149" s="67"/>
      <c r="AA149" s="2" t="str">
        <f t="shared" si="18"/>
        <v/>
      </c>
      <c r="AC149" s="9" t="str">
        <f t="shared" si="19"/>
        <v/>
      </c>
      <c r="AD149" s="9" t="str">
        <f t="shared" si="17"/>
        <v/>
      </c>
      <c r="AF149" s="2" t="str">
        <f t="shared" si="20"/>
        <v/>
      </c>
      <c r="AG149" s="9" t="str">
        <f t="shared" si="21"/>
        <v/>
      </c>
      <c r="AH149" s="9" t="str">
        <f t="shared" si="22"/>
        <v/>
      </c>
    </row>
    <row r="150" spans="1:34" x14ac:dyDescent="0.25">
      <c r="A150" s="68"/>
      <c r="B150" s="68"/>
      <c r="C150" s="65"/>
      <c r="D150" s="65"/>
      <c r="E150" s="66"/>
      <c r="F150" s="65"/>
      <c r="G150" s="67"/>
      <c r="AA150" s="2" t="str">
        <f t="shared" si="18"/>
        <v/>
      </c>
      <c r="AC150" s="9" t="str">
        <f t="shared" si="19"/>
        <v/>
      </c>
      <c r="AD150" s="9" t="str">
        <f t="shared" si="17"/>
        <v/>
      </c>
      <c r="AF150" s="2" t="str">
        <f t="shared" si="20"/>
        <v/>
      </c>
      <c r="AG150" s="9" t="str">
        <f t="shared" si="21"/>
        <v/>
      </c>
      <c r="AH150" s="9" t="str">
        <f t="shared" si="22"/>
        <v/>
      </c>
    </row>
    <row r="151" spans="1:34" x14ac:dyDescent="0.25">
      <c r="A151" s="68"/>
      <c r="B151" s="68"/>
      <c r="C151" s="65"/>
      <c r="D151" s="65"/>
      <c r="E151" s="66"/>
      <c r="F151" s="65"/>
      <c r="G151" s="67"/>
      <c r="AA151" s="2" t="str">
        <f t="shared" si="18"/>
        <v/>
      </c>
      <c r="AC151" s="9" t="str">
        <f t="shared" si="19"/>
        <v/>
      </c>
      <c r="AD151" s="9" t="str">
        <f t="shared" si="17"/>
        <v/>
      </c>
      <c r="AF151" s="2" t="str">
        <f t="shared" si="20"/>
        <v/>
      </c>
      <c r="AG151" s="9" t="str">
        <f t="shared" si="21"/>
        <v/>
      </c>
      <c r="AH151" s="9" t="str">
        <f t="shared" si="22"/>
        <v/>
      </c>
    </row>
    <row r="152" spans="1:34" x14ac:dyDescent="0.25">
      <c r="A152" s="68"/>
      <c r="B152" s="68"/>
      <c r="C152" s="65"/>
      <c r="D152" s="65"/>
      <c r="E152" s="66"/>
      <c r="F152" s="65"/>
      <c r="G152" s="67"/>
      <c r="AA152" s="2" t="str">
        <f t="shared" si="18"/>
        <v/>
      </c>
      <c r="AC152" s="9" t="str">
        <f t="shared" si="19"/>
        <v/>
      </c>
      <c r="AD152" s="9" t="str">
        <f t="shared" si="17"/>
        <v/>
      </c>
      <c r="AF152" s="2" t="str">
        <f t="shared" si="20"/>
        <v/>
      </c>
      <c r="AG152" s="9" t="str">
        <f t="shared" si="21"/>
        <v/>
      </c>
      <c r="AH152" s="9" t="str">
        <f t="shared" si="22"/>
        <v/>
      </c>
    </row>
    <row r="153" spans="1:34" x14ac:dyDescent="0.25">
      <c r="A153" s="68"/>
      <c r="B153" s="68"/>
      <c r="C153" s="65"/>
      <c r="D153" s="65"/>
      <c r="E153" s="66"/>
      <c r="F153" s="65"/>
      <c r="G153" s="67"/>
      <c r="AA153" s="2" t="str">
        <f t="shared" si="18"/>
        <v/>
      </c>
      <c r="AC153" s="9" t="str">
        <f t="shared" si="19"/>
        <v/>
      </c>
      <c r="AD153" s="9" t="str">
        <f t="shared" si="17"/>
        <v/>
      </c>
      <c r="AF153" s="2" t="str">
        <f t="shared" si="20"/>
        <v/>
      </c>
      <c r="AG153" s="9" t="str">
        <f t="shared" si="21"/>
        <v/>
      </c>
      <c r="AH153" s="9" t="str">
        <f t="shared" si="22"/>
        <v/>
      </c>
    </row>
    <row r="154" spans="1:34" x14ac:dyDescent="0.25">
      <c r="A154" s="68"/>
      <c r="B154" s="68"/>
      <c r="C154" s="65"/>
      <c r="D154" s="65"/>
      <c r="E154" s="66"/>
      <c r="F154" s="65"/>
      <c r="G154" s="67"/>
      <c r="AA154" s="2" t="str">
        <f t="shared" si="18"/>
        <v/>
      </c>
      <c r="AC154" s="9" t="str">
        <f t="shared" si="19"/>
        <v/>
      </c>
      <c r="AD154" s="9" t="str">
        <f t="shared" si="17"/>
        <v/>
      </c>
      <c r="AF154" s="2" t="str">
        <f t="shared" si="20"/>
        <v/>
      </c>
      <c r="AG154" s="9" t="str">
        <f t="shared" si="21"/>
        <v/>
      </c>
      <c r="AH154" s="9" t="str">
        <f t="shared" si="22"/>
        <v/>
      </c>
    </row>
    <row r="155" spans="1:34" x14ac:dyDescent="0.25">
      <c r="A155" s="68"/>
      <c r="B155" s="68"/>
      <c r="C155" s="65"/>
      <c r="D155" s="65"/>
      <c r="E155" s="66"/>
      <c r="F155" s="65"/>
      <c r="G155" s="67"/>
      <c r="AA155" s="2" t="str">
        <f t="shared" si="18"/>
        <v/>
      </c>
      <c r="AC155" s="9" t="str">
        <f t="shared" si="19"/>
        <v/>
      </c>
      <c r="AD155" s="9" t="str">
        <f t="shared" si="17"/>
        <v/>
      </c>
      <c r="AF155" s="2" t="str">
        <f t="shared" si="20"/>
        <v/>
      </c>
      <c r="AG155" s="9" t="str">
        <f t="shared" si="21"/>
        <v/>
      </c>
      <c r="AH155" s="9" t="str">
        <f t="shared" si="22"/>
        <v/>
      </c>
    </row>
    <row r="156" spans="1:34" x14ac:dyDescent="0.25">
      <c r="A156" s="68"/>
      <c r="B156" s="68"/>
      <c r="C156" s="65"/>
      <c r="D156" s="65"/>
      <c r="E156" s="66"/>
      <c r="F156" s="65"/>
      <c r="G156" s="67"/>
      <c r="AA156" s="2" t="str">
        <f t="shared" si="18"/>
        <v/>
      </c>
      <c r="AC156" s="9" t="str">
        <f t="shared" si="19"/>
        <v/>
      </c>
      <c r="AD156" s="9" t="str">
        <f t="shared" si="17"/>
        <v/>
      </c>
      <c r="AF156" s="2" t="str">
        <f t="shared" si="20"/>
        <v/>
      </c>
      <c r="AG156" s="9" t="str">
        <f t="shared" si="21"/>
        <v/>
      </c>
      <c r="AH156" s="9" t="str">
        <f t="shared" si="22"/>
        <v/>
      </c>
    </row>
    <row r="157" spans="1:34" x14ac:dyDescent="0.25">
      <c r="A157" s="68"/>
      <c r="B157" s="68"/>
      <c r="C157" s="65"/>
      <c r="D157" s="65"/>
      <c r="E157" s="66"/>
      <c r="F157" s="65"/>
      <c r="G157" s="67"/>
      <c r="AA157" s="2" t="str">
        <f t="shared" si="18"/>
        <v/>
      </c>
      <c r="AC157" s="9" t="str">
        <f t="shared" si="19"/>
        <v/>
      </c>
      <c r="AD157" s="9" t="str">
        <f t="shared" si="17"/>
        <v/>
      </c>
      <c r="AF157" s="2" t="str">
        <f t="shared" si="20"/>
        <v/>
      </c>
      <c r="AG157" s="9" t="str">
        <f t="shared" si="21"/>
        <v/>
      </c>
      <c r="AH157" s="9" t="str">
        <f t="shared" si="22"/>
        <v/>
      </c>
    </row>
    <row r="158" spans="1:34" x14ac:dyDescent="0.25">
      <c r="A158" s="68"/>
      <c r="B158" s="68"/>
      <c r="C158" s="65"/>
      <c r="D158" s="65"/>
      <c r="E158" s="66"/>
      <c r="F158" s="65"/>
      <c r="G158" s="67"/>
      <c r="AA158" s="2" t="str">
        <f t="shared" si="18"/>
        <v/>
      </c>
      <c r="AC158" s="9" t="str">
        <f t="shared" si="19"/>
        <v/>
      </c>
      <c r="AD158" s="9" t="str">
        <f t="shared" ref="AD158:AD221" si="23">IF(AA158="","",IF(AA158&lt;=B$16,0,B$15/(B$17-B$16)))</f>
        <v/>
      </c>
      <c r="AF158" s="2" t="str">
        <f t="shared" si="20"/>
        <v/>
      </c>
      <c r="AG158" s="9" t="str">
        <f t="shared" si="21"/>
        <v/>
      </c>
      <c r="AH158" s="9" t="str">
        <f t="shared" si="22"/>
        <v/>
      </c>
    </row>
    <row r="159" spans="1:34" x14ac:dyDescent="0.25">
      <c r="A159" s="68"/>
      <c r="B159" s="68"/>
      <c r="C159" s="65"/>
      <c r="D159" s="65"/>
      <c r="E159" s="66"/>
      <c r="F159" s="65"/>
      <c r="G159" s="67"/>
      <c r="AA159" s="2" t="str">
        <f t="shared" ref="AA159:AA222" si="24">IF(AA158&lt;B$17,AA158+1,"")</f>
        <v/>
      </c>
      <c r="AC159" s="9" t="str">
        <f t="shared" ref="AC159:AC222" si="25">IF(AB159="","",IF(AA159&lt;=B$16,AC158,AC158-AD159))</f>
        <v/>
      </c>
      <c r="AD159" s="9" t="str">
        <f t="shared" si="23"/>
        <v/>
      </c>
      <c r="AF159" s="2" t="str">
        <f t="shared" ref="AF159:AF180" si="26">IF(AE159="","",AB159-AB$29)</f>
        <v/>
      </c>
      <c r="AG159" s="9" t="str">
        <f t="shared" ref="AG159:AG222" si="27">IF(AF159="","",IF(AF159&lt;365,AF159*AC$25*AD159,365*AD159*AC$25))</f>
        <v/>
      </c>
      <c r="AH159" s="9" t="str">
        <f t="shared" ref="AH159:AH222" si="28">IF(AF159="","",IF(AF159&lt;365,AF159*AC$26*AD159,365*AD159*AC$26))</f>
        <v/>
      </c>
    </row>
    <row r="160" spans="1:34" x14ac:dyDescent="0.25">
      <c r="A160" s="68"/>
      <c r="B160" s="68"/>
      <c r="C160" s="65"/>
      <c r="D160" s="65"/>
      <c r="E160" s="66"/>
      <c r="F160" s="65"/>
      <c r="G160" s="67"/>
      <c r="AA160" s="2" t="str">
        <f t="shared" si="24"/>
        <v/>
      </c>
      <c r="AC160" s="9" t="str">
        <f t="shared" si="25"/>
        <v/>
      </c>
      <c r="AD160" s="9" t="str">
        <f t="shared" si="23"/>
        <v/>
      </c>
      <c r="AF160" s="2" t="str">
        <f t="shared" si="26"/>
        <v/>
      </c>
      <c r="AG160" s="9" t="str">
        <f t="shared" si="27"/>
        <v/>
      </c>
      <c r="AH160" s="9" t="str">
        <f t="shared" si="28"/>
        <v/>
      </c>
    </row>
    <row r="161" spans="1:34" x14ac:dyDescent="0.25">
      <c r="A161" s="68"/>
      <c r="B161" s="68"/>
      <c r="C161" s="65"/>
      <c r="D161" s="65"/>
      <c r="E161" s="66"/>
      <c r="F161" s="65"/>
      <c r="G161" s="67"/>
      <c r="AA161" s="2" t="str">
        <f t="shared" si="24"/>
        <v/>
      </c>
      <c r="AC161" s="9" t="str">
        <f t="shared" si="25"/>
        <v/>
      </c>
      <c r="AD161" s="9" t="str">
        <f t="shared" si="23"/>
        <v/>
      </c>
      <c r="AF161" s="2" t="str">
        <f t="shared" si="26"/>
        <v/>
      </c>
      <c r="AG161" s="9" t="str">
        <f t="shared" si="27"/>
        <v/>
      </c>
      <c r="AH161" s="9" t="str">
        <f t="shared" si="28"/>
        <v/>
      </c>
    </row>
    <row r="162" spans="1:34" x14ac:dyDescent="0.25">
      <c r="A162" s="68"/>
      <c r="B162" s="68"/>
      <c r="C162" s="65"/>
      <c r="D162" s="65"/>
      <c r="E162" s="66"/>
      <c r="F162" s="65"/>
      <c r="G162" s="67"/>
      <c r="AA162" s="2" t="str">
        <f t="shared" si="24"/>
        <v/>
      </c>
      <c r="AC162" s="9" t="str">
        <f t="shared" si="25"/>
        <v/>
      </c>
      <c r="AD162" s="9" t="str">
        <f t="shared" si="23"/>
        <v/>
      </c>
      <c r="AF162" s="2" t="str">
        <f t="shared" si="26"/>
        <v/>
      </c>
      <c r="AG162" s="9" t="str">
        <f t="shared" si="27"/>
        <v/>
      </c>
      <c r="AH162" s="9" t="str">
        <f t="shared" si="28"/>
        <v/>
      </c>
    </row>
    <row r="163" spans="1:34" x14ac:dyDescent="0.25">
      <c r="A163" s="68"/>
      <c r="B163" s="68"/>
      <c r="C163" s="65"/>
      <c r="D163" s="65"/>
      <c r="E163" s="66"/>
      <c r="F163" s="65"/>
      <c r="G163" s="67"/>
      <c r="AA163" s="2" t="str">
        <f t="shared" si="24"/>
        <v/>
      </c>
      <c r="AC163" s="9" t="str">
        <f t="shared" si="25"/>
        <v/>
      </c>
      <c r="AD163" s="9" t="str">
        <f t="shared" si="23"/>
        <v/>
      </c>
      <c r="AF163" s="2" t="str">
        <f t="shared" si="26"/>
        <v/>
      </c>
      <c r="AG163" s="9" t="str">
        <f t="shared" si="27"/>
        <v/>
      </c>
      <c r="AH163" s="9" t="str">
        <f t="shared" si="28"/>
        <v/>
      </c>
    </row>
    <row r="164" spans="1:34" x14ac:dyDescent="0.25">
      <c r="A164" s="68"/>
      <c r="B164" s="68"/>
      <c r="C164" s="65"/>
      <c r="D164" s="65"/>
      <c r="E164" s="66"/>
      <c r="F164" s="65"/>
      <c r="G164" s="67"/>
      <c r="AA164" s="2" t="str">
        <f t="shared" si="24"/>
        <v/>
      </c>
      <c r="AC164" s="9" t="str">
        <f t="shared" si="25"/>
        <v/>
      </c>
      <c r="AD164" s="9" t="str">
        <f t="shared" si="23"/>
        <v/>
      </c>
      <c r="AF164" s="2" t="str">
        <f t="shared" si="26"/>
        <v/>
      </c>
      <c r="AG164" s="9" t="str">
        <f t="shared" si="27"/>
        <v/>
      </c>
      <c r="AH164" s="9" t="str">
        <f t="shared" si="28"/>
        <v/>
      </c>
    </row>
    <row r="165" spans="1:34" x14ac:dyDescent="0.25">
      <c r="A165" s="68"/>
      <c r="B165" s="68"/>
      <c r="C165" s="65"/>
      <c r="D165" s="65"/>
      <c r="E165" s="66"/>
      <c r="F165" s="65"/>
      <c r="G165" s="67"/>
      <c r="AA165" s="2" t="str">
        <f t="shared" si="24"/>
        <v/>
      </c>
      <c r="AC165" s="9" t="str">
        <f t="shared" si="25"/>
        <v/>
      </c>
      <c r="AD165" s="9" t="str">
        <f t="shared" si="23"/>
        <v/>
      </c>
      <c r="AF165" s="2" t="str">
        <f t="shared" si="26"/>
        <v/>
      </c>
      <c r="AG165" s="9" t="str">
        <f t="shared" si="27"/>
        <v/>
      </c>
      <c r="AH165" s="9" t="str">
        <f t="shared" si="28"/>
        <v/>
      </c>
    </row>
    <row r="166" spans="1:34" x14ac:dyDescent="0.25">
      <c r="A166" s="68"/>
      <c r="B166" s="68"/>
      <c r="C166" s="65"/>
      <c r="D166" s="65"/>
      <c r="E166" s="66"/>
      <c r="F166" s="65"/>
      <c r="G166" s="67"/>
      <c r="AA166" s="2" t="str">
        <f t="shared" si="24"/>
        <v/>
      </c>
      <c r="AC166" s="9" t="str">
        <f t="shared" si="25"/>
        <v/>
      </c>
      <c r="AD166" s="9" t="str">
        <f t="shared" si="23"/>
        <v/>
      </c>
      <c r="AF166" s="2" t="str">
        <f t="shared" si="26"/>
        <v/>
      </c>
      <c r="AG166" s="9" t="str">
        <f t="shared" si="27"/>
        <v/>
      </c>
      <c r="AH166" s="9" t="str">
        <f t="shared" si="28"/>
        <v/>
      </c>
    </row>
    <row r="167" spans="1:34" x14ac:dyDescent="0.25">
      <c r="A167" s="68"/>
      <c r="B167" s="68"/>
      <c r="C167" s="65"/>
      <c r="D167" s="65"/>
      <c r="E167" s="66"/>
      <c r="F167" s="65"/>
      <c r="G167" s="67"/>
      <c r="AA167" s="2" t="str">
        <f t="shared" si="24"/>
        <v/>
      </c>
      <c r="AC167" s="9" t="str">
        <f t="shared" si="25"/>
        <v/>
      </c>
      <c r="AD167" s="9" t="str">
        <f t="shared" si="23"/>
        <v/>
      </c>
      <c r="AF167" s="2" t="str">
        <f t="shared" si="26"/>
        <v/>
      </c>
      <c r="AG167" s="9" t="str">
        <f t="shared" si="27"/>
        <v/>
      </c>
      <c r="AH167" s="9" t="str">
        <f t="shared" si="28"/>
        <v/>
      </c>
    </row>
    <row r="168" spans="1:34" x14ac:dyDescent="0.25">
      <c r="A168" s="68"/>
      <c r="B168" s="68"/>
      <c r="C168" s="65"/>
      <c r="D168" s="65"/>
      <c r="E168" s="66"/>
      <c r="F168" s="65"/>
      <c r="G168" s="67"/>
      <c r="AA168" s="2" t="str">
        <f t="shared" si="24"/>
        <v/>
      </c>
      <c r="AC168" s="9" t="str">
        <f t="shared" si="25"/>
        <v/>
      </c>
      <c r="AD168" s="9" t="str">
        <f t="shared" si="23"/>
        <v/>
      </c>
      <c r="AF168" s="2" t="str">
        <f t="shared" si="26"/>
        <v/>
      </c>
      <c r="AG168" s="9" t="str">
        <f t="shared" si="27"/>
        <v/>
      </c>
      <c r="AH168" s="9" t="str">
        <f t="shared" si="28"/>
        <v/>
      </c>
    </row>
    <row r="169" spans="1:34" x14ac:dyDescent="0.25">
      <c r="A169" s="68"/>
      <c r="B169" s="68"/>
      <c r="C169" s="65"/>
      <c r="D169" s="65"/>
      <c r="E169" s="66"/>
      <c r="F169" s="65"/>
      <c r="G169" s="67"/>
      <c r="AA169" s="2" t="str">
        <f t="shared" si="24"/>
        <v/>
      </c>
      <c r="AC169" s="9" t="str">
        <f t="shared" si="25"/>
        <v/>
      </c>
      <c r="AD169" s="9" t="str">
        <f t="shared" si="23"/>
        <v/>
      </c>
      <c r="AF169" s="2" t="str">
        <f t="shared" si="26"/>
        <v/>
      </c>
      <c r="AG169" s="9" t="str">
        <f t="shared" si="27"/>
        <v/>
      </c>
      <c r="AH169" s="9" t="str">
        <f t="shared" si="28"/>
        <v/>
      </c>
    </row>
    <row r="170" spans="1:34" x14ac:dyDescent="0.25">
      <c r="A170" s="68"/>
      <c r="B170" s="68"/>
      <c r="C170" s="65"/>
      <c r="D170" s="65"/>
      <c r="E170" s="66"/>
      <c r="F170" s="65"/>
      <c r="G170" s="67"/>
      <c r="AA170" s="2" t="str">
        <f t="shared" si="24"/>
        <v/>
      </c>
      <c r="AC170" s="9" t="str">
        <f t="shared" si="25"/>
        <v/>
      </c>
      <c r="AD170" s="9" t="str">
        <f t="shared" si="23"/>
        <v/>
      </c>
      <c r="AF170" s="2" t="str">
        <f t="shared" si="26"/>
        <v/>
      </c>
      <c r="AG170" s="9" t="str">
        <f t="shared" si="27"/>
        <v/>
      </c>
      <c r="AH170" s="9" t="str">
        <f t="shared" si="28"/>
        <v/>
      </c>
    </row>
    <row r="171" spans="1:34" x14ac:dyDescent="0.25">
      <c r="A171" s="68"/>
      <c r="B171" s="68"/>
      <c r="C171" s="65"/>
      <c r="D171" s="65"/>
      <c r="E171" s="66"/>
      <c r="F171" s="65"/>
      <c r="G171" s="67"/>
      <c r="AA171" s="2" t="str">
        <f t="shared" si="24"/>
        <v/>
      </c>
      <c r="AC171" s="9" t="str">
        <f t="shared" si="25"/>
        <v/>
      </c>
      <c r="AD171" s="9" t="str">
        <f t="shared" si="23"/>
        <v/>
      </c>
      <c r="AF171" s="2" t="str">
        <f t="shared" si="26"/>
        <v/>
      </c>
      <c r="AG171" s="9" t="str">
        <f t="shared" si="27"/>
        <v/>
      </c>
      <c r="AH171" s="9" t="str">
        <f t="shared" si="28"/>
        <v/>
      </c>
    </row>
    <row r="172" spans="1:34" x14ac:dyDescent="0.25">
      <c r="A172" s="68"/>
      <c r="B172" s="68"/>
      <c r="C172" s="65"/>
      <c r="D172" s="65"/>
      <c r="E172" s="66"/>
      <c r="F172" s="65"/>
      <c r="G172" s="67"/>
      <c r="AA172" s="2" t="str">
        <f t="shared" si="24"/>
        <v/>
      </c>
      <c r="AC172" s="9" t="str">
        <f t="shared" si="25"/>
        <v/>
      </c>
      <c r="AD172" s="9" t="str">
        <f t="shared" si="23"/>
        <v/>
      </c>
      <c r="AF172" s="2" t="str">
        <f t="shared" si="26"/>
        <v/>
      </c>
      <c r="AG172" s="9" t="str">
        <f t="shared" si="27"/>
        <v/>
      </c>
      <c r="AH172" s="9" t="str">
        <f t="shared" si="28"/>
        <v/>
      </c>
    </row>
    <row r="173" spans="1:34" x14ac:dyDescent="0.25">
      <c r="A173" s="68"/>
      <c r="B173" s="68"/>
      <c r="C173" s="65"/>
      <c r="D173" s="65"/>
      <c r="E173" s="66"/>
      <c r="F173" s="65"/>
      <c r="G173" s="67"/>
      <c r="AA173" s="2" t="str">
        <f t="shared" si="24"/>
        <v/>
      </c>
      <c r="AC173" s="9" t="str">
        <f t="shared" si="25"/>
        <v/>
      </c>
      <c r="AD173" s="9" t="str">
        <f t="shared" si="23"/>
        <v/>
      </c>
      <c r="AF173" s="2" t="str">
        <f t="shared" si="26"/>
        <v/>
      </c>
      <c r="AG173" s="9" t="str">
        <f t="shared" si="27"/>
        <v/>
      </c>
      <c r="AH173" s="9" t="str">
        <f t="shared" si="28"/>
        <v/>
      </c>
    </row>
    <row r="174" spans="1:34" x14ac:dyDescent="0.25">
      <c r="A174" s="68"/>
      <c r="B174" s="68"/>
      <c r="C174" s="65"/>
      <c r="D174" s="65"/>
      <c r="E174" s="66"/>
      <c r="F174" s="65"/>
      <c r="G174" s="67"/>
      <c r="AA174" s="2" t="str">
        <f t="shared" si="24"/>
        <v/>
      </c>
      <c r="AC174" s="9" t="str">
        <f t="shared" si="25"/>
        <v/>
      </c>
      <c r="AD174" s="9" t="str">
        <f t="shared" si="23"/>
        <v/>
      </c>
      <c r="AF174" s="2" t="str">
        <f t="shared" si="26"/>
        <v/>
      </c>
      <c r="AG174" s="9" t="str">
        <f t="shared" si="27"/>
        <v/>
      </c>
      <c r="AH174" s="9" t="str">
        <f t="shared" si="28"/>
        <v/>
      </c>
    </row>
    <row r="175" spans="1:34" x14ac:dyDescent="0.25">
      <c r="A175" s="68"/>
      <c r="B175" s="68"/>
      <c r="C175" s="65"/>
      <c r="D175" s="65"/>
      <c r="E175" s="66"/>
      <c r="F175" s="65"/>
      <c r="G175" s="67"/>
      <c r="AA175" s="2" t="str">
        <f t="shared" si="24"/>
        <v/>
      </c>
      <c r="AC175" s="9" t="str">
        <f t="shared" si="25"/>
        <v/>
      </c>
      <c r="AD175" s="9" t="str">
        <f t="shared" si="23"/>
        <v/>
      </c>
      <c r="AF175" s="2" t="str">
        <f t="shared" si="26"/>
        <v/>
      </c>
      <c r="AG175" s="9" t="str">
        <f t="shared" si="27"/>
        <v/>
      </c>
      <c r="AH175" s="9" t="str">
        <f t="shared" si="28"/>
        <v/>
      </c>
    </row>
    <row r="176" spans="1:34" x14ac:dyDescent="0.25">
      <c r="A176" s="68"/>
      <c r="B176" s="68"/>
      <c r="C176" s="65"/>
      <c r="D176" s="65"/>
      <c r="E176" s="66"/>
      <c r="F176" s="65"/>
      <c r="G176" s="67"/>
      <c r="AA176" s="2" t="str">
        <f t="shared" si="24"/>
        <v/>
      </c>
      <c r="AC176" s="9" t="str">
        <f t="shared" si="25"/>
        <v/>
      </c>
      <c r="AD176" s="9" t="str">
        <f t="shared" si="23"/>
        <v/>
      </c>
      <c r="AF176" s="2" t="str">
        <f t="shared" si="26"/>
        <v/>
      </c>
      <c r="AG176" s="9" t="str">
        <f t="shared" si="27"/>
        <v/>
      </c>
      <c r="AH176" s="9" t="str">
        <f t="shared" si="28"/>
        <v/>
      </c>
    </row>
    <row r="177" spans="1:34" x14ac:dyDescent="0.25">
      <c r="A177" s="68"/>
      <c r="B177" s="68"/>
      <c r="C177" s="65"/>
      <c r="D177" s="65"/>
      <c r="E177" s="66"/>
      <c r="F177" s="65"/>
      <c r="G177" s="67"/>
      <c r="AA177" s="2" t="str">
        <f t="shared" si="24"/>
        <v/>
      </c>
      <c r="AC177" s="9" t="str">
        <f t="shared" si="25"/>
        <v/>
      </c>
      <c r="AD177" s="9" t="str">
        <f t="shared" si="23"/>
        <v/>
      </c>
      <c r="AF177" s="2" t="str">
        <f t="shared" si="26"/>
        <v/>
      </c>
      <c r="AG177" s="9" t="str">
        <f t="shared" si="27"/>
        <v/>
      </c>
      <c r="AH177" s="9" t="str">
        <f t="shared" si="28"/>
        <v/>
      </c>
    </row>
    <row r="178" spans="1:34" x14ac:dyDescent="0.25">
      <c r="A178" s="68"/>
      <c r="B178" s="68"/>
      <c r="C178" s="65"/>
      <c r="D178" s="65"/>
      <c r="E178" s="66"/>
      <c r="F178" s="65"/>
      <c r="G178" s="67"/>
      <c r="AA178" s="2" t="str">
        <f t="shared" si="24"/>
        <v/>
      </c>
      <c r="AC178" s="9" t="str">
        <f t="shared" si="25"/>
        <v/>
      </c>
      <c r="AD178" s="9" t="str">
        <f t="shared" si="23"/>
        <v/>
      </c>
      <c r="AF178" s="2" t="str">
        <f t="shared" si="26"/>
        <v/>
      </c>
      <c r="AG178" s="9" t="str">
        <f t="shared" si="27"/>
        <v/>
      </c>
      <c r="AH178" s="9" t="str">
        <f t="shared" si="28"/>
        <v/>
      </c>
    </row>
    <row r="179" spans="1:34" x14ac:dyDescent="0.25">
      <c r="A179" s="68"/>
      <c r="B179" s="68"/>
      <c r="C179" s="65"/>
      <c r="D179" s="65"/>
      <c r="E179" s="66"/>
      <c r="F179" s="65"/>
      <c r="G179" s="67"/>
      <c r="AA179" s="2" t="str">
        <f t="shared" si="24"/>
        <v/>
      </c>
      <c r="AC179" s="9" t="str">
        <f t="shared" si="25"/>
        <v/>
      </c>
      <c r="AD179" s="9" t="str">
        <f t="shared" si="23"/>
        <v/>
      </c>
      <c r="AF179" s="2" t="str">
        <f t="shared" si="26"/>
        <v/>
      </c>
      <c r="AG179" s="9" t="str">
        <f t="shared" si="27"/>
        <v/>
      </c>
      <c r="AH179" s="9" t="str">
        <f t="shared" si="28"/>
        <v/>
      </c>
    </row>
    <row r="180" spans="1:34" x14ac:dyDescent="0.25">
      <c r="A180" s="68"/>
      <c r="B180" s="68"/>
      <c r="C180" s="65"/>
      <c r="D180" s="65"/>
      <c r="E180" s="66"/>
      <c r="F180" s="65"/>
      <c r="G180" s="67"/>
      <c r="AA180" s="2" t="str">
        <f t="shared" si="24"/>
        <v/>
      </c>
      <c r="AC180" s="9" t="str">
        <f t="shared" si="25"/>
        <v/>
      </c>
      <c r="AD180" s="9" t="str">
        <f t="shared" si="23"/>
        <v/>
      </c>
      <c r="AF180" s="2" t="str">
        <f t="shared" si="26"/>
        <v/>
      </c>
      <c r="AG180" s="9" t="str">
        <f t="shared" si="27"/>
        <v/>
      </c>
      <c r="AH180" s="9" t="str">
        <f t="shared" si="28"/>
        <v/>
      </c>
    </row>
    <row r="181" spans="1:34" x14ac:dyDescent="0.25">
      <c r="A181" s="68"/>
      <c r="B181" s="68"/>
      <c r="C181" s="65"/>
      <c r="D181" s="65"/>
      <c r="E181" s="66"/>
      <c r="F181" s="65"/>
      <c r="G181" s="67"/>
      <c r="AA181" s="2" t="str">
        <f t="shared" si="24"/>
        <v/>
      </c>
      <c r="AC181" s="9" t="str">
        <f t="shared" si="25"/>
        <v/>
      </c>
      <c r="AD181" s="9" t="str">
        <f t="shared" si="23"/>
        <v/>
      </c>
      <c r="AF181" s="2" t="str">
        <f>IF(AE181="","",AB181-AB$29)</f>
        <v/>
      </c>
      <c r="AG181" s="9" t="str">
        <f t="shared" si="27"/>
        <v/>
      </c>
      <c r="AH181" s="9" t="str">
        <f t="shared" si="28"/>
        <v/>
      </c>
    </row>
    <row r="182" spans="1:34" x14ac:dyDescent="0.25">
      <c r="A182" s="68"/>
      <c r="B182" s="68"/>
      <c r="C182" s="65"/>
      <c r="D182" s="65"/>
      <c r="E182" s="66"/>
      <c r="F182" s="65"/>
      <c r="G182" s="67"/>
      <c r="AA182" s="2" t="str">
        <f t="shared" si="24"/>
        <v/>
      </c>
      <c r="AC182" s="9" t="str">
        <f t="shared" si="25"/>
        <v/>
      </c>
      <c r="AD182" s="9" t="str">
        <f t="shared" si="23"/>
        <v/>
      </c>
      <c r="AF182" s="2" t="str">
        <f t="shared" ref="AF182:AF229" si="29">IF(AE182="","",AB182-AB$29)</f>
        <v/>
      </c>
      <c r="AG182" s="9" t="str">
        <f t="shared" si="27"/>
        <v/>
      </c>
      <c r="AH182" s="9" t="str">
        <f t="shared" si="28"/>
        <v/>
      </c>
    </row>
    <row r="183" spans="1:34" x14ac:dyDescent="0.25">
      <c r="A183" s="68"/>
      <c r="B183" s="68"/>
      <c r="C183" s="65"/>
      <c r="D183" s="65"/>
      <c r="E183" s="66"/>
      <c r="F183" s="65"/>
      <c r="G183" s="67"/>
      <c r="AA183" s="2" t="str">
        <f t="shared" si="24"/>
        <v/>
      </c>
      <c r="AC183" s="9" t="str">
        <f t="shared" si="25"/>
        <v/>
      </c>
      <c r="AD183" s="9" t="str">
        <f t="shared" si="23"/>
        <v/>
      </c>
      <c r="AF183" s="2" t="str">
        <f t="shared" si="29"/>
        <v/>
      </c>
      <c r="AG183" s="9" t="str">
        <f t="shared" si="27"/>
        <v/>
      </c>
      <c r="AH183" s="9" t="str">
        <f t="shared" si="28"/>
        <v/>
      </c>
    </row>
    <row r="184" spans="1:34" x14ac:dyDescent="0.25">
      <c r="A184" s="68"/>
      <c r="B184" s="68"/>
      <c r="C184" s="65"/>
      <c r="D184" s="65"/>
      <c r="E184" s="66"/>
      <c r="F184" s="65"/>
      <c r="G184" s="67"/>
      <c r="AA184" s="2" t="str">
        <f t="shared" si="24"/>
        <v/>
      </c>
      <c r="AC184" s="9" t="str">
        <f t="shared" si="25"/>
        <v/>
      </c>
      <c r="AD184" s="9" t="str">
        <f t="shared" si="23"/>
        <v/>
      </c>
      <c r="AF184" s="2" t="str">
        <f t="shared" si="29"/>
        <v/>
      </c>
      <c r="AG184" s="9" t="str">
        <f t="shared" si="27"/>
        <v/>
      </c>
      <c r="AH184" s="9" t="str">
        <f t="shared" si="28"/>
        <v/>
      </c>
    </row>
    <row r="185" spans="1:34" x14ac:dyDescent="0.25">
      <c r="A185" s="68"/>
      <c r="B185" s="68"/>
      <c r="C185" s="65"/>
      <c r="D185" s="65"/>
      <c r="E185" s="66"/>
      <c r="F185" s="65"/>
      <c r="G185" s="67"/>
      <c r="AA185" s="2" t="str">
        <f t="shared" si="24"/>
        <v/>
      </c>
      <c r="AC185" s="9" t="str">
        <f t="shared" si="25"/>
        <v/>
      </c>
      <c r="AD185" s="9" t="str">
        <f t="shared" si="23"/>
        <v/>
      </c>
      <c r="AF185" s="2" t="str">
        <f t="shared" si="29"/>
        <v/>
      </c>
      <c r="AG185" s="9" t="str">
        <f t="shared" si="27"/>
        <v/>
      </c>
      <c r="AH185" s="9" t="str">
        <f t="shared" si="28"/>
        <v/>
      </c>
    </row>
    <row r="186" spans="1:34" x14ac:dyDescent="0.25">
      <c r="A186" s="68"/>
      <c r="B186" s="68"/>
      <c r="C186" s="65"/>
      <c r="D186" s="65"/>
      <c r="E186" s="66"/>
      <c r="F186" s="65"/>
      <c r="G186" s="67"/>
      <c r="AA186" s="2" t="str">
        <f t="shared" si="24"/>
        <v/>
      </c>
      <c r="AC186" s="9" t="str">
        <f t="shared" si="25"/>
        <v/>
      </c>
      <c r="AD186" s="9" t="str">
        <f t="shared" si="23"/>
        <v/>
      </c>
      <c r="AF186" s="2" t="str">
        <f t="shared" si="29"/>
        <v/>
      </c>
      <c r="AG186" s="9" t="str">
        <f t="shared" si="27"/>
        <v/>
      </c>
      <c r="AH186" s="9" t="str">
        <f t="shared" si="28"/>
        <v/>
      </c>
    </row>
    <row r="187" spans="1:34" x14ac:dyDescent="0.25">
      <c r="A187" s="68"/>
      <c r="B187" s="68"/>
      <c r="C187" s="65"/>
      <c r="D187" s="65"/>
      <c r="E187" s="66"/>
      <c r="F187" s="65"/>
      <c r="G187" s="67"/>
      <c r="AA187" s="2" t="str">
        <f t="shared" si="24"/>
        <v/>
      </c>
      <c r="AC187" s="9" t="str">
        <f t="shared" si="25"/>
        <v/>
      </c>
      <c r="AD187" s="9" t="str">
        <f t="shared" si="23"/>
        <v/>
      </c>
      <c r="AF187" s="2" t="str">
        <f t="shared" si="29"/>
        <v/>
      </c>
      <c r="AG187" s="9" t="str">
        <f t="shared" si="27"/>
        <v/>
      </c>
      <c r="AH187" s="9" t="str">
        <f t="shared" si="28"/>
        <v/>
      </c>
    </row>
    <row r="188" spans="1:34" x14ac:dyDescent="0.25">
      <c r="A188" s="68"/>
      <c r="B188" s="68"/>
      <c r="C188" s="65"/>
      <c r="D188" s="65"/>
      <c r="E188" s="66"/>
      <c r="F188" s="65"/>
      <c r="G188" s="67"/>
      <c r="AA188" s="2" t="str">
        <f t="shared" si="24"/>
        <v/>
      </c>
      <c r="AC188" s="9" t="str">
        <f t="shared" si="25"/>
        <v/>
      </c>
      <c r="AD188" s="9" t="str">
        <f t="shared" si="23"/>
        <v/>
      </c>
      <c r="AF188" s="2" t="str">
        <f t="shared" si="29"/>
        <v/>
      </c>
      <c r="AG188" s="9" t="str">
        <f t="shared" si="27"/>
        <v/>
      </c>
      <c r="AH188" s="9" t="str">
        <f t="shared" si="28"/>
        <v/>
      </c>
    </row>
    <row r="189" spans="1:34" x14ac:dyDescent="0.25">
      <c r="A189" s="68"/>
      <c r="B189" s="68"/>
      <c r="C189" s="65"/>
      <c r="D189" s="65"/>
      <c r="E189" s="66"/>
      <c r="F189" s="65"/>
      <c r="G189" s="67"/>
      <c r="AA189" s="2" t="str">
        <f t="shared" si="24"/>
        <v/>
      </c>
      <c r="AC189" s="9" t="str">
        <f t="shared" si="25"/>
        <v/>
      </c>
      <c r="AD189" s="9" t="str">
        <f t="shared" si="23"/>
        <v/>
      </c>
      <c r="AF189" s="2" t="str">
        <f t="shared" si="29"/>
        <v/>
      </c>
      <c r="AG189" s="9" t="str">
        <f t="shared" si="27"/>
        <v/>
      </c>
      <c r="AH189" s="9" t="str">
        <f t="shared" si="28"/>
        <v/>
      </c>
    </row>
    <row r="190" spans="1:34" x14ac:dyDescent="0.25">
      <c r="A190" s="68"/>
      <c r="B190" s="68"/>
      <c r="C190" s="65"/>
      <c r="D190" s="65"/>
      <c r="E190" s="66"/>
      <c r="F190" s="65"/>
      <c r="G190" s="67"/>
      <c r="AA190" s="2" t="str">
        <f t="shared" si="24"/>
        <v/>
      </c>
      <c r="AC190" s="9" t="str">
        <f t="shared" si="25"/>
        <v/>
      </c>
      <c r="AD190" s="9" t="str">
        <f t="shared" si="23"/>
        <v/>
      </c>
      <c r="AF190" s="2" t="str">
        <f t="shared" si="29"/>
        <v/>
      </c>
      <c r="AG190" s="9" t="str">
        <f t="shared" si="27"/>
        <v/>
      </c>
      <c r="AH190" s="9" t="str">
        <f t="shared" si="28"/>
        <v/>
      </c>
    </row>
    <row r="191" spans="1:34" x14ac:dyDescent="0.25">
      <c r="A191" s="68"/>
      <c r="B191" s="68"/>
      <c r="C191" s="65"/>
      <c r="D191" s="65"/>
      <c r="E191" s="66"/>
      <c r="F191" s="65"/>
      <c r="G191" s="67"/>
      <c r="AA191" s="2" t="str">
        <f t="shared" si="24"/>
        <v/>
      </c>
      <c r="AC191" s="9" t="str">
        <f t="shared" si="25"/>
        <v/>
      </c>
      <c r="AD191" s="9" t="str">
        <f t="shared" si="23"/>
        <v/>
      </c>
      <c r="AF191" s="2" t="str">
        <f t="shared" si="29"/>
        <v/>
      </c>
      <c r="AG191" s="9" t="str">
        <f t="shared" si="27"/>
        <v/>
      </c>
      <c r="AH191" s="9" t="str">
        <f t="shared" si="28"/>
        <v/>
      </c>
    </row>
    <row r="192" spans="1:34" x14ac:dyDescent="0.25">
      <c r="A192" s="68"/>
      <c r="B192" s="68"/>
      <c r="C192" s="65"/>
      <c r="D192" s="65"/>
      <c r="E192" s="66"/>
      <c r="F192" s="65"/>
      <c r="G192" s="67"/>
      <c r="AA192" s="2" t="str">
        <f t="shared" si="24"/>
        <v/>
      </c>
      <c r="AC192" s="9" t="str">
        <f t="shared" si="25"/>
        <v/>
      </c>
      <c r="AD192" s="9" t="str">
        <f t="shared" si="23"/>
        <v/>
      </c>
      <c r="AF192" s="2" t="str">
        <f t="shared" si="29"/>
        <v/>
      </c>
      <c r="AG192" s="9" t="str">
        <f t="shared" si="27"/>
        <v/>
      </c>
      <c r="AH192" s="9" t="str">
        <f t="shared" si="28"/>
        <v/>
      </c>
    </row>
    <row r="193" spans="1:34" x14ac:dyDescent="0.25">
      <c r="A193" s="68"/>
      <c r="B193" s="68"/>
      <c r="C193" s="65"/>
      <c r="D193" s="65"/>
      <c r="E193" s="66"/>
      <c r="F193" s="65"/>
      <c r="G193" s="67"/>
      <c r="AA193" s="2" t="str">
        <f t="shared" si="24"/>
        <v/>
      </c>
      <c r="AC193" s="9" t="str">
        <f t="shared" si="25"/>
        <v/>
      </c>
      <c r="AD193" s="9" t="str">
        <f t="shared" si="23"/>
        <v/>
      </c>
      <c r="AF193" s="2" t="str">
        <f t="shared" si="29"/>
        <v/>
      </c>
      <c r="AG193" s="9" t="str">
        <f t="shared" si="27"/>
        <v/>
      </c>
      <c r="AH193" s="9" t="str">
        <f t="shared" si="28"/>
        <v/>
      </c>
    </row>
    <row r="194" spans="1:34" x14ac:dyDescent="0.25">
      <c r="A194" s="68"/>
      <c r="B194" s="68"/>
      <c r="C194" s="65"/>
      <c r="D194" s="65"/>
      <c r="E194" s="66"/>
      <c r="F194" s="65"/>
      <c r="G194" s="67"/>
      <c r="AA194" s="2" t="str">
        <f t="shared" si="24"/>
        <v/>
      </c>
      <c r="AC194" s="9" t="str">
        <f t="shared" si="25"/>
        <v/>
      </c>
      <c r="AD194" s="9" t="str">
        <f t="shared" si="23"/>
        <v/>
      </c>
      <c r="AF194" s="2" t="str">
        <f t="shared" si="29"/>
        <v/>
      </c>
      <c r="AG194" s="9" t="str">
        <f t="shared" si="27"/>
        <v/>
      </c>
      <c r="AH194" s="9" t="str">
        <f t="shared" si="28"/>
        <v/>
      </c>
    </row>
    <row r="195" spans="1:34" x14ac:dyDescent="0.25">
      <c r="A195" s="68"/>
      <c r="B195" s="68"/>
      <c r="C195" s="65"/>
      <c r="D195" s="65"/>
      <c r="E195" s="66"/>
      <c r="F195" s="65"/>
      <c r="G195" s="67"/>
      <c r="AA195" s="2" t="str">
        <f t="shared" si="24"/>
        <v/>
      </c>
      <c r="AC195" s="9" t="str">
        <f t="shared" si="25"/>
        <v/>
      </c>
      <c r="AD195" s="9" t="str">
        <f t="shared" si="23"/>
        <v/>
      </c>
      <c r="AF195" s="2" t="str">
        <f t="shared" si="29"/>
        <v/>
      </c>
      <c r="AG195" s="9" t="str">
        <f t="shared" si="27"/>
        <v/>
      </c>
      <c r="AH195" s="9" t="str">
        <f t="shared" si="28"/>
        <v/>
      </c>
    </row>
    <row r="196" spans="1:34" x14ac:dyDescent="0.25">
      <c r="A196" s="68"/>
      <c r="B196" s="68"/>
      <c r="C196" s="65"/>
      <c r="D196" s="65"/>
      <c r="E196" s="66"/>
      <c r="F196" s="65"/>
      <c r="G196" s="67"/>
      <c r="AA196" s="2" t="str">
        <f t="shared" si="24"/>
        <v/>
      </c>
      <c r="AC196" s="9" t="str">
        <f t="shared" si="25"/>
        <v/>
      </c>
      <c r="AD196" s="9" t="str">
        <f t="shared" si="23"/>
        <v/>
      </c>
      <c r="AF196" s="2" t="str">
        <f t="shared" si="29"/>
        <v/>
      </c>
      <c r="AG196" s="9" t="str">
        <f t="shared" si="27"/>
        <v/>
      </c>
      <c r="AH196" s="9" t="str">
        <f t="shared" si="28"/>
        <v/>
      </c>
    </row>
    <row r="197" spans="1:34" x14ac:dyDescent="0.25">
      <c r="A197" s="68"/>
      <c r="B197" s="68"/>
      <c r="C197" s="65"/>
      <c r="D197" s="65"/>
      <c r="E197" s="66"/>
      <c r="F197" s="65"/>
      <c r="G197" s="67"/>
      <c r="AA197" s="2" t="str">
        <f t="shared" si="24"/>
        <v/>
      </c>
      <c r="AC197" s="9" t="str">
        <f t="shared" si="25"/>
        <v/>
      </c>
      <c r="AD197" s="9" t="str">
        <f t="shared" si="23"/>
        <v/>
      </c>
      <c r="AF197" s="2" t="str">
        <f t="shared" si="29"/>
        <v/>
      </c>
      <c r="AG197" s="9" t="str">
        <f t="shared" si="27"/>
        <v/>
      </c>
      <c r="AH197" s="9" t="str">
        <f t="shared" si="28"/>
        <v/>
      </c>
    </row>
    <row r="198" spans="1:34" x14ac:dyDescent="0.25">
      <c r="A198" s="68"/>
      <c r="B198" s="68"/>
      <c r="C198" s="65"/>
      <c r="D198" s="65"/>
      <c r="E198" s="66"/>
      <c r="F198" s="65"/>
      <c r="G198" s="67"/>
      <c r="AA198" s="2" t="str">
        <f t="shared" si="24"/>
        <v/>
      </c>
      <c r="AC198" s="9" t="str">
        <f t="shared" si="25"/>
        <v/>
      </c>
      <c r="AD198" s="9" t="str">
        <f t="shared" si="23"/>
        <v/>
      </c>
      <c r="AF198" s="2" t="str">
        <f t="shared" si="29"/>
        <v/>
      </c>
      <c r="AG198" s="9" t="str">
        <f t="shared" si="27"/>
        <v/>
      </c>
      <c r="AH198" s="9" t="str">
        <f t="shared" si="28"/>
        <v/>
      </c>
    </row>
    <row r="199" spans="1:34" x14ac:dyDescent="0.25">
      <c r="A199" s="68"/>
      <c r="B199" s="68"/>
      <c r="C199" s="65"/>
      <c r="D199" s="65"/>
      <c r="E199" s="66"/>
      <c r="F199" s="65"/>
      <c r="G199" s="67"/>
      <c r="AA199" s="2" t="str">
        <f t="shared" si="24"/>
        <v/>
      </c>
      <c r="AC199" s="9" t="str">
        <f t="shared" si="25"/>
        <v/>
      </c>
      <c r="AD199" s="9" t="str">
        <f t="shared" si="23"/>
        <v/>
      </c>
      <c r="AF199" s="2" t="str">
        <f t="shared" si="29"/>
        <v/>
      </c>
      <c r="AG199" s="9" t="str">
        <f t="shared" si="27"/>
        <v/>
      </c>
      <c r="AH199" s="9" t="str">
        <f t="shared" si="28"/>
        <v/>
      </c>
    </row>
    <row r="200" spans="1:34" x14ac:dyDescent="0.25">
      <c r="A200" s="68"/>
      <c r="B200" s="68"/>
      <c r="C200" s="65"/>
      <c r="D200" s="65"/>
      <c r="E200" s="66"/>
      <c r="F200" s="65"/>
      <c r="G200" s="67"/>
      <c r="AA200" s="2" t="str">
        <f t="shared" si="24"/>
        <v/>
      </c>
      <c r="AC200" s="9" t="str">
        <f t="shared" si="25"/>
        <v/>
      </c>
      <c r="AD200" s="9" t="str">
        <f t="shared" si="23"/>
        <v/>
      </c>
      <c r="AF200" s="2" t="str">
        <f t="shared" si="29"/>
        <v/>
      </c>
      <c r="AG200" s="9" t="str">
        <f t="shared" si="27"/>
        <v/>
      </c>
      <c r="AH200" s="9" t="str">
        <f t="shared" si="28"/>
        <v/>
      </c>
    </row>
    <row r="201" spans="1:34" x14ac:dyDescent="0.25">
      <c r="A201" s="68"/>
      <c r="B201" s="68"/>
      <c r="C201" s="65"/>
      <c r="D201" s="65"/>
      <c r="E201" s="66"/>
      <c r="F201" s="65"/>
      <c r="G201" s="67"/>
      <c r="AA201" s="2" t="str">
        <f t="shared" si="24"/>
        <v/>
      </c>
      <c r="AC201" s="9" t="str">
        <f t="shared" si="25"/>
        <v/>
      </c>
      <c r="AD201" s="9" t="str">
        <f t="shared" si="23"/>
        <v/>
      </c>
      <c r="AF201" s="2" t="str">
        <f t="shared" si="29"/>
        <v/>
      </c>
      <c r="AG201" s="9" t="str">
        <f t="shared" si="27"/>
        <v/>
      </c>
      <c r="AH201" s="9" t="str">
        <f t="shared" si="28"/>
        <v/>
      </c>
    </row>
    <row r="202" spans="1:34" x14ac:dyDescent="0.25">
      <c r="A202" s="68"/>
      <c r="B202" s="68"/>
      <c r="C202" s="65"/>
      <c r="D202" s="65"/>
      <c r="E202" s="66"/>
      <c r="F202" s="65"/>
      <c r="G202" s="67"/>
      <c r="AA202" s="2" t="str">
        <f t="shared" si="24"/>
        <v/>
      </c>
      <c r="AC202" s="9" t="str">
        <f t="shared" si="25"/>
        <v/>
      </c>
      <c r="AD202" s="9" t="str">
        <f t="shared" si="23"/>
        <v/>
      </c>
      <c r="AF202" s="2" t="str">
        <f t="shared" si="29"/>
        <v/>
      </c>
      <c r="AG202" s="9" t="str">
        <f t="shared" si="27"/>
        <v/>
      </c>
      <c r="AH202" s="9" t="str">
        <f t="shared" si="28"/>
        <v/>
      </c>
    </row>
    <row r="203" spans="1:34" x14ac:dyDescent="0.25">
      <c r="A203" s="68"/>
      <c r="B203" s="68"/>
      <c r="C203" s="65"/>
      <c r="D203" s="65"/>
      <c r="E203" s="66"/>
      <c r="F203" s="65"/>
      <c r="G203" s="67"/>
      <c r="AA203" s="2" t="str">
        <f t="shared" si="24"/>
        <v/>
      </c>
      <c r="AC203" s="9" t="str">
        <f t="shared" si="25"/>
        <v/>
      </c>
      <c r="AD203" s="9" t="str">
        <f t="shared" si="23"/>
        <v/>
      </c>
      <c r="AF203" s="2" t="str">
        <f t="shared" si="29"/>
        <v/>
      </c>
      <c r="AG203" s="9" t="str">
        <f t="shared" si="27"/>
        <v/>
      </c>
      <c r="AH203" s="9" t="str">
        <f t="shared" si="28"/>
        <v/>
      </c>
    </row>
    <row r="204" spans="1:34" x14ac:dyDescent="0.25">
      <c r="A204" s="68"/>
      <c r="B204" s="68"/>
      <c r="C204" s="65"/>
      <c r="D204" s="65"/>
      <c r="E204" s="66"/>
      <c r="F204" s="65"/>
      <c r="G204" s="67"/>
      <c r="AA204" s="2" t="str">
        <f t="shared" si="24"/>
        <v/>
      </c>
      <c r="AC204" s="9" t="str">
        <f t="shared" si="25"/>
        <v/>
      </c>
      <c r="AD204" s="9" t="str">
        <f t="shared" si="23"/>
        <v/>
      </c>
      <c r="AF204" s="2" t="str">
        <f t="shared" si="29"/>
        <v/>
      </c>
      <c r="AG204" s="9" t="str">
        <f t="shared" si="27"/>
        <v/>
      </c>
      <c r="AH204" s="9" t="str">
        <f t="shared" si="28"/>
        <v/>
      </c>
    </row>
    <row r="205" spans="1:34" x14ac:dyDescent="0.25">
      <c r="A205" s="68"/>
      <c r="B205" s="68"/>
      <c r="C205" s="65"/>
      <c r="D205" s="65"/>
      <c r="E205" s="66"/>
      <c r="F205" s="65"/>
      <c r="G205" s="67"/>
      <c r="AA205" s="2" t="str">
        <f t="shared" si="24"/>
        <v/>
      </c>
      <c r="AC205" s="9" t="str">
        <f t="shared" si="25"/>
        <v/>
      </c>
      <c r="AD205" s="9" t="str">
        <f t="shared" si="23"/>
        <v/>
      </c>
      <c r="AF205" s="2" t="str">
        <f t="shared" si="29"/>
        <v/>
      </c>
      <c r="AG205" s="9" t="str">
        <f t="shared" si="27"/>
        <v/>
      </c>
      <c r="AH205" s="9" t="str">
        <f t="shared" si="28"/>
        <v/>
      </c>
    </row>
    <row r="206" spans="1:34" x14ac:dyDescent="0.25">
      <c r="A206" s="68"/>
      <c r="B206" s="68"/>
      <c r="C206" s="65"/>
      <c r="D206" s="65"/>
      <c r="E206" s="66"/>
      <c r="F206" s="65"/>
      <c r="G206" s="67"/>
      <c r="AA206" s="2" t="str">
        <f t="shared" si="24"/>
        <v/>
      </c>
      <c r="AC206" s="9" t="str">
        <f t="shared" si="25"/>
        <v/>
      </c>
      <c r="AD206" s="9" t="str">
        <f t="shared" si="23"/>
        <v/>
      </c>
      <c r="AF206" s="2" t="str">
        <f t="shared" si="29"/>
        <v/>
      </c>
      <c r="AG206" s="9" t="str">
        <f t="shared" si="27"/>
        <v/>
      </c>
      <c r="AH206" s="9" t="str">
        <f t="shared" si="28"/>
        <v/>
      </c>
    </row>
    <row r="207" spans="1:34" x14ac:dyDescent="0.25">
      <c r="A207" s="68"/>
      <c r="B207" s="68"/>
      <c r="C207" s="65"/>
      <c r="D207" s="65"/>
      <c r="E207" s="66"/>
      <c r="F207" s="65"/>
      <c r="G207" s="67"/>
      <c r="AA207" s="2" t="str">
        <f t="shared" si="24"/>
        <v/>
      </c>
      <c r="AC207" s="9" t="str">
        <f t="shared" si="25"/>
        <v/>
      </c>
      <c r="AD207" s="9" t="str">
        <f t="shared" si="23"/>
        <v/>
      </c>
      <c r="AF207" s="2" t="str">
        <f t="shared" si="29"/>
        <v/>
      </c>
      <c r="AG207" s="9" t="str">
        <f t="shared" si="27"/>
        <v/>
      </c>
      <c r="AH207" s="9" t="str">
        <f t="shared" si="28"/>
        <v/>
      </c>
    </row>
    <row r="208" spans="1:34" x14ac:dyDescent="0.25">
      <c r="A208" s="68"/>
      <c r="B208" s="68"/>
      <c r="C208" s="65"/>
      <c r="D208" s="65"/>
      <c r="E208" s="66"/>
      <c r="F208" s="65"/>
      <c r="G208" s="67"/>
      <c r="AA208" s="2" t="str">
        <f t="shared" si="24"/>
        <v/>
      </c>
      <c r="AC208" s="9" t="str">
        <f t="shared" si="25"/>
        <v/>
      </c>
      <c r="AD208" s="9" t="str">
        <f t="shared" si="23"/>
        <v/>
      </c>
      <c r="AF208" s="2" t="str">
        <f t="shared" si="29"/>
        <v/>
      </c>
      <c r="AG208" s="9" t="str">
        <f t="shared" si="27"/>
        <v/>
      </c>
      <c r="AH208" s="9" t="str">
        <f t="shared" si="28"/>
        <v/>
      </c>
    </row>
    <row r="209" spans="1:34" x14ac:dyDescent="0.25">
      <c r="A209" s="68"/>
      <c r="B209" s="68"/>
      <c r="C209" s="65"/>
      <c r="D209" s="65"/>
      <c r="E209" s="66"/>
      <c r="F209" s="65"/>
      <c r="G209" s="67"/>
      <c r="AA209" s="2" t="str">
        <f t="shared" si="24"/>
        <v/>
      </c>
      <c r="AC209" s="9" t="str">
        <f t="shared" si="25"/>
        <v/>
      </c>
      <c r="AD209" s="9" t="str">
        <f t="shared" si="23"/>
        <v/>
      </c>
      <c r="AF209" s="2" t="str">
        <f t="shared" si="29"/>
        <v/>
      </c>
      <c r="AG209" s="9" t="str">
        <f t="shared" si="27"/>
        <v/>
      </c>
      <c r="AH209" s="9" t="str">
        <f t="shared" si="28"/>
        <v/>
      </c>
    </row>
    <row r="210" spans="1:34" x14ac:dyDescent="0.25">
      <c r="A210" s="68"/>
      <c r="B210" s="68"/>
      <c r="C210" s="65"/>
      <c r="D210" s="65"/>
      <c r="E210" s="66"/>
      <c r="F210" s="65"/>
      <c r="G210" s="67"/>
      <c r="AA210" s="2" t="str">
        <f t="shared" si="24"/>
        <v/>
      </c>
      <c r="AC210" s="9" t="str">
        <f t="shared" si="25"/>
        <v/>
      </c>
      <c r="AD210" s="9" t="str">
        <f t="shared" si="23"/>
        <v/>
      </c>
      <c r="AF210" s="2" t="str">
        <f t="shared" si="29"/>
        <v/>
      </c>
      <c r="AG210" s="9" t="str">
        <f t="shared" si="27"/>
        <v/>
      </c>
      <c r="AH210" s="9" t="str">
        <f t="shared" si="28"/>
        <v/>
      </c>
    </row>
    <row r="211" spans="1:34" x14ac:dyDescent="0.25">
      <c r="A211" s="68"/>
      <c r="B211" s="68"/>
      <c r="C211" s="65"/>
      <c r="D211" s="65"/>
      <c r="E211" s="66"/>
      <c r="F211" s="65"/>
      <c r="G211" s="67"/>
      <c r="AA211" s="2" t="str">
        <f t="shared" si="24"/>
        <v/>
      </c>
      <c r="AC211" s="9" t="str">
        <f t="shared" si="25"/>
        <v/>
      </c>
      <c r="AD211" s="9" t="str">
        <f t="shared" si="23"/>
        <v/>
      </c>
      <c r="AF211" s="2" t="str">
        <f t="shared" si="29"/>
        <v/>
      </c>
      <c r="AG211" s="9" t="str">
        <f t="shared" si="27"/>
        <v/>
      </c>
      <c r="AH211" s="9" t="str">
        <f t="shared" si="28"/>
        <v/>
      </c>
    </row>
    <row r="212" spans="1:34" x14ac:dyDescent="0.25">
      <c r="A212" s="68"/>
      <c r="B212" s="68"/>
      <c r="C212" s="65"/>
      <c r="D212" s="65"/>
      <c r="E212" s="66"/>
      <c r="F212" s="65"/>
      <c r="G212" s="67"/>
      <c r="AA212" s="2" t="str">
        <f t="shared" si="24"/>
        <v/>
      </c>
      <c r="AC212" s="9" t="str">
        <f t="shared" si="25"/>
        <v/>
      </c>
      <c r="AD212" s="9" t="str">
        <f t="shared" si="23"/>
        <v/>
      </c>
      <c r="AF212" s="2" t="str">
        <f t="shared" si="29"/>
        <v/>
      </c>
      <c r="AG212" s="9" t="str">
        <f t="shared" si="27"/>
        <v/>
      </c>
      <c r="AH212" s="9" t="str">
        <f t="shared" si="28"/>
        <v/>
      </c>
    </row>
    <row r="213" spans="1:34" x14ac:dyDescent="0.25">
      <c r="A213" s="68"/>
      <c r="B213" s="68"/>
      <c r="C213" s="65"/>
      <c r="D213" s="65"/>
      <c r="E213" s="66"/>
      <c r="F213" s="65"/>
      <c r="G213" s="67"/>
      <c r="AA213" s="2" t="str">
        <f t="shared" si="24"/>
        <v/>
      </c>
      <c r="AC213" s="9" t="str">
        <f t="shared" si="25"/>
        <v/>
      </c>
      <c r="AD213" s="9" t="str">
        <f t="shared" si="23"/>
        <v/>
      </c>
      <c r="AF213" s="2" t="str">
        <f t="shared" si="29"/>
        <v/>
      </c>
      <c r="AG213" s="9" t="str">
        <f t="shared" si="27"/>
        <v/>
      </c>
      <c r="AH213" s="9" t="str">
        <f t="shared" si="28"/>
        <v/>
      </c>
    </row>
    <row r="214" spans="1:34" x14ac:dyDescent="0.25">
      <c r="A214" s="68"/>
      <c r="B214" s="68"/>
      <c r="C214" s="65"/>
      <c r="D214" s="65"/>
      <c r="E214" s="66"/>
      <c r="F214" s="65"/>
      <c r="G214" s="67"/>
      <c r="AA214" s="2" t="str">
        <f t="shared" si="24"/>
        <v/>
      </c>
      <c r="AC214" s="9" t="str">
        <f t="shared" si="25"/>
        <v/>
      </c>
      <c r="AD214" s="9" t="str">
        <f t="shared" si="23"/>
        <v/>
      </c>
      <c r="AF214" s="2" t="str">
        <f t="shared" si="29"/>
        <v/>
      </c>
      <c r="AG214" s="9" t="str">
        <f t="shared" si="27"/>
        <v/>
      </c>
      <c r="AH214" s="9" t="str">
        <f t="shared" si="28"/>
        <v/>
      </c>
    </row>
    <row r="215" spans="1:34" x14ac:dyDescent="0.25">
      <c r="A215" s="68"/>
      <c r="B215" s="68"/>
      <c r="C215" s="65"/>
      <c r="D215" s="65"/>
      <c r="E215" s="66"/>
      <c r="F215" s="65"/>
      <c r="G215" s="67"/>
      <c r="AA215" s="2" t="str">
        <f t="shared" si="24"/>
        <v/>
      </c>
      <c r="AC215" s="9" t="str">
        <f t="shared" si="25"/>
        <v/>
      </c>
      <c r="AD215" s="9" t="str">
        <f t="shared" si="23"/>
        <v/>
      </c>
      <c r="AF215" s="2" t="str">
        <f t="shared" si="29"/>
        <v/>
      </c>
      <c r="AG215" s="9" t="str">
        <f t="shared" si="27"/>
        <v/>
      </c>
      <c r="AH215" s="9" t="str">
        <f t="shared" si="28"/>
        <v/>
      </c>
    </row>
    <row r="216" spans="1:34" x14ac:dyDescent="0.25">
      <c r="A216" s="68"/>
      <c r="B216" s="68"/>
      <c r="C216" s="65"/>
      <c r="D216" s="65"/>
      <c r="E216" s="66"/>
      <c r="F216" s="65"/>
      <c r="G216" s="67"/>
      <c r="AA216" s="2" t="str">
        <f t="shared" si="24"/>
        <v/>
      </c>
      <c r="AC216" s="9" t="str">
        <f t="shared" si="25"/>
        <v/>
      </c>
      <c r="AD216" s="9" t="str">
        <f t="shared" si="23"/>
        <v/>
      </c>
      <c r="AF216" s="2" t="str">
        <f t="shared" si="29"/>
        <v/>
      </c>
      <c r="AG216" s="9" t="str">
        <f t="shared" si="27"/>
        <v/>
      </c>
      <c r="AH216" s="9" t="str">
        <f t="shared" si="28"/>
        <v/>
      </c>
    </row>
    <row r="217" spans="1:34" x14ac:dyDescent="0.25">
      <c r="A217" s="68"/>
      <c r="B217" s="68"/>
      <c r="C217" s="65"/>
      <c r="D217" s="65"/>
      <c r="E217" s="66"/>
      <c r="F217" s="65"/>
      <c r="G217" s="67"/>
      <c r="AA217" s="2" t="str">
        <f t="shared" si="24"/>
        <v/>
      </c>
      <c r="AC217" s="9" t="str">
        <f t="shared" si="25"/>
        <v/>
      </c>
      <c r="AD217" s="9" t="str">
        <f t="shared" si="23"/>
        <v/>
      </c>
      <c r="AF217" s="2" t="str">
        <f t="shared" si="29"/>
        <v/>
      </c>
      <c r="AG217" s="9" t="str">
        <f t="shared" si="27"/>
        <v/>
      </c>
      <c r="AH217" s="9" t="str">
        <f t="shared" si="28"/>
        <v/>
      </c>
    </row>
    <row r="218" spans="1:34" x14ac:dyDescent="0.25">
      <c r="A218" s="68"/>
      <c r="B218" s="68"/>
      <c r="C218" s="65"/>
      <c r="D218" s="65"/>
      <c r="E218" s="66"/>
      <c r="F218" s="65"/>
      <c r="G218" s="67"/>
      <c r="AA218" s="2" t="str">
        <f t="shared" si="24"/>
        <v/>
      </c>
      <c r="AC218" s="9" t="str">
        <f t="shared" si="25"/>
        <v/>
      </c>
      <c r="AD218" s="9" t="str">
        <f t="shared" si="23"/>
        <v/>
      </c>
      <c r="AF218" s="2" t="str">
        <f t="shared" si="29"/>
        <v/>
      </c>
      <c r="AG218" s="9" t="str">
        <f t="shared" si="27"/>
        <v/>
      </c>
      <c r="AH218" s="9" t="str">
        <f t="shared" si="28"/>
        <v/>
      </c>
    </row>
    <row r="219" spans="1:34" x14ac:dyDescent="0.25">
      <c r="A219" s="68"/>
      <c r="B219" s="68"/>
      <c r="C219" s="65"/>
      <c r="D219" s="65"/>
      <c r="E219" s="66"/>
      <c r="F219" s="65"/>
      <c r="G219" s="67"/>
      <c r="AA219" s="2" t="str">
        <f t="shared" si="24"/>
        <v/>
      </c>
      <c r="AC219" s="9" t="str">
        <f t="shared" si="25"/>
        <v/>
      </c>
      <c r="AD219" s="9" t="str">
        <f t="shared" si="23"/>
        <v/>
      </c>
      <c r="AF219" s="2" t="str">
        <f t="shared" si="29"/>
        <v/>
      </c>
      <c r="AG219" s="9" t="str">
        <f t="shared" si="27"/>
        <v/>
      </c>
      <c r="AH219" s="9" t="str">
        <f t="shared" si="28"/>
        <v/>
      </c>
    </row>
    <row r="220" spans="1:34" x14ac:dyDescent="0.25">
      <c r="A220" s="68"/>
      <c r="B220" s="68"/>
      <c r="C220" s="65"/>
      <c r="D220" s="65"/>
      <c r="E220" s="66"/>
      <c r="F220" s="65"/>
      <c r="G220" s="67"/>
      <c r="AA220" s="2" t="str">
        <f t="shared" si="24"/>
        <v/>
      </c>
      <c r="AC220" s="9" t="str">
        <f t="shared" si="25"/>
        <v/>
      </c>
      <c r="AD220" s="9" t="str">
        <f t="shared" si="23"/>
        <v/>
      </c>
      <c r="AF220" s="2" t="str">
        <f t="shared" si="29"/>
        <v/>
      </c>
      <c r="AG220" s="9" t="str">
        <f t="shared" si="27"/>
        <v/>
      </c>
      <c r="AH220" s="9" t="str">
        <f t="shared" si="28"/>
        <v/>
      </c>
    </row>
    <row r="221" spans="1:34" x14ac:dyDescent="0.25">
      <c r="A221" s="68"/>
      <c r="B221" s="68"/>
      <c r="C221" s="65"/>
      <c r="D221" s="65"/>
      <c r="E221" s="66"/>
      <c r="F221" s="65"/>
      <c r="G221" s="67"/>
      <c r="AA221" s="2" t="str">
        <f t="shared" si="24"/>
        <v/>
      </c>
      <c r="AC221" s="9" t="str">
        <f t="shared" si="25"/>
        <v/>
      </c>
      <c r="AD221" s="9" t="str">
        <f t="shared" si="23"/>
        <v/>
      </c>
      <c r="AF221" s="2" t="str">
        <f t="shared" si="29"/>
        <v/>
      </c>
      <c r="AG221" s="9" t="str">
        <f t="shared" si="27"/>
        <v/>
      </c>
      <c r="AH221" s="9" t="str">
        <f t="shared" si="28"/>
        <v/>
      </c>
    </row>
    <row r="222" spans="1:34" x14ac:dyDescent="0.25">
      <c r="A222" s="68"/>
      <c r="B222" s="68"/>
      <c r="C222" s="65"/>
      <c r="D222" s="65"/>
      <c r="E222" s="66"/>
      <c r="F222" s="65"/>
      <c r="G222" s="67"/>
      <c r="AA222" s="2" t="str">
        <f t="shared" si="24"/>
        <v/>
      </c>
      <c r="AC222" s="9" t="str">
        <f t="shared" si="25"/>
        <v/>
      </c>
      <c r="AD222" s="9" t="str">
        <f t="shared" ref="AD222:AD257" si="30">IF(AA222="","",IF(AA222&lt;=B$16,0,B$15/(B$17-B$16)))</f>
        <v/>
      </c>
      <c r="AF222" s="2" t="str">
        <f t="shared" si="29"/>
        <v/>
      </c>
      <c r="AG222" s="9" t="str">
        <f t="shared" si="27"/>
        <v/>
      </c>
      <c r="AH222" s="9" t="str">
        <f t="shared" si="28"/>
        <v/>
      </c>
    </row>
    <row r="223" spans="1:34" x14ac:dyDescent="0.25">
      <c r="A223" s="68"/>
      <c r="B223" s="68"/>
      <c r="C223" s="65"/>
      <c r="D223" s="65"/>
      <c r="E223" s="66"/>
      <c r="F223" s="65"/>
      <c r="G223" s="67"/>
      <c r="AA223" s="2" t="str">
        <f t="shared" ref="AA223:AA245" si="31">IF(AA222&lt;B$17,AA222+1,"")</f>
        <v/>
      </c>
      <c r="AC223" s="9" t="str">
        <f t="shared" ref="AC223:AC234" si="32">IF(AB223="","",IF(AA223&lt;=B$16,AC222,AC222-AD223))</f>
        <v/>
      </c>
      <c r="AD223" s="9" t="str">
        <f t="shared" si="30"/>
        <v/>
      </c>
      <c r="AF223" s="2" t="str">
        <f t="shared" si="29"/>
        <v/>
      </c>
      <c r="AG223" s="9" t="str">
        <f t="shared" ref="AG223:AG286" si="33">IF(AF223="","",IF(AF223&lt;365,AF223*AC$25*AD223,365*AD223*AC$25))</f>
        <v/>
      </c>
      <c r="AH223" s="9" t="str">
        <f t="shared" ref="AH223:AH286" si="34">IF(AF223="","",IF(AF223&lt;365,AF223*AC$26*AD223,365*AD223*AC$26))</f>
        <v/>
      </c>
    </row>
    <row r="224" spans="1:34" x14ac:dyDescent="0.25">
      <c r="A224" s="68"/>
      <c r="B224" s="68"/>
      <c r="C224" s="65"/>
      <c r="D224" s="65"/>
      <c r="E224" s="66"/>
      <c r="F224" s="65"/>
      <c r="G224" s="67"/>
      <c r="AA224" s="2" t="str">
        <f t="shared" si="31"/>
        <v/>
      </c>
      <c r="AC224" s="9" t="str">
        <f t="shared" si="32"/>
        <v/>
      </c>
      <c r="AD224" s="9" t="str">
        <f t="shared" si="30"/>
        <v/>
      </c>
      <c r="AF224" s="2" t="str">
        <f t="shared" si="29"/>
        <v/>
      </c>
      <c r="AG224" s="9" t="str">
        <f t="shared" si="33"/>
        <v/>
      </c>
      <c r="AH224" s="9" t="str">
        <f t="shared" si="34"/>
        <v/>
      </c>
    </row>
    <row r="225" spans="1:34" x14ac:dyDescent="0.25">
      <c r="A225" s="68"/>
      <c r="B225" s="68"/>
      <c r="C225" s="65"/>
      <c r="D225" s="65"/>
      <c r="E225" s="66"/>
      <c r="F225" s="65"/>
      <c r="G225" s="67"/>
      <c r="AA225" s="2" t="str">
        <f t="shared" si="31"/>
        <v/>
      </c>
      <c r="AC225" s="9" t="str">
        <f t="shared" si="32"/>
        <v/>
      </c>
      <c r="AD225" s="9" t="str">
        <f t="shared" si="30"/>
        <v/>
      </c>
      <c r="AF225" s="2" t="str">
        <f t="shared" si="29"/>
        <v/>
      </c>
      <c r="AG225" s="9" t="str">
        <f t="shared" si="33"/>
        <v/>
      </c>
      <c r="AH225" s="9" t="str">
        <f t="shared" si="34"/>
        <v/>
      </c>
    </row>
    <row r="226" spans="1:34" x14ac:dyDescent="0.25">
      <c r="A226" s="68"/>
      <c r="B226" s="68"/>
      <c r="C226" s="65"/>
      <c r="D226" s="65"/>
      <c r="E226" s="66"/>
      <c r="F226" s="65"/>
      <c r="G226" s="67"/>
      <c r="AA226" s="2" t="str">
        <f t="shared" si="31"/>
        <v/>
      </c>
      <c r="AC226" s="9" t="str">
        <f t="shared" si="32"/>
        <v/>
      </c>
      <c r="AD226" s="9" t="str">
        <f t="shared" si="30"/>
        <v/>
      </c>
      <c r="AF226" s="2" t="str">
        <f t="shared" si="29"/>
        <v/>
      </c>
      <c r="AG226" s="9" t="str">
        <f t="shared" si="33"/>
        <v/>
      </c>
      <c r="AH226" s="9" t="str">
        <f t="shared" si="34"/>
        <v/>
      </c>
    </row>
    <row r="227" spans="1:34" x14ac:dyDescent="0.25">
      <c r="A227" s="68"/>
      <c r="B227" s="68"/>
      <c r="C227" s="65"/>
      <c r="D227" s="65"/>
      <c r="E227" s="66"/>
      <c r="F227" s="65"/>
      <c r="G227" s="67"/>
      <c r="AA227" s="2" t="str">
        <f t="shared" si="31"/>
        <v/>
      </c>
      <c r="AC227" s="9" t="str">
        <f t="shared" si="32"/>
        <v/>
      </c>
      <c r="AD227" s="9" t="str">
        <f t="shared" si="30"/>
        <v/>
      </c>
      <c r="AF227" s="2" t="str">
        <f t="shared" si="29"/>
        <v/>
      </c>
      <c r="AG227" s="9" t="str">
        <f t="shared" si="33"/>
        <v/>
      </c>
      <c r="AH227" s="9" t="str">
        <f t="shared" si="34"/>
        <v/>
      </c>
    </row>
    <row r="228" spans="1:34" x14ac:dyDescent="0.25">
      <c r="A228" s="68"/>
      <c r="B228" s="68"/>
      <c r="C228" s="65"/>
      <c r="D228" s="65"/>
      <c r="E228" s="66"/>
      <c r="F228" s="65"/>
      <c r="G228" s="67"/>
      <c r="AA228" s="2" t="str">
        <f t="shared" si="31"/>
        <v/>
      </c>
      <c r="AC228" s="9" t="str">
        <f t="shared" si="32"/>
        <v/>
      </c>
      <c r="AD228" s="9" t="str">
        <f t="shared" si="30"/>
        <v/>
      </c>
      <c r="AF228" s="2" t="str">
        <f t="shared" si="29"/>
        <v/>
      </c>
      <c r="AG228" s="9" t="str">
        <f t="shared" si="33"/>
        <v/>
      </c>
      <c r="AH228" s="9" t="str">
        <f t="shared" si="34"/>
        <v/>
      </c>
    </row>
    <row r="229" spans="1:34" x14ac:dyDescent="0.25">
      <c r="A229" s="68"/>
      <c r="B229" s="68"/>
      <c r="C229" s="65"/>
      <c r="D229" s="65"/>
      <c r="E229" s="66"/>
      <c r="F229" s="65"/>
      <c r="G229" s="67"/>
      <c r="AA229" s="2" t="str">
        <f t="shared" si="31"/>
        <v/>
      </c>
      <c r="AC229" s="9" t="str">
        <f t="shared" si="32"/>
        <v/>
      </c>
      <c r="AD229" s="9" t="str">
        <f t="shared" si="30"/>
        <v/>
      </c>
      <c r="AF229" s="2" t="str">
        <f t="shared" si="29"/>
        <v/>
      </c>
      <c r="AG229" s="9" t="str">
        <f t="shared" si="33"/>
        <v/>
      </c>
      <c r="AH229" s="9" t="str">
        <f t="shared" si="34"/>
        <v/>
      </c>
    </row>
    <row r="230" spans="1:34" x14ac:dyDescent="0.25">
      <c r="A230" s="68"/>
      <c r="B230" s="68"/>
      <c r="C230" s="65"/>
      <c r="D230" s="65"/>
      <c r="E230" s="66"/>
      <c r="F230" s="65"/>
      <c r="G230" s="67"/>
      <c r="AA230" s="2" t="str">
        <f t="shared" si="31"/>
        <v/>
      </c>
      <c r="AC230" s="9" t="str">
        <f t="shared" si="32"/>
        <v/>
      </c>
      <c r="AD230" s="9" t="str">
        <f t="shared" si="30"/>
        <v/>
      </c>
      <c r="AG230" s="9" t="str">
        <f t="shared" si="33"/>
        <v/>
      </c>
      <c r="AH230" s="9" t="str">
        <f t="shared" si="34"/>
        <v/>
      </c>
    </row>
    <row r="231" spans="1:34" x14ac:dyDescent="0.25">
      <c r="A231" s="68"/>
      <c r="B231" s="68"/>
      <c r="C231" s="65"/>
      <c r="D231" s="65"/>
      <c r="E231" s="66"/>
      <c r="F231" s="65"/>
      <c r="G231" s="67"/>
      <c r="AA231" s="2" t="str">
        <f t="shared" si="31"/>
        <v/>
      </c>
      <c r="AC231" s="9" t="str">
        <f t="shared" si="32"/>
        <v/>
      </c>
      <c r="AD231" s="9" t="str">
        <f t="shared" si="30"/>
        <v/>
      </c>
      <c r="AG231" s="9" t="str">
        <f t="shared" si="33"/>
        <v/>
      </c>
      <c r="AH231" s="9" t="str">
        <f t="shared" si="34"/>
        <v/>
      </c>
    </row>
    <row r="232" spans="1:34" x14ac:dyDescent="0.25">
      <c r="A232" s="68"/>
      <c r="B232" s="68"/>
      <c r="C232" s="65"/>
      <c r="D232" s="65"/>
      <c r="E232" s="66"/>
      <c r="F232" s="65"/>
      <c r="G232" s="67"/>
      <c r="AA232" s="2" t="str">
        <f t="shared" si="31"/>
        <v/>
      </c>
      <c r="AC232" s="9" t="str">
        <f t="shared" si="32"/>
        <v/>
      </c>
      <c r="AD232" s="9" t="str">
        <f t="shared" si="30"/>
        <v/>
      </c>
      <c r="AG232" s="9" t="str">
        <f t="shared" si="33"/>
        <v/>
      </c>
      <c r="AH232" s="9" t="str">
        <f t="shared" si="34"/>
        <v/>
      </c>
    </row>
    <row r="233" spans="1:34" x14ac:dyDescent="0.25">
      <c r="A233" s="68"/>
      <c r="B233" s="68"/>
      <c r="C233" s="65"/>
      <c r="D233" s="65"/>
      <c r="E233" s="66"/>
      <c r="F233" s="65"/>
      <c r="G233" s="67"/>
      <c r="AA233" s="2" t="str">
        <f t="shared" si="31"/>
        <v/>
      </c>
      <c r="AC233" s="9" t="str">
        <f t="shared" si="32"/>
        <v/>
      </c>
      <c r="AD233" s="9" t="str">
        <f t="shared" si="30"/>
        <v/>
      </c>
      <c r="AG233" s="9" t="str">
        <f t="shared" si="33"/>
        <v/>
      </c>
      <c r="AH233" s="9" t="str">
        <f t="shared" si="34"/>
        <v/>
      </c>
    </row>
    <row r="234" spans="1:34" x14ac:dyDescent="0.25">
      <c r="A234" s="68"/>
      <c r="B234" s="68"/>
      <c r="C234" s="65"/>
      <c r="D234" s="65"/>
      <c r="E234" s="66"/>
      <c r="F234" s="65"/>
      <c r="G234" s="67"/>
      <c r="AA234" s="2" t="str">
        <f t="shared" si="31"/>
        <v/>
      </c>
      <c r="AC234" s="9" t="str">
        <f t="shared" si="32"/>
        <v/>
      </c>
      <c r="AD234" s="9" t="str">
        <f t="shared" si="30"/>
        <v/>
      </c>
      <c r="AG234" s="9" t="str">
        <f t="shared" si="33"/>
        <v/>
      </c>
      <c r="AH234" s="9" t="str">
        <f t="shared" si="34"/>
        <v/>
      </c>
    </row>
    <row r="235" spans="1:34" x14ac:dyDescent="0.25">
      <c r="A235" s="68"/>
      <c r="B235" s="68"/>
      <c r="C235" s="65"/>
      <c r="D235" s="65"/>
      <c r="E235" s="66"/>
      <c r="F235" s="65"/>
      <c r="G235" s="67"/>
      <c r="AA235" s="2" t="str">
        <f t="shared" si="31"/>
        <v/>
      </c>
      <c r="AC235" s="9" t="str">
        <f t="shared" ref="AC235:AC244" si="35">IF(AB235="","",E229)</f>
        <v/>
      </c>
      <c r="AD235" s="9" t="str">
        <f t="shared" si="30"/>
        <v/>
      </c>
      <c r="AG235" s="9" t="str">
        <f t="shared" si="33"/>
        <v/>
      </c>
      <c r="AH235" s="9" t="str">
        <f t="shared" si="34"/>
        <v/>
      </c>
    </row>
    <row r="236" spans="1:34" x14ac:dyDescent="0.25">
      <c r="A236" s="68"/>
      <c r="B236" s="68"/>
      <c r="C236" s="65"/>
      <c r="D236" s="65"/>
      <c r="E236" s="66"/>
      <c r="F236" s="65"/>
      <c r="G236" s="67"/>
      <c r="AA236" s="2" t="str">
        <f t="shared" si="31"/>
        <v/>
      </c>
      <c r="AC236" s="9" t="str">
        <f t="shared" si="35"/>
        <v/>
      </c>
      <c r="AD236" s="9" t="str">
        <f t="shared" si="30"/>
        <v/>
      </c>
      <c r="AG236" s="9" t="str">
        <f t="shared" si="33"/>
        <v/>
      </c>
      <c r="AH236" s="9" t="str">
        <f t="shared" si="34"/>
        <v/>
      </c>
    </row>
    <row r="237" spans="1:34" x14ac:dyDescent="0.25">
      <c r="A237" s="68"/>
      <c r="B237" s="68"/>
      <c r="C237" s="65"/>
      <c r="D237" s="65"/>
      <c r="E237" s="66"/>
      <c r="F237" s="65"/>
      <c r="G237" s="67"/>
      <c r="AA237" s="2" t="str">
        <f t="shared" si="31"/>
        <v/>
      </c>
      <c r="AC237" s="9" t="str">
        <f t="shared" si="35"/>
        <v/>
      </c>
      <c r="AD237" s="9" t="str">
        <f t="shared" si="30"/>
        <v/>
      </c>
      <c r="AG237" s="9" t="str">
        <f t="shared" si="33"/>
        <v/>
      </c>
      <c r="AH237" s="9" t="str">
        <f t="shared" si="34"/>
        <v/>
      </c>
    </row>
    <row r="238" spans="1:34" x14ac:dyDescent="0.25">
      <c r="A238" s="68"/>
      <c r="B238" s="68"/>
      <c r="C238" s="65"/>
      <c r="D238" s="65"/>
      <c r="E238" s="66"/>
      <c r="F238" s="65"/>
      <c r="G238" s="67"/>
      <c r="AA238" s="2" t="str">
        <f t="shared" si="31"/>
        <v/>
      </c>
      <c r="AC238" s="9" t="str">
        <f t="shared" si="35"/>
        <v/>
      </c>
      <c r="AD238" s="9" t="str">
        <f t="shared" si="30"/>
        <v/>
      </c>
      <c r="AG238" s="9" t="str">
        <f t="shared" si="33"/>
        <v/>
      </c>
      <c r="AH238" s="9" t="str">
        <f t="shared" si="34"/>
        <v/>
      </c>
    </row>
    <row r="239" spans="1:34" x14ac:dyDescent="0.25">
      <c r="A239" s="68"/>
      <c r="B239" s="68"/>
      <c r="C239" s="65"/>
      <c r="D239" s="65"/>
      <c r="E239" s="66"/>
      <c r="F239" s="65"/>
      <c r="G239" s="67"/>
      <c r="AA239" s="2" t="str">
        <f t="shared" si="31"/>
        <v/>
      </c>
      <c r="AC239" s="9" t="str">
        <f t="shared" si="35"/>
        <v/>
      </c>
      <c r="AD239" s="9" t="str">
        <f t="shared" si="30"/>
        <v/>
      </c>
      <c r="AG239" s="9" t="str">
        <f t="shared" si="33"/>
        <v/>
      </c>
      <c r="AH239" s="9" t="str">
        <f t="shared" si="34"/>
        <v/>
      </c>
    </row>
    <row r="240" spans="1:34" x14ac:dyDescent="0.25">
      <c r="A240" s="68"/>
      <c r="B240" s="68"/>
      <c r="C240" s="65"/>
      <c r="D240" s="65"/>
      <c r="E240" s="66"/>
      <c r="F240" s="65"/>
      <c r="G240" s="67"/>
      <c r="AA240" s="2" t="str">
        <f t="shared" si="31"/>
        <v/>
      </c>
      <c r="AC240" s="9" t="str">
        <f t="shared" si="35"/>
        <v/>
      </c>
      <c r="AD240" s="9" t="str">
        <f t="shared" si="30"/>
        <v/>
      </c>
      <c r="AG240" s="9" t="str">
        <f t="shared" si="33"/>
        <v/>
      </c>
      <c r="AH240" s="9" t="str">
        <f t="shared" si="34"/>
        <v/>
      </c>
    </row>
    <row r="241" spans="1:34" x14ac:dyDescent="0.25">
      <c r="A241" s="68"/>
      <c r="B241" s="68"/>
      <c r="C241" s="65"/>
      <c r="D241" s="65"/>
      <c r="E241" s="66"/>
      <c r="F241" s="65"/>
      <c r="G241" s="67"/>
      <c r="AA241" s="2" t="str">
        <f t="shared" si="31"/>
        <v/>
      </c>
      <c r="AC241" s="9" t="str">
        <f t="shared" si="35"/>
        <v/>
      </c>
      <c r="AD241" s="9" t="str">
        <f t="shared" si="30"/>
        <v/>
      </c>
      <c r="AG241" s="9" t="str">
        <f t="shared" si="33"/>
        <v/>
      </c>
      <c r="AH241" s="9" t="str">
        <f t="shared" si="34"/>
        <v/>
      </c>
    </row>
    <row r="242" spans="1:34" x14ac:dyDescent="0.25">
      <c r="A242" s="68"/>
      <c r="B242" s="68"/>
      <c r="C242" s="65"/>
      <c r="D242" s="65"/>
      <c r="E242" s="66"/>
      <c r="F242" s="65"/>
      <c r="G242" s="67"/>
      <c r="AA242" s="2" t="str">
        <f t="shared" si="31"/>
        <v/>
      </c>
      <c r="AC242" s="9" t="str">
        <f t="shared" si="35"/>
        <v/>
      </c>
      <c r="AD242" s="9" t="str">
        <f t="shared" si="30"/>
        <v/>
      </c>
      <c r="AG242" s="9" t="str">
        <f t="shared" si="33"/>
        <v/>
      </c>
      <c r="AH242" s="9" t="str">
        <f t="shared" si="34"/>
        <v/>
      </c>
    </row>
    <row r="243" spans="1:34" x14ac:dyDescent="0.25">
      <c r="A243" s="68"/>
      <c r="B243" s="68"/>
      <c r="C243" s="65"/>
      <c r="D243" s="65"/>
      <c r="E243" s="66"/>
      <c r="F243" s="65"/>
      <c r="G243" s="67"/>
      <c r="AA243" s="2" t="str">
        <f t="shared" si="31"/>
        <v/>
      </c>
      <c r="AC243" s="9" t="str">
        <f t="shared" si="35"/>
        <v/>
      </c>
      <c r="AD243" s="9" t="str">
        <f t="shared" si="30"/>
        <v/>
      </c>
      <c r="AG243" s="9" t="str">
        <f t="shared" si="33"/>
        <v/>
      </c>
      <c r="AH243" s="9" t="str">
        <f t="shared" si="34"/>
        <v/>
      </c>
    </row>
    <row r="244" spans="1:34" x14ac:dyDescent="0.25">
      <c r="A244" s="68"/>
      <c r="B244" s="68"/>
      <c r="C244" s="65"/>
      <c r="D244" s="65"/>
      <c r="E244" s="66"/>
      <c r="F244" s="65"/>
      <c r="G244" s="67"/>
      <c r="AA244" s="2" t="str">
        <f t="shared" si="31"/>
        <v/>
      </c>
      <c r="AC244" s="9" t="str">
        <f t="shared" si="35"/>
        <v/>
      </c>
      <c r="AD244" s="9" t="str">
        <f t="shared" si="30"/>
        <v/>
      </c>
      <c r="AG244" s="9" t="str">
        <f t="shared" si="33"/>
        <v/>
      </c>
      <c r="AH244" s="9" t="str">
        <f t="shared" si="34"/>
        <v/>
      </c>
    </row>
    <row r="245" spans="1:34" x14ac:dyDescent="0.25">
      <c r="A245" s="68"/>
      <c r="B245" s="68"/>
      <c r="C245" s="65"/>
      <c r="D245" s="65"/>
      <c r="E245" s="66"/>
      <c r="F245" s="65"/>
      <c r="G245" s="67"/>
      <c r="AA245" s="2" t="str">
        <f t="shared" si="31"/>
        <v/>
      </c>
      <c r="AD245" s="9" t="str">
        <f t="shared" si="30"/>
        <v/>
      </c>
      <c r="AG245" s="9" t="str">
        <f t="shared" si="33"/>
        <v/>
      </c>
      <c r="AH245" s="9" t="str">
        <f t="shared" si="34"/>
        <v/>
      </c>
    </row>
    <row r="246" spans="1:34" x14ac:dyDescent="0.25">
      <c r="A246" s="68"/>
      <c r="B246" s="68"/>
      <c r="C246" s="65"/>
      <c r="D246" s="65"/>
      <c r="E246" s="66"/>
      <c r="F246" s="65"/>
      <c r="G246" s="67"/>
      <c r="AD246" s="9" t="str">
        <f t="shared" si="30"/>
        <v/>
      </c>
      <c r="AG246" s="9" t="str">
        <f t="shared" si="33"/>
        <v/>
      </c>
      <c r="AH246" s="9" t="str">
        <f t="shared" si="34"/>
        <v/>
      </c>
    </row>
    <row r="247" spans="1:34" x14ac:dyDescent="0.25">
      <c r="A247" s="68"/>
      <c r="B247" s="68"/>
      <c r="C247" s="65"/>
      <c r="D247" s="65"/>
      <c r="E247" s="66"/>
      <c r="F247" s="65"/>
      <c r="G247" s="67"/>
      <c r="AD247" s="9" t="str">
        <f t="shared" si="30"/>
        <v/>
      </c>
      <c r="AG247" s="9" t="str">
        <f t="shared" si="33"/>
        <v/>
      </c>
      <c r="AH247" s="9" t="str">
        <f t="shared" si="34"/>
        <v/>
      </c>
    </row>
    <row r="248" spans="1:34" x14ac:dyDescent="0.25">
      <c r="A248" s="68"/>
      <c r="B248" s="68"/>
      <c r="C248" s="65"/>
      <c r="D248" s="65"/>
      <c r="E248" s="66"/>
      <c r="F248" s="65"/>
      <c r="G248" s="67"/>
      <c r="AD248" s="9" t="str">
        <f t="shared" si="30"/>
        <v/>
      </c>
      <c r="AG248" s="9" t="str">
        <f t="shared" si="33"/>
        <v/>
      </c>
      <c r="AH248" s="9" t="str">
        <f t="shared" si="34"/>
        <v/>
      </c>
    </row>
    <row r="249" spans="1:34" x14ac:dyDescent="0.25">
      <c r="A249" s="68"/>
      <c r="B249" s="68"/>
      <c r="C249" s="65"/>
      <c r="D249" s="65"/>
      <c r="E249" s="66"/>
      <c r="F249" s="65"/>
      <c r="G249" s="67"/>
      <c r="AD249" s="9" t="str">
        <f t="shared" si="30"/>
        <v/>
      </c>
      <c r="AG249" s="9" t="str">
        <f t="shared" si="33"/>
        <v/>
      </c>
      <c r="AH249" s="9" t="str">
        <f t="shared" si="34"/>
        <v/>
      </c>
    </row>
    <row r="250" spans="1:34" x14ac:dyDescent="0.25">
      <c r="A250" s="68"/>
      <c r="B250" s="68"/>
      <c r="C250" s="65"/>
      <c r="D250" s="65"/>
      <c r="E250" s="66"/>
      <c r="F250" s="65"/>
      <c r="G250" s="67"/>
      <c r="AD250" s="9" t="str">
        <f t="shared" si="30"/>
        <v/>
      </c>
      <c r="AG250" s="9" t="str">
        <f t="shared" si="33"/>
        <v/>
      </c>
      <c r="AH250" s="9" t="str">
        <f t="shared" si="34"/>
        <v/>
      </c>
    </row>
    <row r="251" spans="1:34" x14ac:dyDescent="0.25">
      <c r="A251" s="68"/>
      <c r="B251" s="68"/>
      <c r="C251" s="65"/>
      <c r="D251" s="65"/>
      <c r="E251" s="66"/>
      <c r="F251" s="65"/>
      <c r="G251" s="67"/>
      <c r="AD251" s="9" t="str">
        <f t="shared" si="30"/>
        <v/>
      </c>
      <c r="AG251" s="9" t="str">
        <f t="shared" si="33"/>
        <v/>
      </c>
      <c r="AH251" s="9" t="str">
        <f t="shared" si="34"/>
        <v/>
      </c>
    </row>
    <row r="252" spans="1:34" x14ac:dyDescent="0.25">
      <c r="A252" s="68"/>
      <c r="B252" s="68"/>
      <c r="C252" s="65"/>
      <c r="D252" s="65"/>
      <c r="E252" s="66"/>
      <c r="F252" s="65"/>
      <c r="G252" s="67"/>
      <c r="AD252" s="9" t="str">
        <f t="shared" si="30"/>
        <v/>
      </c>
      <c r="AG252" s="9" t="str">
        <f t="shared" si="33"/>
        <v/>
      </c>
      <c r="AH252" s="9" t="str">
        <f t="shared" si="34"/>
        <v/>
      </c>
    </row>
    <row r="253" spans="1:34" x14ac:dyDescent="0.25">
      <c r="A253" s="68"/>
      <c r="B253" s="68"/>
      <c r="C253" s="65"/>
      <c r="D253" s="65"/>
      <c r="E253" s="66"/>
      <c r="F253" s="65"/>
      <c r="G253" s="67"/>
      <c r="AD253" s="9" t="str">
        <f t="shared" si="30"/>
        <v/>
      </c>
      <c r="AG253" s="9" t="str">
        <f t="shared" si="33"/>
        <v/>
      </c>
      <c r="AH253" s="9" t="str">
        <f t="shared" si="34"/>
        <v/>
      </c>
    </row>
    <row r="254" spans="1:34" x14ac:dyDescent="0.25">
      <c r="A254" s="68"/>
      <c r="B254" s="68"/>
      <c r="C254" s="65"/>
      <c r="D254" s="65"/>
      <c r="E254" s="66"/>
      <c r="F254" s="65"/>
      <c r="G254" s="67"/>
      <c r="AD254" s="9" t="str">
        <f t="shared" si="30"/>
        <v/>
      </c>
      <c r="AG254" s="9" t="str">
        <f t="shared" si="33"/>
        <v/>
      </c>
      <c r="AH254" s="9" t="str">
        <f t="shared" si="34"/>
        <v/>
      </c>
    </row>
    <row r="255" spans="1:34" x14ac:dyDescent="0.25">
      <c r="A255" s="68"/>
      <c r="B255" s="68"/>
      <c r="C255" s="65"/>
      <c r="D255" s="65"/>
      <c r="E255" s="66"/>
      <c r="F255" s="65"/>
      <c r="G255" s="67"/>
      <c r="AD255" s="9" t="str">
        <f t="shared" si="30"/>
        <v/>
      </c>
      <c r="AG255" s="9" t="str">
        <f t="shared" si="33"/>
        <v/>
      </c>
      <c r="AH255" s="9" t="str">
        <f t="shared" si="34"/>
        <v/>
      </c>
    </row>
    <row r="256" spans="1:34" x14ac:dyDescent="0.25">
      <c r="A256" s="68"/>
      <c r="B256" s="68"/>
      <c r="C256" s="65"/>
      <c r="D256" s="65"/>
      <c r="E256" s="66"/>
      <c r="F256" s="65"/>
      <c r="G256" s="67"/>
      <c r="AD256" s="9" t="str">
        <f t="shared" si="30"/>
        <v/>
      </c>
      <c r="AG256" s="9" t="str">
        <f t="shared" si="33"/>
        <v/>
      </c>
      <c r="AH256" s="9" t="str">
        <f t="shared" si="34"/>
        <v/>
      </c>
    </row>
    <row r="257" spans="1:34" x14ac:dyDescent="0.25">
      <c r="A257" s="68"/>
      <c r="B257" s="68"/>
      <c r="C257" s="65"/>
      <c r="D257" s="65"/>
      <c r="E257" s="66"/>
      <c r="F257" s="65"/>
      <c r="G257" s="67"/>
      <c r="AD257" s="9" t="str">
        <f t="shared" si="30"/>
        <v/>
      </c>
      <c r="AG257" s="9" t="str">
        <f t="shared" si="33"/>
        <v/>
      </c>
      <c r="AH257" s="9" t="str">
        <f t="shared" si="34"/>
        <v/>
      </c>
    </row>
    <row r="258" spans="1:34" x14ac:dyDescent="0.25">
      <c r="A258" s="68"/>
      <c r="B258" s="68"/>
      <c r="C258" s="65"/>
      <c r="D258" s="65"/>
      <c r="E258" s="66"/>
      <c r="F258" s="65"/>
      <c r="G258" s="67"/>
      <c r="AD258" s="9" t="str">
        <f t="shared" ref="AD258:AD321" si="36">IF(AC258="","",C253)</f>
        <v/>
      </c>
      <c r="AG258" s="9" t="str">
        <f t="shared" si="33"/>
        <v/>
      </c>
      <c r="AH258" s="9" t="str">
        <f t="shared" si="34"/>
        <v/>
      </c>
    </row>
    <row r="259" spans="1:34" x14ac:dyDescent="0.25">
      <c r="A259" s="68"/>
      <c r="B259" s="68"/>
      <c r="C259" s="65"/>
      <c r="D259" s="65"/>
      <c r="E259" s="66"/>
      <c r="F259" s="65"/>
      <c r="G259" s="67"/>
      <c r="AD259" s="9" t="str">
        <f t="shared" si="36"/>
        <v/>
      </c>
      <c r="AG259" s="9" t="str">
        <f t="shared" si="33"/>
        <v/>
      </c>
      <c r="AH259" s="9" t="str">
        <f t="shared" si="34"/>
        <v/>
      </c>
    </row>
    <row r="260" spans="1:34" x14ac:dyDescent="0.25">
      <c r="A260" s="68"/>
      <c r="B260" s="68"/>
      <c r="C260" s="65"/>
      <c r="D260" s="65"/>
      <c r="E260" s="66"/>
      <c r="F260" s="65"/>
      <c r="G260" s="67"/>
      <c r="AD260" s="9" t="str">
        <f t="shared" si="36"/>
        <v/>
      </c>
      <c r="AG260" s="9" t="str">
        <f t="shared" si="33"/>
        <v/>
      </c>
      <c r="AH260" s="9" t="str">
        <f t="shared" si="34"/>
        <v/>
      </c>
    </row>
    <row r="261" spans="1:34" x14ac:dyDescent="0.25">
      <c r="A261" s="68"/>
      <c r="B261" s="68"/>
      <c r="C261" s="65"/>
      <c r="D261" s="65"/>
      <c r="E261" s="66"/>
      <c r="F261" s="65"/>
      <c r="G261" s="67"/>
      <c r="AD261" s="9" t="str">
        <f t="shared" si="36"/>
        <v/>
      </c>
      <c r="AG261" s="9" t="str">
        <f t="shared" si="33"/>
        <v/>
      </c>
      <c r="AH261" s="9" t="str">
        <f t="shared" si="34"/>
        <v/>
      </c>
    </row>
    <row r="262" spans="1:34" x14ac:dyDescent="0.25">
      <c r="A262" s="68"/>
      <c r="B262" s="68"/>
      <c r="C262" s="65"/>
      <c r="D262" s="65"/>
      <c r="E262" s="66"/>
      <c r="F262" s="65"/>
      <c r="G262" s="67"/>
      <c r="AD262" s="9" t="str">
        <f t="shared" si="36"/>
        <v/>
      </c>
      <c r="AG262" s="9" t="str">
        <f t="shared" si="33"/>
        <v/>
      </c>
      <c r="AH262" s="9" t="str">
        <f t="shared" si="34"/>
        <v/>
      </c>
    </row>
    <row r="263" spans="1:34" x14ac:dyDescent="0.25">
      <c r="A263" s="68"/>
      <c r="B263" s="68"/>
      <c r="C263" s="65"/>
      <c r="D263" s="65"/>
      <c r="E263" s="66"/>
      <c r="F263" s="65"/>
      <c r="G263" s="67"/>
      <c r="AD263" s="9" t="str">
        <f t="shared" si="36"/>
        <v/>
      </c>
      <c r="AG263" s="9" t="str">
        <f t="shared" si="33"/>
        <v/>
      </c>
      <c r="AH263" s="9" t="str">
        <f t="shared" si="34"/>
        <v/>
      </c>
    </row>
    <row r="264" spans="1:34" x14ac:dyDescent="0.25">
      <c r="A264" s="68"/>
      <c r="B264" s="68"/>
      <c r="C264" s="65"/>
      <c r="D264" s="65"/>
      <c r="E264" s="66"/>
      <c r="F264" s="65"/>
      <c r="G264" s="67"/>
      <c r="AD264" s="9" t="str">
        <f t="shared" si="36"/>
        <v/>
      </c>
      <c r="AG264" s="9" t="str">
        <f t="shared" si="33"/>
        <v/>
      </c>
      <c r="AH264" s="9" t="str">
        <f t="shared" si="34"/>
        <v/>
      </c>
    </row>
    <row r="265" spans="1:34" x14ac:dyDescent="0.25">
      <c r="A265" s="68"/>
      <c r="B265" s="68"/>
      <c r="C265" s="65"/>
      <c r="D265" s="65"/>
      <c r="E265" s="66"/>
      <c r="F265" s="65"/>
      <c r="G265" s="67"/>
      <c r="AD265" s="9" t="str">
        <f t="shared" si="36"/>
        <v/>
      </c>
      <c r="AG265" s="9" t="str">
        <f t="shared" si="33"/>
        <v/>
      </c>
      <c r="AH265" s="9" t="str">
        <f t="shared" si="34"/>
        <v/>
      </c>
    </row>
    <row r="266" spans="1:34" x14ac:dyDescent="0.25">
      <c r="A266" s="68"/>
      <c r="B266" s="68"/>
      <c r="C266" s="65"/>
      <c r="D266" s="65"/>
      <c r="E266" s="66"/>
      <c r="F266" s="65"/>
      <c r="G266" s="67"/>
      <c r="AD266" s="9" t="str">
        <f t="shared" si="36"/>
        <v/>
      </c>
      <c r="AG266" s="9" t="str">
        <f t="shared" si="33"/>
        <v/>
      </c>
      <c r="AH266" s="9" t="str">
        <f t="shared" si="34"/>
        <v/>
      </c>
    </row>
    <row r="267" spans="1:34" x14ac:dyDescent="0.25">
      <c r="A267" s="68"/>
      <c r="B267" s="68"/>
      <c r="C267" s="65"/>
      <c r="D267" s="65"/>
      <c r="E267" s="66"/>
      <c r="F267" s="65"/>
      <c r="G267" s="67"/>
      <c r="AD267" s="9" t="str">
        <f t="shared" si="36"/>
        <v/>
      </c>
      <c r="AG267" s="9" t="str">
        <f t="shared" si="33"/>
        <v/>
      </c>
      <c r="AH267" s="9" t="str">
        <f t="shared" si="34"/>
        <v/>
      </c>
    </row>
    <row r="268" spans="1:34" x14ac:dyDescent="0.25">
      <c r="A268" s="68"/>
      <c r="B268" s="68"/>
      <c r="C268" s="65"/>
      <c r="D268" s="65"/>
      <c r="E268" s="66"/>
      <c r="F268" s="65"/>
      <c r="G268" s="67"/>
      <c r="AD268" s="9" t="str">
        <f t="shared" si="36"/>
        <v/>
      </c>
      <c r="AG268" s="9" t="str">
        <f t="shared" si="33"/>
        <v/>
      </c>
      <c r="AH268" s="9" t="str">
        <f t="shared" si="34"/>
        <v/>
      </c>
    </row>
    <row r="269" spans="1:34" x14ac:dyDescent="0.25">
      <c r="A269" s="68"/>
      <c r="B269" s="68"/>
      <c r="C269" s="65"/>
      <c r="D269" s="65"/>
      <c r="E269" s="66"/>
      <c r="F269" s="65"/>
      <c r="G269" s="67"/>
      <c r="AD269" s="9" t="str">
        <f t="shared" si="36"/>
        <v/>
      </c>
      <c r="AG269" s="9" t="str">
        <f t="shared" si="33"/>
        <v/>
      </c>
      <c r="AH269" s="9" t="str">
        <f t="shared" si="34"/>
        <v/>
      </c>
    </row>
    <row r="270" spans="1:34" x14ac:dyDescent="0.25">
      <c r="A270" s="68"/>
      <c r="B270" s="68"/>
      <c r="C270" s="65"/>
      <c r="D270" s="65"/>
      <c r="E270" s="66"/>
      <c r="F270" s="65"/>
      <c r="G270" s="67"/>
      <c r="AD270" s="9" t="str">
        <f t="shared" si="36"/>
        <v/>
      </c>
      <c r="AG270" s="9" t="str">
        <f t="shared" si="33"/>
        <v/>
      </c>
      <c r="AH270" s="9" t="str">
        <f t="shared" si="34"/>
        <v/>
      </c>
    </row>
    <row r="271" spans="1:34" x14ac:dyDescent="0.25">
      <c r="A271" s="68"/>
      <c r="B271" s="68"/>
      <c r="C271" s="65"/>
      <c r="D271" s="65"/>
      <c r="E271" s="66"/>
      <c r="F271" s="65"/>
      <c r="G271" s="67"/>
      <c r="AD271" s="9" t="str">
        <f t="shared" si="36"/>
        <v/>
      </c>
      <c r="AG271" s="9" t="str">
        <f t="shared" si="33"/>
        <v/>
      </c>
      <c r="AH271" s="9" t="str">
        <f t="shared" si="34"/>
        <v/>
      </c>
    </row>
    <row r="272" spans="1:34" x14ac:dyDescent="0.25">
      <c r="A272" s="68"/>
      <c r="B272" s="68"/>
      <c r="C272" s="65"/>
      <c r="D272" s="65"/>
      <c r="E272" s="66"/>
      <c r="F272" s="65"/>
      <c r="G272" s="67"/>
      <c r="AD272" s="9" t="str">
        <f t="shared" si="36"/>
        <v/>
      </c>
      <c r="AG272" s="9" t="str">
        <f t="shared" si="33"/>
        <v/>
      </c>
      <c r="AH272" s="9" t="str">
        <f t="shared" si="34"/>
        <v/>
      </c>
    </row>
    <row r="273" spans="1:34" x14ac:dyDescent="0.25">
      <c r="A273" s="68"/>
      <c r="B273" s="68"/>
      <c r="C273" s="65"/>
      <c r="D273" s="65"/>
      <c r="E273" s="66"/>
      <c r="F273" s="65"/>
      <c r="G273" s="67"/>
      <c r="AD273" s="9" t="str">
        <f t="shared" si="36"/>
        <v/>
      </c>
      <c r="AG273" s="9" t="str">
        <f t="shared" si="33"/>
        <v/>
      </c>
      <c r="AH273" s="9" t="str">
        <f t="shared" si="34"/>
        <v/>
      </c>
    </row>
    <row r="274" spans="1:34" x14ac:dyDescent="0.25">
      <c r="A274" s="68"/>
      <c r="B274" s="68"/>
      <c r="C274" s="65"/>
      <c r="D274" s="65"/>
      <c r="E274" s="66"/>
      <c r="F274" s="65"/>
      <c r="G274" s="67"/>
      <c r="AD274" s="9" t="str">
        <f t="shared" si="36"/>
        <v/>
      </c>
      <c r="AG274" s="9" t="str">
        <f t="shared" si="33"/>
        <v/>
      </c>
      <c r="AH274" s="9" t="str">
        <f t="shared" si="34"/>
        <v/>
      </c>
    </row>
    <row r="275" spans="1:34" x14ac:dyDescent="0.25">
      <c r="A275" s="68"/>
      <c r="B275" s="68"/>
      <c r="C275" s="65"/>
      <c r="D275" s="65"/>
      <c r="E275" s="66"/>
      <c r="F275" s="65"/>
      <c r="G275" s="67"/>
      <c r="AD275" s="9" t="str">
        <f t="shared" si="36"/>
        <v/>
      </c>
      <c r="AG275" s="9" t="str">
        <f t="shared" si="33"/>
        <v/>
      </c>
      <c r="AH275" s="9" t="str">
        <f t="shared" si="34"/>
        <v/>
      </c>
    </row>
    <row r="276" spans="1:34" x14ac:dyDescent="0.25">
      <c r="A276" s="68"/>
      <c r="B276" s="68"/>
      <c r="C276" s="65"/>
      <c r="D276" s="65"/>
      <c r="E276" s="66"/>
      <c r="F276" s="65"/>
      <c r="G276" s="67"/>
      <c r="AD276" s="9" t="str">
        <f t="shared" si="36"/>
        <v/>
      </c>
      <c r="AG276" s="9" t="str">
        <f t="shared" si="33"/>
        <v/>
      </c>
      <c r="AH276" s="9" t="str">
        <f t="shared" si="34"/>
        <v/>
      </c>
    </row>
    <row r="277" spans="1:34" x14ac:dyDescent="0.25">
      <c r="A277" s="68"/>
      <c r="B277" s="68"/>
      <c r="C277" s="65"/>
      <c r="D277" s="65"/>
      <c r="E277" s="66"/>
      <c r="F277" s="65"/>
      <c r="G277" s="67"/>
      <c r="AD277" s="9" t="str">
        <f t="shared" si="36"/>
        <v/>
      </c>
      <c r="AG277" s="9" t="str">
        <f t="shared" si="33"/>
        <v/>
      </c>
      <c r="AH277" s="9" t="str">
        <f t="shared" si="34"/>
        <v/>
      </c>
    </row>
    <row r="278" spans="1:34" x14ac:dyDescent="0.25">
      <c r="A278" s="68"/>
      <c r="B278" s="68"/>
      <c r="C278" s="65"/>
      <c r="D278" s="65"/>
      <c r="E278" s="66"/>
      <c r="F278" s="65"/>
      <c r="G278" s="67"/>
      <c r="AD278" s="9" t="str">
        <f t="shared" si="36"/>
        <v/>
      </c>
      <c r="AG278" s="9" t="str">
        <f t="shared" si="33"/>
        <v/>
      </c>
      <c r="AH278" s="9" t="str">
        <f t="shared" si="34"/>
        <v/>
      </c>
    </row>
    <row r="279" spans="1:34" x14ac:dyDescent="0.25">
      <c r="A279" s="68"/>
      <c r="B279" s="68"/>
      <c r="C279" s="65"/>
      <c r="D279" s="65"/>
      <c r="E279" s="66"/>
      <c r="F279" s="65"/>
      <c r="G279" s="67"/>
      <c r="AD279" s="9" t="str">
        <f t="shared" si="36"/>
        <v/>
      </c>
      <c r="AG279" s="9" t="str">
        <f t="shared" si="33"/>
        <v/>
      </c>
      <c r="AH279" s="9" t="str">
        <f t="shared" si="34"/>
        <v/>
      </c>
    </row>
    <row r="280" spans="1:34" x14ac:dyDescent="0.25">
      <c r="A280" s="68"/>
      <c r="B280" s="68"/>
      <c r="C280" s="65"/>
      <c r="D280" s="65"/>
      <c r="E280" s="66"/>
      <c r="F280" s="65"/>
      <c r="G280" s="67"/>
      <c r="AD280" s="9" t="str">
        <f t="shared" si="36"/>
        <v/>
      </c>
      <c r="AG280" s="9" t="str">
        <f t="shared" si="33"/>
        <v/>
      </c>
      <c r="AH280" s="9" t="str">
        <f t="shared" si="34"/>
        <v/>
      </c>
    </row>
    <row r="281" spans="1:34" x14ac:dyDescent="0.25">
      <c r="A281" s="68"/>
      <c r="B281" s="68"/>
      <c r="C281" s="65"/>
      <c r="D281" s="65"/>
      <c r="E281" s="66"/>
      <c r="F281" s="65"/>
      <c r="G281" s="67"/>
      <c r="AD281" s="9" t="str">
        <f t="shared" si="36"/>
        <v/>
      </c>
      <c r="AG281" s="9" t="str">
        <f t="shared" si="33"/>
        <v/>
      </c>
      <c r="AH281" s="9" t="str">
        <f t="shared" si="34"/>
        <v/>
      </c>
    </row>
    <row r="282" spans="1:34" x14ac:dyDescent="0.25">
      <c r="A282" s="68"/>
      <c r="B282" s="68"/>
      <c r="C282" s="65"/>
      <c r="D282" s="65"/>
      <c r="E282" s="66"/>
      <c r="F282" s="65"/>
      <c r="G282" s="67"/>
      <c r="AD282" s="9" t="str">
        <f t="shared" si="36"/>
        <v/>
      </c>
      <c r="AG282" s="9" t="str">
        <f t="shared" si="33"/>
        <v/>
      </c>
      <c r="AH282" s="9" t="str">
        <f t="shared" si="34"/>
        <v/>
      </c>
    </row>
    <row r="283" spans="1:34" x14ac:dyDescent="0.25">
      <c r="A283" s="68"/>
      <c r="B283" s="68"/>
      <c r="C283" s="65"/>
      <c r="D283" s="65"/>
      <c r="E283" s="66"/>
      <c r="F283" s="65"/>
      <c r="G283" s="67"/>
      <c r="AD283" s="9" t="str">
        <f t="shared" si="36"/>
        <v/>
      </c>
      <c r="AG283" s="9" t="str">
        <f t="shared" si="33"/>
        <v/>
      </c>
      <c r="AH283" s="9" t="str">
        <f t="shared" si="34"/>
        <v/>
      </c>
    </row>
    <row r="284" spans="1:34" x14ac:dyDescent="0.25">
      <c r="A284" s="68"/>
      <c r="B284" s="68"/>
      <c r="C284" s="65"/>
      <c r="D284" s="65"/>
      <c r="E284" s="66"/>
      <c r="F284" s="65"/>
      <c r="G284" s="67"/>
      <c r="AD284" s="9" t="str">
        <f t="shared" si="36"/>
        <v/>
      </c>
      <c r="AG284" s="9" t="str">
        <f t="shared" si="33"/>
        <v/>
      </c>
      <c r="AH284" s="9" t="str">
        <f t="shared" si="34"/>
        <v/>
      </c>
    </row>
    <row r="285" spans="1:34" x14ac:dyDescent="0.25">
      <c r="A285" s="68"/>
      <c r="B285" s="68"/>
      <c r="C285" s="65"/>
      <c r="D285" s="65"/>
      <c r="E285" s="66"/>
      <c r="F285" s="65"/>
      <c r="G285" s="67"/>
      <c r="AD285" s="9" t="str">
        <f t="shared" si="36"/>
        <v/>
      </c>
      <c r="AG285" s="9" t="str">
        <f t="shared" si="33"/>
        <v/>
      </c>
      <c r="AH285" s="9" t="str">
        <f t="shared" si="34"/>
        <v/>
      </c>
    </row>
    <row r="286" spans="1:34" x14ac:dyDescent="0.25">
      <c r="A286" s="68"/>
      <c r="B286" s="68"/>
      <c r="C286" s="65"/>
      <c r="D286" s="65"/>
      <c r="E286" s="66"/>
      <c r="F286" s="65"/>
      <c r="G286" s="67"/>
      <c r="AD286" s="9" t="str">
        <f t="shared" si="36"/>
        <v/>
      </c>
      <c r="AG286" s="9" t="str">
        <f t="shared" si="33"/>
        <v/>
      </c>
      <c r="AH286" s="9" t="str">
        <f t="shared" si="34"/>
        <v/>
      </c>
    </row>
    <row r="287" spans="1:34" x14ac:dyDescent="0.25">
      <c r="A287" s="68"/>
      <c r="B287" s="68"/>
      <c r="C287" s="65"/>
      <c r="D287" s="65"/>
      <c r="E287" s="66"/>
      <c r="F287" s="65"/>
      <c r="G287" s="67"/>
      <c r="AD287" s="9" t="str">
        <f t="shared" si="36"/>
        <v/>
      </c>
      <c r="AG287" s="9" t="str">
        <f t="shared" ref="AG287:AG350" si="37">IF(AF287="","",IF(AF287&lt;365,AF287*AC$25*AD287,365*AD287*AC$25))</f>
        <v/>
      </c>
      <c r="AH287" s="9" t="str">
        <f t="shared" ref="AH287:AH310" si="38">IF(AF287="","",IF(AF287&lt;365,AF287*AC$26*AD287,365*AD287*AC$26))</f>
        <v/>
      </c>
    </row>
    <row r="288" spans="1:34" x14ac:dyDescent="0.25">
      <c r="A288" s="68"/>
      <c r="B288" s="68"/>
      <c r="C288" s="65"/>
      <c r="D288" s="65"/>
      <c r="E288" s="66"/>
      <c r="F288" s="65"/>
      <c r="G288" s="67"/>
      <c r="AD288" s="9" t="str">
        <f t="shared" si="36"/>
        <v/>
      </c>
      <c r="AG288" s="9" t="str">
        <f t="shared" si="37"/>
        <v/>
      </c>
      <c r="AH288" s="9" t="str">
        <f t="shared" si="38"/>
        <v/>
      </c>
    </row>
    <row r="289" spans="1:34" x14ac:dyDescent="0.25">
      <c r="A289" s="68"/>
      <c r="B289" s="68"/>
      <c r="C289" s="65"/>
      <c r="D289" s="65"/>
      <c r="E289" s="66"/>
      <c r="F289" s="65"/>
      <c r="G289" s="67"/>
      <c r="AD289" s="9" t="str">
        <f t="shared" si="36"/>
        <v/>
      </c>
      <c r="AG289" s="9" t="str">
        <f t="shared" si="37"/>
        <v/>
      </c>
      <c r="AH289" s="9" t="str">
        <f t="shared" si="38"/>
        <v/>
      </c>
    </row>
    <row r="290" spans="1:34" x14ac:dyDescent="0.25">
      <c r="A290" s="68"/>
      <c r="B290" s="68"/>
      <c r="C290" s="65"/>
      <c r="D290" s="65"/>
      <c r="E290" s="66"/>
      <c r="F290" s="65"/>
      <c r="G290" s="67"/>
      <c r="AD290" s="9" t="str">
        <f t="shared" si="36"/>
        <v/>
      </c>
      <c r="AG290" s="9" t="str">
        <f t="shared" si="37"/>
        <v/>
      </c>
      <c r="AH290" s="9" t="str">
        <f t="shared" si="38"/>
        <v/>
      </c>
    </row>
    <row r="291" spans="1:34" x14ac:dyDescent="0.25">
      <c r="A291" s="68"/>
      <c r="B291" s="68"/>
      <c r="C291" s="65"/>
      <c r="D291" s="65"/>
      <c r="E291" s="66"/>
      <c r="F291" s="65"/>
      <c r="G291" s="67"/>
      <c r="AD291" s="9" t="str">
        <f t="shared" si="36"/>
        <v/>
      </c>
      <c r="AG291" s="9" t="str">
        <f t="shared" si="37"/>
        <v/>
      </c>
      <c r="AH291" s="9" t="str">
        <f t="shared" si="38"/>
        <v/>
      </c>
    </row>
    <row r="292" spans="1:34" x14ac:dyDescent="0.25">
      <c r="A292" s="68"/>
      <c r="B292" s="68"/>
      <c r="C292" s="65"/>
      <c r="D292" s="65"/>
      <c r="E292" s="66"/>
      <c r="F292" s="65"/>
      <c r="G292" s="67"/>
      <c r="AD292" s="9" t="str">
        <f t="shared" si="36"/>
        <v/>
      </c>
      <c r="AG292" s="9" t="str">
        <f t="shared" si="37"/>
        <v/>
      </c>
      <c r="AH292" s="9" t="str">
        <f t="shared" si="38"/>
        <v/>
      </c>
    </row>
    <row r="293" spans="1:34" x14ac:dyDescent="0.25">
      <c r="A293" s="68"/>
      <c r="B293" s="68"/>
      <c r="C293" s="65"/>
      <c r="D293" s="65"/>
      <c r="E293" s="66"/>
      <c r="F293" s="65"/>
      <c r="G293" s="67"/>
      <c r="AD293" s="9" t="str">
        <f t="shared" si="36"/>
        <v/>
      </c>
      <c r="AG293" s="9" t="str">
        <f t="shared" si="37"/>
        <v/>
      </c>
      <c r="AH293" s="9" t="str">
        <f t="shared" si="38"/>
        <v/>
      </c>
    </row>
    <row r="294" spans="1:34" x14ac:dyDescent="0.25">
      <c r="A294" s="68"/>
      <c r="B294" s="68"/>
      <c r="C294" s="65"/>
      <c r="D294" s="65"/>
      <c r="E294" s="66"/>
      <c r="F294" s="65"/>
      <c r="G294" s="67"/>
      <c r="AD294" s="9" t="str">
        <f t="shared" si="36"/>
        <v/>
      </c>
      <c r="AG294" s="9" t="str">
        <f t="shared" si="37"/>
        <v/>
      </c>
      <c r="AH294" s="9" t="str">
        <f t="shared" si="38"/>
        <v/>
      </c>
    </row>
    <row r="295" spans="1:34" x14ac:dyDescent="0.25">
      <c r="A295" s="68"/>
      <c r="B295" s="68"/>
      <c r="C295" s="65"/>
      <c r="D295" s="65"/>
      <c r="E295" s="66"/>
      <c r="F295" s="65"/>
      <c r="G295" s="67"/>
      <c r="AD295" s="9" t="str">
        <f t="shared" si="36"/>
        <v/>
      </c>
      <c r="AG295" s="9" t="str">
        <f t="shared" si="37"/>
        <v/>
      </c>
      <c r="AH295" s="9" t="str">
        <f t="shared" si="38"/>
        <v/>
      </c>
    </row>
    <row r="296" spans="1:34" x14ac:dyDescent="0.25">
      <c r="A296" s="68"/>
      <c r="B296" s="68"/>
      <c r="C296" s="65"/>
      <c r="D296" s="65"/>
      <c r="E296" s="66"/>
      <c r="F296" s="65"/>
      <c r="G296" s="67"/>
      <c r="AD296" s="9" t="str">
        <f t="shared" si="36"/>
        <v/>
      </c>
      <c r="AG296" s="9" t="str">
        <f t="shared" si="37"/>
        <v/>
      </c>
      <c r="AH296" s="9" t="str">
        <f t="shared" si="38"/>
        <v/>
      </c>
    </row>
    <row r="297" spans="1:34" x14ac:dyDescent="0.25">
      <c r="A297" s="68"/>
      <c r="B297" s="68"/>
      <c r="C297" s="65"/>
      <c r="D297" s="65"/>
      <c r="E297" s="66"/>
      <c r="F297" s="65"/>
      <c r="G297" s="67"/>
      <c r="AD297" s="9" t="str">
        <f t="shared" si="36"/>
        <v/>
      </c>
      <c r="AG297" s="9" t="str">
        <f t="shared" si="37"/>
        <v/>
      </c>
      <c r="AH297" s="9" t="str">
        <f t="shared" si="38"/>
        <v/>
      </c>
    </row>
    <row r="298" spans="1:34" x14ac:dyDescent="0.25">
      <c r="A298" s="68"/>
      <c r="B298" s="68"/>
      <c r="C298" s="65"/>
      <c r="D298" s="65"/>
      <c r="E298" s="66"/>
      <c r="F298" s="65"/>
      <c r="G298" s="67"/>
      <c r="AD298" s="9" t="str">
        <f t="shared" si="36"/>
        <v/>
      </c>
      <c r="AG298" s="9" t="str">
        <f t="shared" si="37"/>
        <v/>
      </c>
      <c r="AH298" s="9" t="str">
        <f t="shared" si="38"/>
        <v/>
      </c>
    </row>
    <row r="299" spans="1:34" x14ac:dyDescent="0.25">
      <c r="A299" s="68"/>
      <c r="B299" s="68"/>
      <c r="C299" s="65"/>
      <c r="D299" s="65"/>
      <c r="E299" s="66"/>
      <c r="F299" s="65"/>
      <c r="G299" s="67"/>
      <c r="AD299" s="9" t="str">
        <f t="shared" si="36"/>
        <v/>
      </c>
      <c r="AG299" s="9" t="str">
        <f t="shared" si="37"/>
        <v/>
      </c>
      <c r="AH299" s="9" t="str">
        <f t="shared" si="38"/>
        <v/>
      </c>
    </row>
    <row r="300" spans="1:34" x14ac:dyDescent="0.25">
      <c r="A300" s="68"/>
      <c r="B300" s="68"/>
      <c r="C300" s="65"/>
      <c r="D300" s="65"/>
      <c r="E300" s="66"/>
      <c r="F300" s="65"/>
      <c r="G300" s="67"/>
      <c r="AD300" s="9" t="str">
        <f t="shared" si="36"/>
        <v/>
      </c>
      <c r="AG300" s="9" t="str">
        <f t="shared" si="37"/>
        <v/>
      </c>
      <c r="AH300" s="9" t="str">
        <f t="shared" si="38"/>
        <v/>
      </c>
    </row>
    <row r="301" spans="1:34" x14ac:dyDescent="0.25">
      <c r="A301" s="68"/>
      <c r="B301" s="68"/>
      <c r="C301" s="65"/>
      <c r="D301" s="65"/>
      <c r="E301" s="66"/>
      <c r="F301" s="65"/>
      <c r="G301" s="67"/>
      <c r="AD301" s="9" t="str">
        <f t="shared" si="36"/>
        <v/>
      </c>
      <c r="AG301" s="9" t="str">
        <f t="shared" si="37"/>
        <v/>
      </c>
      <c r="AH301" s="9" t="str">
        <f t="shared" si="38"/>
        <v/>
      </c>
    </row>
    <row r="302" spans="1:34" x14ac:dyDescent="0.25">
      <c r="A302" s="68"/>
      <c r="B302" s="68"/>
      <c r="C302" s="65"/>
      <c r="D302" s="65"/>
      <c r="E302" s="66"/>
      <c r="F302" s="65"/>
      <c r="G302" s="67"/>
      <c r="AD302" s="9" t="str">
        <f t="shared" si="36"/>
        <v/>
      </c>
      <c r="AG302" s="9" t="str">
        <f t="shared" si="37"/>
        <v/>
      </c>
      <c r="AH302" s="9" t="str">
        <f t="shared" si="38"/>
        <v/>
      </c>
    </row>
    <row r="303" spans="1:34" x14ac:dyDescent="0.25">
      <c r="A303" s="68"/>
      <c r="B303" s="68"/>
      <c r="C303" s="65"/>
      <c r="D303" s="65"/>
      <c r="E303" s="66"/>
      <c r="F303" s="65"/>
      <c r="G303" s="67"/>
      <c r="AD303" s="9" t="str">
        <f t="shared" si="36"/>
        <v/>
      </c>
      <c r="AG303" s="9" t="str">
        <f t="shared" si="37"/>
        <v/>
      </c>
      <c r="AH303" s="9" t="str">
        <f t="shared" si="38"/>
        <v/>
      </c>
    </row>
    <row r="304" spans="1:34" x14ac:dyDescent="0.25">
      <c r="A304" s="68"/>
      <c r="B304" s="68"/>
      <c r="C304" s="65"/>
      <c r="D304" s="65"/>
      <c r="E304" s="66"/>
      <c r="F304" s="65"/>
      <c r="G304" s="67"/>
      <c r="AD304" s="9" t="str">
        <f t="shared" si="36"/>
        <v/>
      </c>
      <c r="AG304" s="9" t="str">
        <f t="shared" si="37"/>
        <v/>
      </c>
      <c r="AH304" s="9" t="str">
        <f t="shared" si="38"/>
        <v/>
      </c>
    </row>
    <row r="305" spans="1:34" x14ac:dyDescent="0.25">
      <c r="A305" s="68"/>
      <c r="B305" s="68"/>
      <c r="C305" s="65"/>
      <c r="D305" s="65"/>
      <c r="E305" s="66"/>
      <c r="F305" s="65"/>
      <c r="G305" s="67"/>
      <c r="AD305" s="9" t="str">
        <f t="shared" si="36"/>
        <v/>
      </c>
      <c r="AG305" s="9" t="str">
        <f t="shared" si="37"/>
        <v/>
      </c>
      <c r="AH305" s="9" t="str">
        <f t="shared" si="38"/>
        <v/>
      </c>
    </row>
    <row r="306" spans="1:34" x14ac:dyDescent="0.25">
      <c r="A306" s="68"/>
      <c r="B306" s="68"/>
      <c r="C306" s="65"/>
      <c r="D306" s="65"/>
      <c r="E306" s="66"/>
      <c r="F306" s="65"/>
      <c r="G306" s="67"/>
      <c r="AD306" s="9" t="str">
        <f t="shared" si="36"/>
        <v/>
      </c>
      <c r="AG306" s="9" t="str">
        <f t="shared" si="37"/>
        <v/>
      </c>
      <c r="AH306" s="9" t="str">
        <f t="shared" si="38"/>
        <v/>
      </c>
    </row>
    <row r="307" spans="1:34" x14ac:dyDescent="0.25">
      <c r="A307" s="68"/>
      <c r="B307" s="68"/>
      <c r="C307" s="65"/>
      <c r="D307" s="65"/>
      <c r="E307" s="66"/>
      <c r="F307" s="65"/>
      <c r="G307" s="67"/>
      <c r="AD307" s="9" t="str">
        <f t="shared" si="36"/>
        <v/>
      </c>
      <c r="AG307" s="9" t="str">
        <f t="shared" si="37"/>
        <v/>
      </c>
      <c r="AH307" s="9" t="str">
        <f t="shared" si="38"/>
        <v/>
      </c>
    </row>
    <row r="308" spans="1:34" x14ac:dyDescent="0.25">
      <c r="A308" s="68"/>
      <c r="B308" s="68"/>
      <c r="C308" s="65"/>
      <c r="D308" s="65"/>
      <c r="E308" s="66"/>
      <c r="F308" s="65"/>
      <c r="G308" s="67"/>
      <c r="AD308" s="9" t="str">
        <f t="shared" si="36"/>
        <v/>
      </c>
      <c r="AG308" s="9" t="str">
        <f t="shared" si="37"/>
        <v/>
      </c>
      <c r="AH308" s="9" t="str">
        <f t="shared" si="38"/>
        <v/>
      </c>
    </row>
    <row r="309" spans="1:34" x14ac:dyDescent="0.25">
      <c r="A309" s="68"/>
      <c r="B309" s="68"/>
      <c r="C309" s="65"/>
      <c r="D309" s="65"/>
      <c r="E309" s="66"/>
      <c r="F309" s="65"/>
      <c r="G309" s="67"/>
      <c r="AD309" s="9" t="str">
        <f t="shared" si="36"/>
        <v/>
      </c>
      <c r="AG309" s="9" t="str">
        <f t="shared" si="37"/>
        <v/>
      </c>
      <c r="AH309" s="9" t="str">
        <f t="shared" si="38"/>
        <v/>
      </c>
    </row>
    <row r="310" spans="1:34" x14ac:dyDescent="0.25">
      <c r="A310" s="68"/>
      <c r="B310" s="68"/>
      <c r="C310" s="65"/>
      <c r="D310" s="65"/>
      <c r="E310" s="66"/>
      <c r="F310" s="65"/>
      <c r="G310" s="67"/>
      <c r="AD310" s="9" t="str">
        <f t="shared" si="36"/>
        <v/>
      </c>
      <c r="AG310" s="9" t="str">
        <f t="shared" si="37"/>
        <v/>
      </c>
      <c r="AH310" s="9" t="str">
        <f t="shared" si="38"/>
        <v/>
      </c>
    </row>
    <row r="311" spans="1:34" x14ac:dyDescent="0.25">
      <c r="A311" s="68"/>
      <c r="B311" s="68"/>
      <c r="C311" s="65"/>
      <c r="D311" s="65"/>
      <c r="E311" s="66"/>
      <c r="F311" s="65"/>
      <c r="G311" s="67"/>
      <c r="AD311" s="9" t="str">
        <f t="shared" si="36"/>
        <v/>
      </c>
      <c r="AG311" s="9" t="str">
        <f t="shared" si="37"/>
        <v/>
      </c>
    </row>
    <row r="312" spans="1:34" x14ac:dyDescent="0.25">
      <c r="A312" s="68"/>
      <c r="B312" s="68"/>
      <c r="C312" s="65"/>
      <c r="D312" s="65"/>
      <c r="E312" s="66"/>
      <c r="F312" s="65"/>
      <c r="G312" s="67"/>
      <c r="AD312" s="9" t="str">
        <f t="shared" si="36"/>
        <v/>
      </c>
      <c r="AG312" s="9" t="str">
        <f t="shared" si="37"/>
        <v/>
      </c>
    </row>
    <row r="313" spans="1:34" x14ac:dyDescent="0.25">
      <c r="A313" s="68"/>
      <c r="B313" s="68"/>
      <c r="C313" s="65"/>
      <c r="D313" s="65"/>
      <c r="E313" s="66"/>
      <c r="F313" s="65"/>
      <c r="G313" s="67"/>
      <c r="AD313" s="9" t="str">
        <f t="shared" si="36"/>
        <v/>
      </c>
      <c r="AG313" s="9" t="str">
        <f t="shared" si="37"/>
        <v/>
      </c>
    </row>
    <row r="314" spans="1:34" x14ac:dyDescent="0.25">
      <c r="A314" s="68"/>
      <c r="B314" s="68"/>
      <c r="C314" s="65"/>
      <c r="D314" s="65"/>
      <c r="E314" s="66"/>
      <c r="F314" s="65"/>
      <c r="G314" s="67"/>
      <c r="AD314" s="9" t="str">
        <f t="shared" si="36"/>
        <v/>
      </c>
      <c r="AG314" s="9" t="str">
        <f t="shared" si="37"/>
        <v/>
      </c>
    </row>
    <row r="315" spans="1:34" x14ac:dyDescent="0.25">
      <c r="A315" s="68"/>
      <c r="B315" s="68"/>
      <c r="C315" s="65"/>
      <c r="D315" s="65"/>
      <c r="E315" s="66"/>
      <c r="F315" s="65"/>
      <c r="G315" s="67"/>
      <c r="AD315" s="9" t="str">
        <f t="shared" si="36"/>
        <v/>
      </c>
      <c r="AG315" s="9" t="str">
        <f t="shared" si="37"/>
        <v/>
      </c>
    </row>
    <row r="316" spans="1:34" x14ac:dyDescent="0.25">
      <c r="A316" s="68"/>
      <c r="B316" s="68"/>
      <c r="C316" s="65"/>
      <c r="D316" s="65"/>
      <c r="E316" s="66"/>
      <c r="F316" s="65"/>
      <c r="G316" s="67"/>
      <c r="AD316" s="9" t="str">
        <f t="shared" si="36"/>
        <v/>
      </c>
      <c r="AG316" s="9" t="str">
        <f t="shared" si="37"/>
        <v/>
      </c>
    </row>
    <row r="317" spans="1:34" x14ac:dyDescent="0.25">
      <c r="A317" s="68"/>
      <c r="B317" s="68"/>
      <c r="C317" s="65"/>
      <c r="D317" s="65"/>
      <c r="E317" s="66"/>
      <c r="F317" s="65"/>
      <c r="G317" s="67"/>
      <c r="AD317" s="9" t="str">
        <f t="shared" si="36"/>
        <v/>
      </c>
      <c r="AG317" s="9" t="str">
        <f t="shared" si="37"/>
        <v/>
      </c>
    </row>
    <row r="318" spans="1:34" x14ac:dyDescent="0.25">
      <c r="A318" s="68"/>
      <c r="B318" s="68"/>
      <c r="C318" s="65"/>
      <c r="D318" s="65"/>
      <c r="E318" s="66"/>
      <c r="F318" s="65"/>
      <c r="G318" s="67"/>
      <c r="AD318" s="9" t="str">
        <f t="shared" si="36"/>
        <v/>
      </c>
      <c r="AG318" s="9" t="str">
        <f t="shared" si="37"/>
        <v/>
      </c>
    </row>
    <row r="319" spans="1:34" x14ac:dyDescent="0.25">
      <c r="A319" s="68"/>
      <c r="B319" s="68"/>
      <c r="C319" s="65"/>
      <c r="D319" s="65"/>
      <c r="E319" s="66"/>
      <c r="F319" s="65"/>
      <c r="G319" s="67"/>
      <c r="AD319" s="9" t="str">
        <f t="shared" si="36"/>
        <v/>
      </c>
      <c r="AG319" s="9" t="str">
        <f t="shared" si="37"/>
        <v/>
      </c>
    </row>
    <row r="320" spans="1:34" x14ac:dyDescent="0.25">
      <c r="A320" s="68"/>
      <c r="B320" s="68"/>
      <c r="C320" s="65"/>
      <c r="D320" s="65"/>
      <c r="E320" s="66"/>
      <c r="F320" s="65"/>
      <c r="G320" s="67"/>
      <c r="AD320" s="9" t="str">
        <f t="shared" si="36"/>
        <v/>
      </c>
      <c r="AG320" s="9" t="str">
        <f t="shared" si="37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36"/>
        <v/>
      </c>
      <c r="AG321" s="9" t="str">
        <f t="shared" si="37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85" si="39">IF(AC322="","",C317)</f>
        <v/>
      </c>
      <c r="AG322" s="9" t="str">
        <f t="shared" si="37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39"/>
        <v/>
      </c>
      <c r="AG323" s="9" t="str">
        <f t="shared" si="37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39"/>
        <v/>
      </c>
      <c r="AG324" s="9" t="str">
        <f t="shared" si="37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39"/>
        <v/>
      </c>
      <c r="AG325" s="9" t="str">
        <f t="shared" si="37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39"/>
        <v/>
      </c>
      <c r="AG326" s="9" t="str">
        <f t="shared" si="37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39"/>
        <v/>
      </c>
      <c r="AG327" s="9" t="str">
        <f t="shared" si="37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39"/>
        <v/>
      </c>
      <c r="AG328" s="9" t="str">
        <f t="shared" si="37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39"/>
        <v/>
      </c>
      <c r="AG329" s="9" t="str">
        <f t="shared" si="37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39"/>
        <v/>
      </c>
      <c r="AG330" s="9" t="str">
        <f t="shared" si="37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39"/>
        <v/>
      </c>
      <c r="AG331" s="9" t="str">
        <f t="shared" si="37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39"/>
        <v/>
      </c>
      <c r="AG332" s="9" t="str">
        <f t="shared" si="37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39"/>
        <v/>
      </c>
      <c r="AG333" s="9" t="str">
        <f t="shared" si="37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39"/>
        <v/>
      </c>
      <c r="AG334" s="9" t="str">
        <f t="shared" si="37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39"/>
        <v/>
      </c>
      <c r="AG335" s="9" t="str">
        <f t="shared" si="37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39"/>
        <v/>
      </c>
      <c r="AG336" s="9" t="str">
        <f t="shared" si="37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39"/>
        <v/>
      </c>
      <c r="AG337" s="9" t="str">
        <f t="shared" si="37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39"/>
        <v/>
      </c>
      <c r="AG338" s="9" t="str">
        <f t="shared" si="37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39"/>
        <v/>
      </c>
      <c r="AG339" s="9" t="str">
        <f t="shared" si="37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39"/>
        <v/>
      </c>
      <c r="AG340" s="9" t="str">
        <f t="shared" si="37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39"/>
        <v/>
      </c>
      <c r="AG341" s="9" t="str">
        <f t="shared" si="37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39"/>
        <v/>
      </c>
      <c r="AG342" s="9" t="str">
        <f t="shared" si="37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39"/>
        <v/>
      </c>
      <c r="AG343" s="9" t="str">
        <f t="shared" si="37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39"/>
        <v/>
      </c>
      <c r="AG344" s="9" t="str">
        <f t="shared" si="37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39"/>
        <v/>
      </c>
      <c r="AG345" s="9" t="str">
        <f t="shared" si="37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39"/>
        <v/>
      </c>
      <c r="AG346" s="9" t="str">
        <f t="shared" si="37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39"/>
        <v/>
      </c>
      <c r="AG347" s="9" t="str">
        <f t="shared" si="37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39"/>
        <v/>
      </c>
      <c r="AG348" s="9" t="str">
        <f t="shared" si="37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39"/>
        <v/>
      </c>
      <c r="AG349" s="9" t="str">
        <f t="shared" si="37"/>
        <v/>
      </c>
    </row>
    <row r="350" spans="1:33" x14ac:dyDescent="0.25">
      <c r="AD350" s="9" t="str">
        <f t="shared" si="39"/>
        <v/>
      </c>
      <c r="AG350" s="9" t="str">
        <f t="shared" si="37"/>
        <v/>
      </c>
    </row>
    <row r="351" spans="1:33" x14ac:dyDescent="0.25">
      <c r="AD351" s="9" t="str">
        <f t="shared" si="39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39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39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si="39"/>
        <v/>
      </c>
      <c r="AG354" s="9"/>
    </row>
    <row r="355" spans="30:33" x14ac:dyDescent="0.25">
      <c r="AD355" s="9" t="str">
        <f t="shared" si="39"/>
        <v/>
      </c>
      <c r="AG355" s="9"/>
    </row>
    <row r="356" spans="30:33" x14ac:dyDescent="0.25">
      <c r="AD356" s="9" t="str">
        <f t="shared" si="39"/>
        <v/>
      </c>
      <c r="AG356" s="9"/>
    </row>
    <row r="357" spans="30:33" x14ac:dyDescent="0.25">
      <c r="AD357" s="9" t="str">
        <f t="shared" si="39"/>
        <v/>
      </c>
      <c r="AG357" s="9"/>
    </row>
    <row r="358" spans="30:33" x14ac:dyDescent="0.25">
      <c r="AD358" s="9" t="str">
        <f t="shared" si="39"/>
        <v/>
      </c>
      <c r="AG358" s="9"/>
    </row>
    <row r="359" spans="30:33" x14ac:dyDescent="0.25">
      <c r="AD359" s="9" t="str">
        <f t="shared" si="39"/>
        <v/>
      </c>
      <c r="AG359" s="9"/>
    </row>
    <row r="360" spans="30:33" x14ac:dyDescent="0.25">
      <c r="AD360" s="9" t="str">
        <f t="shared" si="39"/>
        <v/>
      </c>
      <c r="AG360" s="9"/>
    </row>
    <row r="361" spans="30:33" x14ac:dyDescent="0.25">
      <c r="AD361" s="9" t="str">
        <f t="shared" si="39"/>
        <v/>
      </c>
      <c r="AG361" s="9"/>
    </row>
    <row r="362" spans="30:33" x14ac:dyDescent="0.25">
      <c r="AD362" s="9" t="str">
        <f t="shared" si="39"/>
        <v/>
      </c>
      <c r="AG362" s="9"/>
    </row>
    <row r="363" spans="30:33" x14ac:dyDescent="0.25">
      <c r="AD363" s="9" t="str">
        <f t="shared" si="39"/>
        <v/>
      </c>
      <c r="AG363" s="9"/>
    </row>
    <row r="364" spans="30:33" x14ac:dyDescent="0.25">
      <c r="AD364" s="9" t="str">
        <f t="shared" si="39"/>
        <v/>
      </c>
      <c r="AG364" s="9"/>
    </row>
    <row r="365" spans="30:33" x14ac:dyDescent="0.25">
      <c r="AD365" s="9" t="str">
        <f t="shared" si="39"/>
        <v/>
      </c>
      <c r="AG365" s="9"/>
    </row>
    <row r="366" spans="30:33" x14ac:dyDescent="0.25">
      <c r="AD366" s="9" t="str">
        <f t="shared" si="39"/>
        <v/>
      </c>
      <c r="AG366" s="9"/>
    </row>
    <row r="367" spans="30:33" x14ac:dyDescent="0.25">
      <c r="AD367" s="9" t="str">
        <f t="shared" si="39"/>
        <v/>
      </c>
      <c r="AG367" s="9"/>
    </row>
    <row r="368" spans="30:33" x14ac:dyDescent="0.25">
      <c r="AD368" s="9" t="str">
        <f t="shared" si="39"/>
        <v/>
      </c>
      <c r="AG368" s="9"/>
    </row>
    <row r="369" spans="30:33" x14ac:dyDescent="0.25">
      <c r="AD369" s="9" t="str">
        <f t="shared" si="39"/>
        <v/>
      </c>
      <c r="AG369" s="9"/>
    </row>
    <row r="370" spans="30:33" x14ac:dyDescent="0.25">
      <c r="AD370" s="9" t="str">
        <f t="shared" si="39"/>
        <v/>
      </c>
      <c r="AG370" s="9"/>
    </row>
    <row r="371" spans="30:33" x14ac:dyDescent="0.25">
      <c r="AD371" s="9" t="str">
        <f t="shared" si="39"/>
        <v/>
      </c>
      <c r="AG371" s="9"/>
    </row>
    <row r="372" spans="30:33" x14ac:dyDescent="0.25">
      <c r="AD372" s="9" t="str">
        <f t="shared" si="39"/>
        <v/>
      </c>
      <c r="AG372" s="9"/>
    </row>
    <row r="373" spans="30:33" x14ac:dyDescent="0.25">
      <c r="AD373" s="9" t="str">
        <f t="shared" si="39"/>
        <v/>
      </c>
      <c r="AG373" s="9"/>
    </row>
    <row r="374" spans="30:33" x14ac:dyDescent="0.25">
      <c r="AD374" s="9" t="str">
        <f t="shared" si="39"/>
        <v/>
      </c>
      <c r="AG374" s="9"/>
    </row>
    <row r="375" spans="30:33" x14ac:dyDescent="0.25">
      <c r="AD375" s="9" t="str">
        <f t="shared" si="39"/>
        <v/>
      </c>
      <c r="AG375" s="9"/>
    </row>
    <row r="376" spans="30:33" x14ac:dyDescent="0.25">
      <c r="AD376" s="9" t="str">
        <f t="shared" si="39"/>
        <v/>
      </c>
      <c r="AG376" s="9"/>
    </row>
    <row r="377" spans="30:33" x14ac:dyDescent="0.25">
      <c r="AD377" s="9" t="str">
        <f t="shared" si="39"/>
        <v/>
      </c>
      <c r="AG377" s="9"/>
    </row>
    <row r="378" spans="30:33" x14ac:dyDescent="0.25">
      <c r="AD378" s="9" t="str">
        <f t="shared" si="39"/>
        <v/>
      </c>
      <c r="AG378" s="9"/>
    </row>
    <row r="379" spans="30:33" x14ac:dyDescent="0.25">
      <c r="AD379" s="9" t="str">
        <f t="shared" si="39"/>
        <v/>
      </c>
      <c r="AG379" s="9"/>
    </row>
    <row r="380" spans="30:33" x14ac:dyDescent="0.25">
      <c r="AD380" s="9" t="str">
        <f t="shared" si="39"/>
        <v/>
      </c>
      <c r="AG380" s="9"/>
    </row>
    <row r="381" spans="30:33" x14ac:dyDescent="0.25">
      <c r="AD381" s="9" t="str">
        <f t="shared" si="39"/>
        <v/>
      </c>
      <c r="AG381" s="9"/>
    </row>
    <row r="382" spans="30:33" x14ac:dyDescent="0.25">
      <c r="AD382" s="9" t="str">
        <f t="shared" si="39"/>
        <v/>
      </c>
      <c r="AG382" s="9"/>
    </row>
    <row r="383" spans="30:33" x14ac:dyDescent="0.25">
      <c r="AD383" s="9" t="str">
        <f t="shared" si="39"/>
        <v/>
      </c>
      <c r="AG383" s="9"/>
    </row>
    <row r="384" spans="30:33" x14ac:dyDescent="0.25">
      <c r="AD384" s="9" t="str">
        <f t="shared" si="39"/>
        <v/>
      </c>
      <c r="AG384" s="9"/>
    </row>
    <row r="385" spans="30:33" x14ac:dyDescent="0.25">
      <c r="AD385" s="9" t="str">
        <f t="shared" si="39"/>
        <v/>
      </c>
      <c r="AG385" s="9"/>
    </row>
    <row r="386" spans="30:33" x14ac:dyDescent="0.25">
      <c r="AD386" s="9" t="str">
        <f t="shared" ref="AD386:AD417" si="40">IF(AC386="","",C381)</f>
        <v/>
      </c>
      <c r="AG386" s="9"/>
    </row>
    <row r="387" spans="30:33" x14ac:dyDescent="0.25">
      <c r="AD387" s="9" t="str">
        <f t="shared" si="40"/>
        <v/>
      </c>
      <c r="AG387" s="9"/>
    </row>
    <row r="388" spans="30:33" x14ac:dyDescent="0.25">
      <c r="AD388" s="9" t="str">
        <f t="shared" si="40"/>
        <v/>
      </c>
      <c r="AG388" s="9"/>
    </row>
    <row r="389" spans="30:33" x14ac:dyDescent="0.25">
      <c r="AD389" s="9" t="str">
        <f t="shared" si="40"/>
        <v/>
      </c>
      <c r="AG389" s="9"/>
    </row>
    <row r="390" spans="30:33" x14ac:dyDescent="0.25">
      <c r="AD390" s="9" t="str">
        <f t="shared" si="40"/>
        <v/>
      </c>
      <c r="AG390" s="9"/>
    </row>
    <row r="391" spans="30:33" x14ac:dyDescent="0.25">
      <c r="AD391" s="9" t="str">
        <f t="shared" si="40"/>
        <v/>
      </c>
      <c r="AG391" s="9"/>
    </row>
    <row r="392" spans="30:33" x14ac:dyDescent="0.25">
      <c r="AD392" s="9" t="str">
        <f t="shared" si="40"/>
        <v/>
      </c>
      <c r="AG392" s="9"/>
    </row>
    <row r="393" spans="30:33" x14ac:dyDescent="0.25">
      <c r="AD393" s="9" t="str">
        <f t="shared" si="40"/>
        <v/>
      </c>
      <c r="AG393" s="9"/>
    </row>
    <row r="394" spans="30:33" x14ac:dyDescent="0.25">
      <c r="AD394" s="9" t="str">
        <f t="shared" si="40"/>
        <v/>
      </c>
      <c r="AG394" s="9"/>
    </row>
    <row r="395" spans="30:33" x14ac:dyDescent="0.25">
      <c r="AD395" s="9" t="str">
        <f t="shared" si="40"/>
        <v/>
      </c>
      <c r="AG395" s="9"/>
    </row>
    <row r="396" spans="30:33" x14ac:dyDescent="0.25">
      <c r="AD396" s="9" t="str">
        <f t="shared" si="40"/>
        <v/>
      </c>
      <c r="AG396" s="9"/>
    </row>
    <row r="397" spans="30:33" x14ac:dyDescent="0.25">
      <c r="AD397" s="9" t="str">
        <f t="shared" si="40"/>
        <v/>
      </c>
      <c r="AG397" s="9"/>
    </row>
    <row r="398" spans="30:33" x14ac:dyDescent="0.25">
      <c r="AD398" s="9" t="str">
        <f t="shared" si="40"/>
        <v/>
      </c>
      <c r="AG398" s="9"/>
    </row>
    <row r="399" spans="30:33" x14ac:dyDescent="0.25">
      <c r="AD399" s="9" t="str">
        <f t="shared" si="40"/>
        <v/>
      </c>
      <c r="AG399" s="9"/>
    </row>
    <row r="400" spans="30:33" x14ac:dyDescent="0.25">
      <c r="AD400" s="9" t="str">
        <f t="shared" si="40"/>
        <v/>
      </c>
      <c r="AG400" s="9"/>
    </row>
    <row r="401" spans="30:33" x14ac:dyDescent="0.25">
      <c r="AD401" s="9" t="str">
        <f t="shared" si="40"/>
        <v/>
      </c>
      <c r="AG401" s="9"/>
    </row>
    <row r="402" spans="30:33" x14ac:dyDescent="0.25">
      <c r="AD402" s="9" t="str">
        <f t="shared" si="40"/>
        <v/>
      </c>
      <c r="AG402" s="9"/>
    </row>
    <row r="403" spans="30:33" x14ac:dyDescent="0.25">
      <c r="AD403" s="9" t="str">
        <f t="shared" si="40"/>
        <v/>
      </c>
      <c r="AG403" s="9"/>
    </row>
    <row r="404" spans="30:33" x14ac:dyDescent="0.25">
      <c r="AD404" s="9" t="str">
        <f t="shared" si="40"/>
        <v/>
      </c>
      <c r="AG404" s="9"/>
    </row>
    <row r="405" spans="30:33" x14ac:dyDescent="0.25">
      <c r="AD405" s="9" t="str">
        <f t="shared" si="40"/>
        <v/>
      </c>
      <c r="AG405" s="9"/>
    </row>
    <row r="406" spans="30:33" x14ac:dyDescent="0.25">
      <c r="AD406" s="9" t="str">
        <f t="shared" si="40"/>
        <v/>
      </c>
      <c r="AG406" s="9"/>
    </row>
    <row r="407" spans="30:33" x14ac:dyDescent="0.25">
      <c r="AD407" s="9" t="str">
        <f t="shared" si="40"/>
        <v/>
      </c>
      <c r="AG407" s="9"/>
    </row>
    <row r="408" spans="30:33" x14ac:dyDescent="0.25">
      <c r="AD408" s="9" t="str">
        <f t="shared" si="40"/>
        <v/>
      </c>
      <c r="AG408" s="9"/>
    </row>
    <row r="409" spans="30:33" x14ac:dyDescent="0.25">
      <c r="AD409" s="9" t="str">
        <f t="shared" si="40"/>
        <v/>
      </c>
      <c r="AG409" s="9"/>
    </row>
    <row r="410" spans="30:33" x14ac:dyDescent="0.25">
      <c r="AD410" s="9" t="str">
        <f t="shared" si="40"/>
        <v/>
      </c>
      <c r="AG410" s="9"/>
    </row>
    <row r="411" spans="30:33" x14ac:dyDescent="0.25">
      <c r="AD411" s="9" t="str">
        <f t="shared" si="40"/>
        <v/>
      </c>
      <c r="AG411" s="9"/>
    </row>
    <row r="412" spans="30:33" x14ac:dyDescent="0.25">
      <c r="AD412" s="9" t="str">
        <f t="shared" si="40"/>
        <v/>
      </c>
      <c r="AG412" s="9"/>
    </row>
    <row r="413" spans="30:33" x14ac:dyDescent="0.25">
      <c r="AD413" s="9" t="str">
        <f t="shared" si="40"/>
        <v/>
      </c>
      <c r="AG413" s="9"/>
    </row>
    <row r="414" spans="30:33" x14ac:dyDescent="0.25">
      <c r="AD414" s="9" t="str">
        <f t="shared" si="40"/>
        <v/>
      </c>
      <c r="AG414" s="9"/>
    </row>
    <row r="415" spans="30:33" x14ac:dyDescent="0.25">
      <c r="AD415" s="9" t="str">
        <f t="shared" si="40"/>
        <v/>
      </c>
      <c r="AG415" s="9"/>
    </row>
    <row r="416" spans="30:33" x14ac:dyDescent="0.25">
      <c r="AD416" s="9" t="str">
        <f t="shared" si="40"/>
        <v/>
      </c>
      <c r="AG416" s="9"/>
    </row>
    <row r="417" spans="30:33" x14ac:dyDescent="0.25">
      <c r="AD417" s="9" t="str">
        <f t="shared" si="40"/>
        <v/>
      </c>
      <c r="AG417" s="9"/>
    </row>
    <row r="418" spans="30:33" x14ac:dyDescent="0.25">
      <c r="AD418" s="9" t="str">
        <f>IF(AC418="","",C413)</f>
        <v/>
      </c>
      <c r="AG418" s="9"/>
    </row>
    <row r="419" spans="30:33" x14ac:dyDescent="0.25">
      <c r="AD419" s="9" t="str">
        <f>IF(AC419="","",C414)</f>
        <v/>
      </c>
      <c r="AG419" s="9"/>
    </row>
    <row r="420" spans="30:33" x14ac:dyDescent="0.25">
      <c r="AD420" s="9" t="str">
        <f>IF(AC420="","",C415)</f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41">IF(AF428="","",AF428*AC$25*AD428)</f>
        <v/>
      </c>
    </row>
    <row r="429" spans="30:33" x14ac:dyDescent="0.25">
      <c r="AG429" s="9" t="str">
        <f t="shared" si="41"/>
        <v/>
      </c>
    </row>
    <row r="430" spans="30:33" x14ac:dyDescent="0.25">
      <c r="AG430" s="9" t="str">
        <f t="shared" si="41"/>
        <v/>
      </c>
    </row>
    <row r="431" spans="30:33" x14ac:dyDescent="0.25">
      <c r="AG431" s="9" t="str">
        <f t="shared" si="41"/>
        <v/>
      </c>
    </row>
    <row r="432" spans="30:33" x14ac:dyDescent="0.25">
      <c r="AG432" s="9" t="str">
        <f t="shared" si="41"/>
        <v/>
      </c>
    </row>
    <row r="433" spans="33:33" x14ac:dyDescent="0.25">
      <c r="AG433" s="9" t="str">
        <f t="shared" si="41"/>
        <v/>
      </c>
    </row>
    <row r="434" spans="33:33" x14ac:dyDescent="0.25">
      <c r="AG434" s="9" t="str">
        <f t="shared" si="41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sheetProtection algorithmName="SHA-512" hashValue="VGVMfqd5nG9BQH2G96NLfklf7QQWhp7yF01jtZNdyZIFr82wkBrSuwpNnq8xlYHLz38CIPnhxsVpmWz1pmPEfg==" saltValue="O1FKJQ67psOVDICg0xkmtA==" spinCount="100000" sheet="1" objects="1" scenarios="1"/>
  <protectedRanges>
    <protectedRange password="C474" sqref="D19" name="Intervalo1_1"/>
  </protectedRanges>
  <mergeCells count="8">
    <mergeCell ref="AB21:AG23"/>
    <mergeCell ref="A22:B22"/>
    <mergeCell ref="A1:F1"/>
    <mergeCell ref="A2:F2"/>
    <mergeCell ref="A3:F3"/>
    <mergeCell ref="A14:F14"/>
    <mergeCell ref="A20:F20"/>
    <mergeCell ref="E21:E22"/>
  </mergeCells>
  <conditionalFormatting sqref="A23:G349">
    <cfRule type="notContainsBlanks" dxfId="37" priority="3" stopIfTrue="1">
      <formula>LEN(TRIM(A23))&gt;0</formula>
    </cfRule>
  </conditionalFormatting>
  <conditionalFormatting sqref="A24:G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36" priority="2">
      <formula>LEN(TRIM(A24))&gt;0</formula>
    </cfRule>
  </conditionalFormatting>
  <conditionalFormatting sqref="E19">
    <cfRule type="expression" dxfId="35" priority="1">
      <formula>$J$21=FALSE</formula>
    </cfRule>
  </conditionalFormatting>
  <dataValidations count="2">
    <dataValidation type="custom" allowBlank="1" showInputMessage="1" showErrorMessage="1" sqref="B15" xr:uid="{860B18E0-F6C1-4FE7-85E7-1623708BF16C}">
      <formula1>B15&lt;=5000</formula1>
    </dataValidation>
    <dataValidation type="whole" operator="lessThanOrEqual" allowBlank="1" showInputMessage="1" showErrorMessage="1" sqref="B17" xr:uid="{B064D68E-27B5-4DED-8984-CEE43C00AE24}">
      <formula1>36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4" name="Drop Down 1">
              <controlPr locked="0" defaultSize="0" autoLine="0" autoPict="0">
                <anchor moveWithCells="1">
                  <from>
                    <xdr:col>1</xdr:col>
                    <xdr:colOff>238125</xdr:colOff>
                    <xdr:row>2</xdr:row>
                    <xdr:rowOff>314325</xdr:rowOff>
                  </from>
                  <to>
                    <xdr:col>5</xdr:col>
                    <xdr:colOff>1104900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5" name="Drop Down 2">
              <controlPr locked="0" defaultSize="0" autoLine="0" autoPict="0">
                <anchor moveWithCells="1">
                  <from>
                    <xdr:col>5</xdr:col>
                    <xdr:colOff>104775</xdr:colOff>
                    <xdr:row>14</xdr:row>
                    <xdr:rowOff>57150</xdr:rowOff>
                  </from>
                  <to>
                    <xdr:col>5</xdr:col>
                    <xdr:colOff>1076325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3" r:id="rId6" name="Drop Down 3">
              <controlPr locked="0" defaultSize="0" autoLine="0" autoPict="0">
                <anchor moveWithCells="1">
                  <from>
                    <xdr:col>5</xdr:col>
                    <xdr:colOff>123825</xdr:colOff>
                    <xdr:row>15</xdr:row>
                    <xdr:rowOff>47625</xdr:rowOff>
                  </from>
                  <to>
                    <xdr:col>5</xdr:col>
                    <xdr:colOff>1104900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7" name="Check Box 4">
              <controlPr locked="0" defaultSize="0" autoFill="0" autoLine="0" autoPict="0">
                <anchor moveWithCells="1">
                  <from>
                    <xdr:col>4</xdr:col>
                    <xdr:colOff>219075</xdr:colOff>
                    <xdr:row>15</xdr:row>
                    <xdr:rowOff>228600</xdr:rowOff>
                  </from>
                  <to>
                    <xdr:col>4</xdr:col>
                    <xdr:colOff>1028700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5" r:id="rId8" name="Drop Down 5">
              <controlPr locked="0" defaultSize="0" autoLine="0" autoPict="0">
                <anchor moveWithCells="1">
                  <from>
                    <xdr:col>5</xdr:col>
                    <xdr:colOff>104775</xdr:colOff>
                    <xdr:row>16</xdr:row>
                    <xdr:rowOff>19050</xdr:rowOff>
                  </from>
                  <to>
                    <xdr:col>5</xdr:col>
                    <xdr:colOff>1085850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6" r:id="rId9" name="Check Box 6">
              <controlPr locked="0" defaultSize="0" autoFill="0" autoLine="0" autoPict="0">
                <anchor moveWithCells="1">
                  <from>
                    <xdr:col>4</xdr:col>
                    <xdr:colOff>200025</xdr:colOff>
                    <xdr:row>15</xdr:row>
                    <xdr:rowOff>38100</xdr:rowOff>
                  </from>
                  <to>
                    <xdr:col>4</xdr:col>
                    <xdr:colOff>1209675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10" name="Check Box 7">
              <controlPr locked="0" defaultSize="0" autoFill="0" autoLine="0" autoPict="0">
                <anchor moveWithCells="1">
                  <from>
                    <xdr:col>3</xdr:col>
                    <xdr:colOff>1276350</xdr:colOff>
                    <xdr:row>16</xdr:row>
                    <xdr:rowOff>38100</xdr:rowOff>
                  </from>
                  <to>
                    <xdr:col>4</xdr:col>
                    <xdr:colOff>1181100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A2B3-59D2-49E6-8116-E421D0D6341D}">
  <sheetPr>
    <pageSetUpPr fitToPage="1"/>
  </sheetPr>
  <dimension ref="A1:BD437"/>
  <sheetViews>
    <sheetView showGridLines="0" zoomScaleNormal="100" workbookViewId="0">
      <selection activeCell="BG16" sqref="BG16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4" width="19.28515625" style="21" customWidth="1"/>
    <col min="5" max="5" width="19" style="21" customWidth="1"/>
    <col min="6" max="6" width="17.42578125" style="21" customWidth="1"/>
    <col min="7" max="7" width="16.7109375" style="21" hidden="1" customWidth="1"/>
    <col min="8" max="8" width="9.140625" style="2" hidden="1" customWidth="1"/>
    <col min="9" max="9" width="12.8554687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6.5703125" style="2" hidden="1" customWidth="1"/>
    <col min="31" max="31" width="16.85546875" style="2" hidden="1" customWidth="1"/>
    <col min="32" max="32" width="15.71093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6" width="9.140625" style="2" hidden="1" customWidth="1"/>
    <col min="37" max="37" width="18.28515625" style="2" hidden="1" customWidth="1"/>
    <col min="38" max="38" width="9.140625" style="2" hidden="1" customWidth="1"/>
    <col min="39" max="40" width="14" style="2" hidden="1" customWidth="1"/>
    <col min="41" max="41" width="17.140625" style="2" hidden="1" customWidth="1"/>
    <col min="42" max="42" width="11.5703125" style="2" hidden="1" customWidth="1"/>
    <col min="43" max="43" width="11.7109375" style="2" hidden="1" customWidth="1"/>
    <col min="44" max="44" width="9.140625" style="2" hidden="1" customWidth="1"/>
    <col min="45" max="45" width="12.5703125" style="2" hidden="1" customWidth="1"/>
    <col min="46" max="46" width="9.140625" style="2" hidden="1" customWidth="1"/>
    <col min="47" max="47" width="13.28515625" style="2" hidden="1" customWidth="1"/>
    <col min="48" max="56" width="9.140625" style="2" hidden="1" customWidth="1"/>
    <col min="57" max="71" width="9.140625" style="2" customWidth="1"/>
    <col min="72" max="16384" width="9.140625" style="2"/>
  </cols>
  <sheetData>
    <row r="1" spans="1:42" ht="64.5" customHeight="1" x14ac:dyDescent="0.25">
      <c r="A1" s="227" t="s">
        <v>59</v>
      </c>
      <c r="B1" s="227"/>
      <c r="C1" s="227"/>
      <c r="D1" s="227"/>
      <c r="E1" s="227"/>
      <c r="F1" s="228"/>
      <c r="G1" s="2"/>
      <c r="AA1" s="2">
        <v>1</v>
      </c>
      <c r="AB1" s="2">
        <v>1</v>
      </c>
    </row>
    <row r="2" spans="1:42" ht="39" customHeight="1" x14ac:dyDescent="0.25">
      <c r="A2" s="225" t="s">
        <v>57</v>
      </c>
      <c r="B2" s="225"/>
      <c r="C2" s="225"/>
      <c r="D2" s="225"/>
      <c r="E2" s="225"/>
      <c r="F2" s="226"/>
      <c r="G2" s="2"/>
      <c r="H2" s="11"/>
    </row>
    <row r="3" spans="1:42" ht="27.75" customHeight="1" x14ac:dyDescent="0.25">
      <c r="A3" s="240" t="s">
        <v>181</v>
      </c>
      <c r="B3" s="240"/>
      <c r="C3" s="240"/>
      <c r="D3" s="240"/>
      <c r="E3" s="240"/>
      <c r="F3" s="241"/>
      <c r="G3" s="2"/>
      <c r="AA3" s="2" t="s">
        <v>37</v>
      </c>
      <c r="AB3" s="2" t="s">
        <v>38</v>
      </c>
    </row>
    <row r="4" spans="1:42" ht="17.25" customHeight="1" x14ac:dyDescent="0.25">
      <c r="A4" s="54" t="s">
        <v>0</v>
      </c>
      <c r="B4" s="38"/>
      <c r="C4" s="55"/>
      <c r="D4" s="31"/>
      <c r="E4" s="54"/>
      <c r="F4" s="127"/>
      <c r="G4" s="2"/>
      <c r="I4" s="84"/>
      <c r="J4" s="118">
        <v>1</v>
      </c>
      <c r="K4" s="2">
        <v>1</v>
      </c>
      <c r="N4" s="7" t="s">
        <v>0</v>
      </c>
      <c r="O4" s="7" t="s">
        <v>1</v>
      </c>
      <c r="P4" s="7" t="s">
        <v>55</v>
      </c>
      <c r="Q4" s="7" t="s">
        <v>2</v>
      </c>
      <c r="R4" s="7" t="s">
        <v>3</v>
      </c>
      <c r="S4" s="7" t="s">
        <v>5</v>
      </c>
      <c r="T4" s="7" t="s">
        <v>9</v>
      </c>
      <c r="U4" s="7" t="s">
        <v>8</v>
      </c>
      <c r="V4" s="7" t="s">
        <v>25</v>
      </c>
      <c r="AA4" s="2" t="s">
        <v>41</v>
      </c>
      <c r="AB4" s="2" t="s">
        <v>41</v>
      </c>
    </row>
    <row r="5" spans="1:42" ht="17.25" hidden="1" customHeight="1" x14ac:dyDescent="0.25">
      <c r="A5" s="31"/>
      <c r="B5" s="38"/>
      <c r="C5" s="31"/>
      <c r="D5" s="31"/>
      <c r="E5" s="31"/>
      <c r="F5" s="57"/>
      <c r="G5" s="58"/>
      <c r="N5" s="2" t="s">
        <v>158</v>
      </c>
      <c r="O5" s="12">
        <v>1.69</v>
      </c>
      <c r="P5" s="2">
        <v>0</v>
      </c>
      <c r="Q5" s="2">
        <v>1.69</v>
      </c>
      <c r="R5" s="2">
        <f>Q5</f>
        <v>1.69</v>
      </c>
      <c r="S5" s="2">
        <v>24</v>
      </c>
      <c r="T5" s="2">
        <v>3</v>
      </c>
      <c r="U5" s="4">
        <v>21000</v>
      </c>
      <c r="V5" s="2" t="s">
        <v>74</v>
      </c>
      <c r="AA5" s="2" t="s">
        <v>42</v>
      </c>
      <c r="AB5" s="2" t="s">
        <v>42</v>
      </c>
    </row>
    <row r="6" spans="1:42" ht="17.25" hidden="1" customHeight="1" x14ac:dyDescent="0.3">
      <c r="A6" s="31"/>
      <c r="B6" s="59"/>
      <c r="C6" s="60">
        <f>IF(AND(J4=1,K4=1),Q5,IF(AND(J4=1,K4=2),R5,IF(AND(J4=1,K4=3),P5,"-")))</f>
        <v>1.69</v>
      </c>
      <c r="D6" s="57"/>
      <c r="E6" s="57"/>
      <c r="F6" s="57"/>
      <c r="G6" s="58"/>
      <c r="N6" s="2" t="s">
        <v>160</v>
      </c>
      <c r="O6" s="2">
        <v>1.69</v>
      </c>
      <c r="P6" s="2">
        <v>0</v>
      </c>
      <c r="Q6" s="2">
        <v>0</v>
      </c>
      <c r="R6" s="2">
        <v>0</v>
      </c>
      <c r="S6" s="2">
        <v>24</v>
      </c>
      <c r="T6" s="2">
        <v>3</v>
      </c>
      <c r="U6" s="9">
        <v>21000</v>
      </c>
      <c r="V6" s="2" t="s">
        <v>75</v>
      </c>
    </row>
    <row r="7" spans="1:42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2" t="s">
        <v>159</v>
      </c>
      <c r="O7" s="2">
        <v>1.69</v>
      </c>
      <c r="P7" s="2">
        <v>0</v>
      </c>
      <c r="Q7" s="2">
        <v>0</v>
      </c>
      <c r="R7" s="2">
        <v>0</v>
      </c>
      <c r="S7" s="2">
        <v>24</v>
      </c>
      <c r="T7" s="2">
        <v>3</v>
      </c>
      <c r="U7" s="9">
        <v>21000</v>
      </c>
      <c r="V7" s="2" t="s">
        <v>66</v>
      </c>
    </row>
    <row r="8" spans="1:42" ht="17.25" hidden="1" customHeight="1" x14ac:dyDescent="0.3">
      <c r="A8" s="31"/>
      <c r="B8" s="61"/>
      <c r="C8" s="60" t="str">
        <f>IF(AND(J4=3,K4=1),Q7,IF(AND(J4=3,K4=2),R7,IF(AND(J4=3,K4=3),P7,"-")))</f>
        <v>-</v>
      </c>
      <c r="D8" s="57"/>
      <c r="E8" s="57"/>
      <c r="F8" s="57"/>
      <c r="G8" s="58"/>
      <c r="N8" s="2" t="s">
        <v>72</v>
      </c>
      <c r="O8" s="2">
        <v>1.9</v>
      </c>
      <c r="P8" s="2">
        <v>0</v>
      </c>
      <c r="Q8" s="2">
        <v>1.47</v>
      </c>
      <c r="R8" s="2">
        <f t="shared" ref="R8:R11" si="0">Q8</f>
        <v>1.47</v>
      </c>
      <c r="S8" s="2">
        <v>36</v>
      </c>
      <c r="T8" s="2">
        <v>3</v>
      </c>
      <c r="U8" s="9">
        <v>300000</v>
      </c>
    </row>
    <row r="9" spans="1:42" ht="17.25" hidden="1" customHeight="1" x14ac:dyDescent="0.3">
      <c r="A9" s="31"/>
      <c r="B9" s="61"/>
      <c r="C9" s="60" t="str">
        <f>IF(AND(J4=4,K4=1),Q8,IF(AND(J4=4,K4=2),R8,IF(AND(J4=4,K4=3),P8,"-")))</f>
        <v>-</v>
      </c>
      <c r="D9" s="57"/>
      <c r="E9" s="57"/>
      <c r="F9" s="57"/>
      <c r="G9" s="58"/>
      <c r="N9" s="2" t="s">
        <v>21</v>
      </c>
      <c r="O9" s="2">
        <v>1.9</v>
      </c>
      <c r="P9" s="2">
        <v>0</v>
      </c>
      <c r="Q9" s="2">
        <v>1.47</v>
      </c>
      <c r="R9" s="2">
        <f t="shared" si="0"/>
        <v>1.47</v>
      </c>
      <c r="S9" s="2">
        <v>36</v>
      </c>
      <c r="T9" s="2">
        <v>3</v>
      </c>
      <c r="U9" s="9">
        <v>300000</v>
      </c>
    </row>
    <row r="10" spans="1:42" ht="17.25" hidden="1" customHeight="1" x14ac:dyDescent="0.3">
      <c r="A10" s="31"/>
      <c r="B10" s="61"/>
      <c r="C10" s="60" t="str">
        <f>IF(AND(J4=5,K4=1),Q9,IF(AND(J4=5,K4=2),R9,IF(AND(J4=5,K4=3),P9,"-")))</f>
        <v>-</v>
      </c>
      <c r="D10" s="57"/>
      <c r="E10" s="57"/>
      <c r="F10" s="57"/>
      <c r="G10" s="58"/>
      <c r="N10" s="21" t="s">
        <v>26</v>
      </c>
      <c r="O10" s="2">
        <v>2.0499999999999998</v>
      </c>
      <c r="P10" s="2">
        <v>0</v>
      </c>
      <c r="Q10" s="2">
        <v>1.58</v>
      </c>
      <c r="R10" s="2">
        <f t="shared" si="0"/>
        <v>1.58</v>
      </c>
      <c r="S10" s="2">
        <v>36</v>
      </c>
      <c r="T10" s="2">
        <v>3</v>
      </c>
      <c r="U10" s="9">
        <v>300000</v>
      </c>
    </row>
    <row r="11" spans="1:42" ht="17.25" hidden="1" customHeight="1" x14ac:dyDescent="0.3">
      <c r="A11" s="31"/>
      <c r="B11" s="61"/>
      <c r="C11" s="62" t="str">
        <f>IF(AND(J4=6,K4=1),Q10,IF(AND(J4=6,K4=2),R10,IF(AND(J4=6,K4=3),P10,"-")))</f>
        <v>-</v>
      </c>
      <c r="D11" s="57"/>
      <c r="E11" s="57"/>
      <c r="F11" s="57"/>
      <c r="G11" s="58"/>
      <c r="N11" s="21" t="s">
        <v>76</v>
      </c>
      <c r="O11" s="21">
        <v>1.82</v>
      </c>
      <c r="P11" s="21">
        <v>1.5</v>
      </c>
      <c r="Q11" s="21">
        <v>1.5</v>
      </c>
      <c r="R11" s="12">
        <f t="shared" si="0"/>
        <v>1.5</v>
      </c>
      <c r="S11" s="21">
        <v>36</v>
      </c>
      <c r="T11" s="21">
        <v>3</v>
      </c>
      <c r="U11" s="22">
        <v>21000</v>
      </c>
    </row>
    <row r="12" spans="1:42" ht="16.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</row>
    <row r="13" spans="1:42" ht="17.25" hidden="1" customHeight="1" x14ac:dyDescent="0.25">
      <c r="B13" s="21"/>
      <c r="K13" s="2" t="s">
        <v>157</v>
      </c>
    </row>
    <row r="14" spans="1:42" ht="28.5" customHeight="1" x14ac:dyDescent="0.35">
      <c r="A14" s="237" t="s">
        <v>17</v>
      </c>
      <c r="B14" s="238"/>
      <c r="C14" s="238"/>
      <c r="D14" s="238"/>
      <c r="E14" s="238"/>
      <c r="F14" s="239"/>
      <c r="G14" s="2"/>
      <c r="I14" s="84">
        <f>IF(B15&lt;=5000,IF(AND(B15&lt;=5000,J21=TRUE),D15,0),0.0169)</f>
        <v>1.6899999999999998E-2</v>
      </c>
    </row>
    <row r="15" spans="1:42" ht="35.25" customHeight="1" x14ac:dyDescent="0.25">
      <c r="A15" s="34" t="s">
        <v>10</v>
      </c>
      <c r="B15" s="150">
        <v>21000</v>
      </c>
      <c r="C15" s="63" t="s">
        <v>49</v>
      </c>
      <c r="D15" s="152">
        <f>IF(J4=1,O5,IF(J4=2,O6,IF(J4=3,O7,IF(J4=4,O8,IF(J4=5,O9,IF(J4=6,O10,IF(J4=7,O11)))))))/100</f>
        <v>1.6899999999999998E-2</v>
      </c>
      <c r="E15" s="144"/>
      <c r="F15" s="176">
        <f>IF(B15&lt;=3000,50,IF(B15&lt;=21000,IF(B15*0.03&lt;=420,B15*0.03,420),IF(B15&lt;=100000,B15*0.02,2000+B15*0.005)))</f>
        <v>420</v>
      </c>
      <c r="H15"/>
      <c r="I15" s="90">
        <f>IF(B15&lt;=3000,50,IF(B15&lt;=21000,IF(B15*0.03&lt;=420,B15*0.03,420),IF(B15&lt;=100000,B15*0.02,2000+B15*0.005)))</f>
        <v>420</v>
      </c>
      <c r="J15" s="2">
        <v>4</v>
      </c>
      <c r="K15"/>
      <c r="L15" s="7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42" ht="35.25" customHeight="1" x14ac:dyDescent="0.25">
      <c r="A16" s="35" t="s">
        <v>6</v>
      </c>
      <c r="B16" s="133">
        <v>6</v>
      </c>
      <c r="C16" s="64" t="s">
        <v>52</v>
      </c>
      <c r="D16" s="152">
        <f>IF(B15&lt;=5000,IF(AND(B15&lt;=5000,J21=TRUE),D15,0),0.0169)</f>
        <v>1.6899999999999998E-2</v>
      </c>
      <c r="E16" s="51"/>
      <c r="F16" s="177">
        <f ca="1">AF24</f>
        <v>180.20729999999998</v>
      </c>
      <c r="H16"/>
      <c r="I16">
        <f>IF(B15*0.03&lt;=420,B15*0.03,420)</f>
        <v>420</v>
      </c>
      <c r="J16" s="2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P16" s="2">
        <v>36</v>
      </c>
    </row>
    <row r="17" spans="1:47" ht="35.25" customHeight="1" x14ac:dyDescent="0.25">
      <c r="A17" s="35" t="s">
        <v>22</v>
      </c>
      <c r="B17" s="133">
        <v>36</v>
      </c>
      <c r="C17" s="34" t="s">
        <v>11</v>
      </c>
      <c r="D17" s="147">
        <f ca="1">TODAY()</f>
        <v>46240</v>
      </c>
      <c r="E17" s="120"/>
      <c r="F17" s="187">
        <f>IF(B15&gt;5000,IF(B15&gt;5000,IF(K4=1,(B15*E19*0.001*B17),IF(K4=2,(F19*0.001*B17),IF(K4=3,0,""))),0),IF(J21=TRUE,IF(K4=1,(B15*E19*0.001*B17),IF(K4=2,(F19*0.001*B17),IF(K4=3,0,""))),0))</f>
        <v>756</v>
      </c>
      <c r="G17" s="204"/>
      <c r="H17"/>
      <c r="I17"/>
      <c r="J17" s="2" t="s">
        <v>41</v>
      </c>
      <c r="K17"/>
      <c r="L17" t="b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47" ht="23.25" customHeight="1" x14ac:dyDescent="0.25">
      <c r="A18" s="124" t="s">
        <v>65</v>
      </c>
      <c r="B18" s="124"/>
      <c r="C18" s="125"/>
      <c r="D18" s="125"/>
      <c r="E18" s="126"/>
      <c r="F18" s="126"/>
      <c r="H18"/>
      <c r="I18"/>
      <c r="J18" s="2" t="s">
        <v>42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47" ht="34.5" customHeight="1" x14ac:dyDescent="0.25">
      <c r="A19" s="34" t="s">
        <v>63</v>
      </c>
      <c r="B19" s="43">
        <f>IF(LARGE(F23:F241,1)*3&lt;2424,2424,LARGE(F23:F241,1)*3)</f>
        <v>3164.7000000000003</v>
      </c>
      <c r="C19" s="42" t="s">
        <v>64</v>
      </c>
      <c r="D19" s="43">
        <f>IF(J21=TRUE,(B15-F19)*1.5/0.7,B15*1.5/0.7)</f>
        <v>0</v>
      </c>
      <c r="E19" s="188">
        <v>1</v>
      </c>
      <c r="F19" s="165">
        <f>IF(F17&lt;&gt;0,IF(K4=1,(B15*E19),IF(K4=2,B15*E19,IF(K4=3,0,""))),0)</f>
        <v>21000</v>
      </c>
      <c r="H19"/>
      <c r="I19"/>
      <c r="J19" t="s">
        <v>68</v>
      </c>
      <c r="K19"/>
      <c r="L19" s="2" t="b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5"/>
    </row>
    <row r="20" spans="1:47" s="25" customFormat="1" ht="23.25" x14ac:dyDescent="0.25">
      <c r="A20" s="229" t="s">
        <v>31</v>
      </c>
      <c r="B20" s="230"/>
      <c r="C20" s="230"/>
      <c r="D20" s="230"/>
      <c r="E20" s="230"/>
      <c r="F20" s="231"/>
      <c r="G20" s="21"/>
      <c r="J20" s="25" t="s">
        <v>42</v>
      </c>
      <c r="AK20" s="26"/>
      <c r="AM20" s="205">
        <f>IRR(AM23:AM47)</f>
        <v>-5.9870182396352112E-3</v>
      </c>
      <c r="AN20" s="205"/>
    </row>
    <row r="21" spans="1:47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56</v>
      </c>
      <c r="J21" s="2" t="b">
        <v>1</v>
      </c>
      <c r="AB21" s="232" t="s">
        <v>45</v>
      </c>
      <c r="AC21" s="232"/>
      <c r="AD21" s="232"/>
      <c r="AE21" s="232"/>
      <c r="AF21" s="232"/>
      <c r="AG21" s="232"/>
    </row>
    <row r="22" spans="1:47" ht="18.75" x14ac:dyDescent="0.25">
      <c r="A22" s="235" t="s">
        <v>60</v>
      </c>
      <c r="B22" s="236"/>
      <c r="C22" s="169">
        <f>SUM(C23:C242)</f>
        <v>7630.3668999999991</v>
      </c>
      <c r="D22" s="169">
        <f>SUM(D23:D242)</f>
        <v>21000</v>
      </c>
      <c r="E22" s="234"/>
      <c r="F22" s="169">
        <f>SUM(F23:F242)</f>
        <v>28630.350000000006</v>
      </c>
      <c r="AB22" s="232"/>
      <c r="AC22" s="232"/>
      <c r="AD22" s="232"/>
      <c r="AE22" s="232"/>
      <c r="AF22" s="232"/>
      <c r="AG22" s="232"/>
    </row>
    <row r="23" spans="1:47" x14ac:dyDescent="0.25">
      <c r="A23" s="68">
        <v>0</v>
      </c>
      <c r="B23" s="68"/>
      <c r="C23" s="166">
        <f>D16</f>
        <v>1.6899999999999998E-2</v>
      </c>
      <c r="D23" s="156"/>
      <c r="E23" s="162">
        <f>IF(AND(AA1=1,AB1=1,J16=1),B15,IF(AND(AA1=1,AB1=1,J16=2),B15+F17,IF(AND(AA1=1,AB1=2,J16=1),B15+F16,IF(AND(AA1=1,AB1=2,J16=3),B15+F16,IF(AND(AA1=2,AB1=1,J16=1),B15+F15,IF(AND(AA1=2,AB1=1,J16=2),B15+F15+F17,IF(AND(AA1=2,AB1=2,J16=2),B15+F17+F16+F15,IF(AND(AA1=2,AB1=2,J16=3),B15+F15+F16,IF(AND(AA1=2,AB1=2,J16=1),B15+F15+F16,IF(AND(AA1=1,AB1=2,J16=2),B15+F16+F17, IF(AND(AA1=1,AB1=1,J16=3),B15)))))))))))</f>
        <v>21000</v>
      </c>
      <c r="F23" s="163"/>
      <c r="G23" s="67"/>
      <c r="AB23" s="232"/>
      <c r="AC23" s="232"/>
      <c r="AD23" s="232"/>
      <c r="AE23" s="232"/>
      <c r="AF23" s="232"/>
      <c r="AG23" s="232"/>
      <c r="AM23" s="190">
        <f>-B15</f>
        <v>-21000</v>
      </c>
      <c r="AN23" s="190"/>
    </row>
    <row r="24" spans="1:47" x14ac:dyDescent="0.25">
      <c r="A24" s="68">
        <f t="shared" ref="A24:A71" si="1">IF(A23&lt;B$17,A23+1,"")</f>
        <v>1</v>
      </c>
      <c r="B24" s="68" t="str">
        <f t="shared" ref="B24:B71" si="2">IF(A24="","",IF(A24&lt;=B$16,"carência","amortização"))</f>
        <v>carência</v>
      </c>
      <c r="C24" s="156">
        <f>IF(B24="","",E23*$C$23)</f>
        <v>354.9</v>
      </c>
      <c r="D24" s="156">
        <f t="shared" ref="D24:D35" si="3">IF(C24="","",IF(A24&lt;=B$16,0,B$15/(B$17-B$16)))</f>
        <v>0</v>
      </c>
      <c r="E24" s="162">
        <f t="shared" ref="E24:E71" si="4">IF(F24="","",E23-D24)</f>
        <v>21000</v>
      </c>
      <c r="F24" s="156">
        <f t="shared" ref="F24:F71" si="5">IF(D24="","",D24+C24)</f>
        <v>354.9</v>
      </c>
      <c r="G24" s="67"/>
      <c r="AB24" s="2" t="s">
        <v>38</v>
      </c>
      <c r="AC24" s="6">
        <v>3.8E-3</v>
      </c>
      <c r="AE24" s="13">
        <f>AC27*AC24</f>
        <v>79.8</v>
      </c>
      <c r="AF24" s="13">
        <f ca="1">IF(L19=FALSE,0,IF(AND(AH25=TRUE,B15&lt;=30000),AE24+AE26,AE24+AE25))</f>
        <v>180.20729999999998</v>
      </c>
      <c r="AM24" s="190">
        <f>F24</f>
        <v>354.9</v>
      </c>
      <c r="AN24" s="190"/>
    </row>
    <row r="25" spans="1:47" x14ac:dyDescent="0.25">
      <c r="A25" s="68">
        <f t="shared" si="1"/>
        <v>2</v>
      </c>
      <c r="B25" s="68" t="str">
        <f t="shared" si="2"/>
        <v>carência</v>
      </c>
      <c r="C25" s="156">
        <f>IF(B25="","",E24*$C$23)</f>
        <v>354.9</v>
      </c>
      <c r="D25" s="156">
        <f t="shared" si="3"/>
        <v>0</v>
      </c>
      <c r="E25" s="162">
        <f t="shared" si="4"/>
        <v>21000</v>
      </c>
      <c r="F25" s="156">
        <f t="shared" si="5"/>
        <v>354.9</v>
      </c>
      <c r="G25" s="67"/>
      <c r="AA25" s="3"/>
      <c r="AB25" s="2" t="s">
        <v>46</v>
      </c>
      <c r="AC25" s="6">
        <v>4.1E-5</v>
      </c>
      <c r="AE25" s="5">
        <f ca="1">SUM(AG30:AG83)</f>
        <v>300.48900000000015</v>
      </c>
      <c r="AG25" s="13"/>
      <c r="AH25" s="14" t="b">
        <v>1</v>
      </c>
      <c r="AM25" s="190">
        <f t="shared" ref="AM25:AM47" si="6">F25</f>
        <v>354.9</v>
      </c>
      <c r="AN25" s="190"/>
    </row>
    <row r="26" spans="1:47" x14ac:dyDescent="0.25">
      <c r="A26" s="68">
        <f t="shared" si="1"/>
        <v>3</v>
      </c>
      <c r="B26" s="68" t="str">
        <f t="shared" si="2"/>
        <v>carência</v>
      </c>
      <c r="C26" s="156">
        <f t="shared" ref="C26:C71" si="7">IF(B26="","",E25*$C$23)</f>
        <v>354.9</v>
      </c>
      <c r="D26" s="156">
        <f t="shared" si="3"/>
        <v>0</v>
      </c>
      <c r="E26" s="162">
        <f t="shared" si="4"/>
        <v>21000</v>
      </c>
      <c r="F26" s="156">
        <f t="shared" si="5"/>
        <v>354.9</v>
      </c>
      <c r="G26" s="67"/>
      <c r="AB26" s="2" t="s">
        <v>51</v>
      </c>
      <c r="AC26" s="24">
        <f>0.00137/100</f>
        <v>1.3699999999999999E-5</v>
      </c>
      <c r="AE26" s="5">
        <f ca="1">SUM(AH30:AH308)</f>
        <v>100.40729999999996</v>
      </c>
      <c r="AM26" s="190">
        <f t="shared" si="6"/>
        <v>354.9</v>
      </c>
      <c r="AN26" s="190"/>
    </row>
    <row r="27" spans="1:47" x14ac:dyDescent="0.25">
      <c r="A27" s="68">
        <f t="shared" si="1"/>
        <v>4</v>
      </c>
      <c r="B27" s="68" t="str">
        <f t="shared" si="2"/>
        <v>carência</v>
      </c>
      <c r="C27" s="156">
        <f t="shared" si="7"/>
        <v>354.9</v>
      </c>
      <c r="D27" s="156">
        <f t="shared" si="3"/>
        <v>0</v>
      </c>
      <c r="E27" s="162">
        <f t="shared" si="4"/>
        <v>21000</v>
      </c>
      <c r="F27" s="156">
        <f t="shared" si="5"/>
        <v>354.9</v>
      </c>
      <c r="G27" s="67"/>
      <c r="AB27" s="2" t="s">
        <v>16</v>
      </c>
      <c r="AC27" s="5">
        <f>B15</f>
        <v>21000</v>
      </c>
      <c r="AG27" s="5"/>
      <c r="AM27" s="190">
        <f t="shared" si="6"/>
        <v>354.9</v>
      </c>
      <c r="AN27" s="190"/>
      <c r="AP27" s="190">
        <f>F27/0.3</f>
        <v>1183</v>
      </c>
      <c r="AQ27" s="190">
        <f>AP27/0.2</f>
        <v>5915</v>
      </c>
      <c r="AS27" s="190">
        <f>F27/0.2</f>
        <v>1774.4999999999998</v>
      </c>
      <c r="AU27" s="23">
        <v>81000</v>
      </c>
    </row>
    <row r="28" spans="1:47" x14ac:dyDescent="0.25">
      <c r="A28" s="68">
        <f t="shared" si="1"/>
        <v>5</v>
      </c>
      <c r="B28" s="68" t="str">
        <f t="shared" si="2"/>
        <v>carência</v>
      </c>
      <c r="C28" s="156">
        <f t="shared" si="7"/>
        <v>354.9</v>
      </c>
      <c r="D28" s="156">
        <f t="shared" si="3"/>
        <v>0</v>
      </c>
      <c r="E28" s="162">
        <f t="shared" si="4"/>
        <v>21000</v>
      </c>
      <c r="F28" s="156">
        <f t="shared" si="5"/>
        <v>354.9</v>
      </c>
      <c r="G28" s="67"/>
      <c r="AG28" s="2" t="s">
        <v>53</v>
      </c>
      <c r="AH28" s="2" t="s">
        <v>54</v>
      </c>
      <c r="AM28" s="190">
        <f t="shared" si="6"/>
        <v>354.9</v>
      </c>
      <c r="AN28" s="190"/>
      <c r="AU28" s="140">
        <f>AU27/12</f>
        <v>6750</v>
      </c>
    </row>
    <row r="29" spans="1:47" x14ac:dyDescent="0.25">
      <c r="A29" s="68">
        <f t="shared" si="1"/>
        <v>6</v>
      </c>
      <c r="B29" s="68" t="str">
        <f t="shared" si="2"/>
        <v>carência</v>
      </c>
      <c r="C29" s="156">
        <f t="shared" si="7"/>
        <v>354.9</v>
      </c>
      <c r="D29" s="156">
        <f t="shared" si="3"/>
        <v>0</v>
      </c>
      <c r="E29" s="162">
        <f t="shared" si="4"/>
        <v>21000</v>
      </c>
      <c r="F29" s="156">
        <f t="shared" si="5"/>
        <v>354.9</v>
      </c>
      <c r="G29" s="67"/>
      <c r="AA29" s="2">
        <v>0</v>
      </c>
      <c r="AB29" s="8">
        <f ca="1">D17</f>
        <v>46240</v>
      </c>
      <c r="AC29" s="9">
        <f ca="1">IF(AB29="","",AC27)</f>
        <v>21000</v>
      </c>
      <c r="AD29" s="9">
        <f>IF(AA29="","",IF(AA29&lt;=B$16,0,B$15/(B$17-B$16)))</f>
        <v>0</v>
      </c>
      <c r="AM29" s="190">
        <f t="shared" si="6"/>
        <v>354.9</v>
      </c>
      <c r="AN29" s="190"/>
      <c r="AU29" s="207">
        <f>F27/AU28</f>
        <v>5.2577777777777772E-2</v>
      </c>
    </row>
    <row r="30" spans="1:47" x14ac:dyDescent="0.25">
      <c r="A30" s="68">
        <f t="shared" si="1"/>
        <v>7</v>
      </c>
      <c r="B30" s="68" t="str">
        <f t="shared" si="2"/>
        <v>amortização</v>
      </c>
      <c r="C30" s="156">
        <f t="shared" si="7"/>
        <v>354.9</v>
      </c>
      <c r="D30" s="156">
        <f t="shared" si="3"/>
        <v>700</v>
      </c>
      <c r="E30" s="162">
        <f t="shared" si="4"/>
        <v>20300</v>
      </c>
      <c r="F30" s="156">
        <f t="shared" si="5"/>
        <v>1054.9000000000001</v>
      </c>
      <c r="G30" s="67"/>
      <c r="AA30" s="2">
        <f>IF(AA29&lt;B$17,AA29+1,"")</f>
        <v>1</v>
      </c>
      <c r="AB30" s="8">
        <f ca="1">IF(AA30="","",AB29+30)</f>
        <v>46270</v>
      </c>
      <c r="AC30" s="9">
        <f ca="1">IF(AB30="","",IF(AA30&lt;=B$16,AC29,AC29-AD30))</f>
        <v>21000</v>
      </c>
      <c r="AD30" s="9">
        <f t="shared" ref="AD30:AD93" si="8">IF(AA30="","",IF(AA30&lt;=B$16,0,B$15/(B$17-B$16)))</f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M30" s="190">
        <f t="shared" si="6"/>
        <v>1054.9000000000001</v>
      </c>
      <c r="AN30" s="190">
        <f>F30*12</f>
        <v>12658.800000000001</v>
      </c>
    </row>
    <row r="31" spans="1:47" x14ac:dyDescent="0.25">
      <c r="A31" s="68">
        <f t="shared" si="1"/>
        <v>8</v>
      </c>
      <c r="B31" s="68" t="str">
        <f t="shared" si="2"/>
        <v>amortização</v>
      </c>
      <c r="C31" s="156">
        <f t="shared" si="7"/>
        <v>343.07</v>
      </c>
      <c r="D31" s="156">
        <f t="shared" si="3"/>
        <v>700</v>
      </c>
      <c r="E31" s="162">
        <f t="shared" si="4"/>
        <v>19600</v>
      </c>
      <c r="F31" s="156">
        <f t="shared" si="5"/>
        <v>1043.07</v>
      </c>
      <c r="G31" s="67"/>
      <c r="AA31" s="2">
        <f t="shared" ref="AA31:AA94" si="9">IF(AA30&lt;B$17,AA30+1,"")</f>
        <v>2</v>
      </c>
      <c r="AB31" s="8">
        <f t="shared" ref="AB31:AB77" ca="1" si="10">IF(AA31="","",AB30+30)</f>
        <v>46300</v>
      </c>
      <c r="AC31" s="9">
        <f t="shared" ref="AC31:AC94" ca="1" si="11">IF(AB31="","",IF(AA31&lt;=B$16,AC30,AC30-AD31))</f>
        <v>21000</v>
      </c>
      <c r="AD31" s="9">
        <f t="shared" si="8"/>
        <v>0</v>
      </c>
      <c r="AE31" s="2">
        <f t="shared" ref="AE31:AE77" ca="1" si="12">IF(AD31="","",AB31-AB30)</f>
        <v>30</v>
      </c>
      <c r="AF31" s="2">
        <f t="shared" ref="AF31:AF94" ca="1" si="13">IF(AE31="","",AB31-AB$29)</f>
        <v>60</v>
      </c>
      <c r="AG31" s="9">
        <f t="shared" ref="AG31:AG94" ca="1" si="14">IF(AF31="","",IF(AF31&lt;365,AF31*AC$25*AD31,365*AD31*AC$25))</f>
        <v>0</v>
      </c>
      <c r="AH31" s="9">
        <f t="shared" ref="AH31:AH94" ca="1" si="15">IF(AF31="","",IF(AF31&lt;365,AF31*AC$26*AD31,365*AD31*AC$26))</f>
        <v>0</v>
      </c>
      <c r="AM31" s="190">
        <f t="shared" si="6"/>
        <v>1043.07</v>
      </c>
      <c r="AN31" s="190"/>
      <c r="AU31" s="140">
        <f>AU28*0.1</f>
        <v>675</v>
      </c>
    </row>
    <row r="32" spans="1:47" x14ac:dyDescent="0.25">
      <c r="A32" s="68">
        <f t="shared" si="1"/>
        <v>9</v>
      </c>
      <c r="B32" s="68" t="str">
        <f t="shared" si="2"/>
        <v>amortização</v>
      </c>
      <c r="C32" s="156">
        <f t="shared" si="7"/>
        <v>331.23999999999995</v>
      </c>
      <c r="D32" s="156">
        <f t="shared" si="3"/>
        <v>700</v>
      </c>
      <c r="E32" s="162">
        <f t="shared" si="4"/>
        <v>18900</v>
      </c>
      <c r="F32" s="156">
        <f t="shared" si="5"/>
        <v>1031.24</v>
      </c>
      <c r="G32" s="67"/>
      <c r="AA32" s="2">
        <f t="shared" si="9"/>
        <v>3</v>
      </c>
      <c r="AB32" s="8">
        <f t="shared" ca="1" si="10"/>
        <v>46330</v>
      </c>
      <c r="AC32" s="9">
        <f t="shared" ca="1" si="11"/>
        <v>21000</v>
      </c>
      <c r="AD32" s="9">
        <f t="shared" si="8"/>
        <v>0</v>
      </c>
      <c r="AE32" s="2">
        <f t="shared" ca="1" si="12"/>
        <v>30</v>
      </c>
      <c r="AF32" s="2">
        <f t="shared" ca="1" si="13"/>
        <v>90</v>
      </c>
      <c r="AG32" s="9">
        <f t="shared" ca="1" si="14"/>
        <v>0</v>
      </c>
      <c r="AH32" s="9">
        <f t="shared" ca="1" si="15"/>
        <v>0</v>
      </c>
      <c r="AM32" s="190">
        <f t="shared" si="6"/>
        <v>1031.24</v>
      </c>
      <c r="AN32" s="190"/>
    </row>
    <row r="33" spans="1:41" x14ac:dyDescent="0.25">
      <c r="A33" s="68">
        <f t="shared" si="1"/>
        <v>10</v>
      </c>
      <c r="B33" s="68" t="str">
        <f t="shared" si="2"/>
        <v>amortização</v>
      </c>
      <c r="C33" s="156">
        <f t="shared" si="7"/>
        <v>319.40999999999997</v>
      </c>
      <c r="D33" s="156">
        <f t="shared" si="3"/>
        <v>700</v>
      </c>
      <c r="E33" s="162">
        <f t="shared" si="4"/>
        <v>18200</v>
      </c>
      <c r="F33" s="156">
        <f t="shared" si="5"/>
        <v>1019.41</v>
      </c>
      <c r="G33" s="67"/>
      <c r="AA33" s="2">
        <f t="shared" si="9"/>
        <v>4</v>
      </c>
      <c r="AB33" s="8">
        <f t="shared" ca="1" si="10"/>
        <v>46360</v>
      </c>
      <c r="AC33" s="9">
        <f t="shared" ca="1" si="11"/>
        <v>21000</v>
      </c>
      <c r="AD33" s="9">
        <f t="shared" si="8"/>
        <v>0</v>
      </c>
      <c r="AE33" s="2">
        <f t="shared" ca="1" si="12"/>
        <v>30</v>
      </c>
      <c r="AF33" s="2">
        <f t="shared" ca="1" si="13"/>
        <v>120</v>
      </c>
      <c r="AG33" s="9">
        <f t="shared" ca="1" si="14"/>
        <v>0</v>
      </c>
      <c r="AH33" s="9">
        <f t="shared" ca="1" si="15"/>
        <v>0</v>
      </c>
      <c r="AM33" s="190">
        <f t="shared" si="6"/>
        <v>1019.41</v>
      </c>
      <c r="AN33" s="190"/>
    </row>
    <row r="34" spans="1:41" x14ac:dyDescent="0.25">
      <c r="A34" s="68">
        <f t="shared" si="1"/>
        <v>11</v>
      </c>
      <c r="B34" s="68" t="str">
        <f t="shared" si="2"/>
        <v>amortização</v>
      </c>
      <c r="C34" s="156">
        <f t="shared" si="7"/>
        <v>307.58</v>
      </c>
      <c r="D34" s="156">
        <f t="shared" si="3"/>
        <v>700</v>
      </c>
      <c r="E34" s="162">
        <f t="shared" si="4"/>
        <v>17500</v>
      </c>
      <c r="F34" s="156">
        <f t="shared" si="5"/>
        <v>1007.5799999999999</v>
      </c>
      <c r="G34" s="67"/>
      <c r="AA34" s="2">
        <f t="shared" si="9"/>
        <v>5</v>
      </c>
      <c r="AB34" s="8">
        <f t="shared" ca="1" si="10"/>
        <v>46390</v>
      </c>
      <c r="AC34" s="9">
        <f t="shared" ca="1" si="11"/>
        <v>21000</v>
      </c>
      <c r="AD34" s="9">
        <f t="shared" si="8"/>
        <v>0</v>
      </c>
      <c r="AE34" s="2">
        <f t="shared" ca="1" si="12"/>
        <v>30</v>
      </c>
      <c r="AF34" s="2">
        <f t="shared" ca="1" si="13"/>
        <v>150</v>
      </c>
      <c r="AG34" s="9">
        <f t="shared" ca="1" si="14"/>
        <v>0</v>
      </c>
      <c r="AH34" s="9">
        <f t="shared" ca="1" si="15"/>
        <v>0</v>
      </c>
      <c r="AM34" s="190">
        <f t="shared" si="6"/>
        <v>1007.5799999999999</v>
      </c>
      <c r="AN34" s="190"/>
    </row>
    <row r="35" spans="1:41" x14ac:dyDescent="0.25">
      <c r="A35" s="68">
        <f t="shared" si="1"/>
        <v>12</v>
      </c>
      <c r="B35" s="68" t="str">
        <f t="shared" si="2"/>
        <v>amortização</v>
      </c>
      <c r="C35" s="156">
        <f t="shared" si="7"/>
        <v>295.74999999999994</v>
      </c>
      <c r="D35" s="156">
        <f t="shared" si="3"/>
        <v>700</v>
      </c>
      <c r="E35" s="162">
        <f t="shared" si="4"/>
        <v>16800</v>
      </c>
      <c r="F35" s="156">
        <f t="shared" si="5"/>
        <v>995.75</v>
      </c>
      <c r="G35" s="67"/>
      <c r="AA35" s="2">
        <f t="shared" si="9"/>
        <v>6</v>
      </c>
      <c r="AB35" s="8">
        <f t="shared" ca="1" si="10"/>
        <v>46420</v>
      </c>
      <c r="AC35" s="9">
        <f t="shared" ca="1" si="11"/>
        <v>21000</v>
      </c>
      <c r="AD35" s="9">
        <f t="shared" si="8"/>
        <v>0</v>
      </c>
      <c r="AE35" s="2">
        <f t="shared" ca="1" si="12"/>
        <v>30</v>
      </c>
      <c r="AF35" s="2">
        <f t="shared" ca="1" si="13"/>
        <v>180</v>
      </c>
      <c r="AG35" s="9">
        <f t="shared" ca="1" si="14"/>
        <v>0</v>
      </c>
      <c r="AH35" s="9">
        <f t="shared" ca="1" si="15"/>
        <v>0</v>
      </c>
      <c r="AM35" s="190">
        <f t="shared" si="6"/>
        <v>995.75</v>
      </c>
      <c r="AN35" s="190">
        <f>SUM(F24:F35)</f>
        <v>8281.3499999999985</v>
      </c>
      <c r="AO35" s="190">
        <f>LARGE(F24:F35,1)</f>
        <v>1054.9000000000001</v>
      </c>
    </row>
    <row r="36" spans="1:41" x14ac:dyDescent="0.25">
      <c r="A36" s="68">
        <f t="shared" si="1"/>
        <v>13</v>
      </c>
      <c r="B36" s="68" t="str">
        <f t="shared" si="2"/>
        <v>amortização</v>
      </c>
      <c r="C36" s="156">
        <f t="shared" si="7"/>
        <v>283.91999999999996</v>
      </c>
      <c r="D36" s="156">
        <f t="shared" ref="D36:D71" si="16">IF(C36="","",IF(A36&lt;=B$16,0,E$23/(B$17-B$16)))</f>
        <v>700</v>
      </c>
      <c r="E36" s="162">
        <f t="shared" si="4"/>
        <v>16100</v>
      </c>
      <c r="F36" s="156">
        <f t="shared" si="5"/>
        <v>983.92</v>
      </c>
      <c r="G36" s="67"/>
      <c r="AA36" s="2">
        <f t="shared" si="9"/>
        <v>7</v>
      </c>
      <c r="AB36" s="8">
        <f t="shared" ca="1" si="10"/>
        <v>46450</v>
      </c>
      <c r="AC36" s="9">
        <f t="shared" ca="1" si="11"/>
        <v>20300</v>
      </c>
      <c r="AD36" s="9">
        <f t="shared" si="8"/>
        <v>700</v>
      </c>
      <c r="AE36" s="2">
        <f t="shared" ca="1" si="12"/>
        <v>30</v>
      </c>
      <c r="AF36" s="2">
        <f t="shared" ca="1" si="13"/>
        <v>210</v>
      </c>
      <c r="AG36" s="9">
        <f t="shared" ca="1" si="14"/>
        <v>6.0270000000000001</v>
      </c>
      <c r="AH36" s="9">
        <f t="shared" ca="1" si="15"/>
        <v>2.0139</v>
      </c>
      <c r="AM36" s="190">
        <f t="shared" si="6"/>
        <v>983.92</v>
      </c>
      <c r="AN36" s="190"/>
    </row>
    <row r="37" spans="1:41" x14ac:dyDescent="0.25">
      <c r="A37" s="68">
        <f t="shared" si="1"/>
        <v>14</v>
      </c>
      <c r="B37" s="68" t="str">
        <f t="shared" si="2"/>
        <v>amortização</v>
      </c>
      <c r="C37" s="156">
        <f t="shared" si="7"/>
        <v>272.08999999999997</v>
      </c>
      <c r="D37" s="156">
        <f t="shared" si="16"/>
        <v>700</v>
      </c>
      <c r="E37" s="162">
        <f t="shared" si="4"/>
        <v>15400</v>
      </c>
      <c r="F37" s="156">
        <f t="shared" si="5"/>
        <v>972.08999999999992</v>
      </c>
      <c r="G37" s="67"/>
      <c r="AA37" s="2">
        <f t="shared" si="9"/>
        <v>8</v>
      </c>
      <c r="AB37" s="8">
        <f t="shared" ca="1" si="10"/>
        <v>46480</v>
      </c>
      <c r="AC37" s="9">
        <f t="shared" ca="1" si="11"/>
        <v>19600</v>
      </c>
      <c r="AD37" s="9">
        <f t="shared" si="8"/>
        <v>700</v>
      </c>
      <c r="AE37" s="2">
        <f t="shared" ca="1" si="12"/>
        <v>30</v>
      </c>
      <c r="AF37" s="2">
        <f t="shared" ca="1" si="13"/>
        <v>240</v>
      </c>
      <c r="AG37" s="9">
        <f t="shared" ca="1" si="14"/>
        <v>6.8879999999999999</v>
      </c>
      <c r="AH37" s="9">
        <f t="shared" ca="1" si="15"/>
        <v>2.3015999999999996</v>
      </c>
      <c r="AM37" s="190">
        <f t="shared" si="6"/>
        <v>972.08999999999992</v>
      </c>
      <c r="AN37" s="190"/>
    </row>
    <row r="38" spans="1:41" x14ac:dyDescent="0.25">
      <c r="A38" s="68">
        <f t="shared" si="1"/>
        <v>15</v>
      </c>
      <c r="B38" s="68" t="str">
        <f t="shared" si="2"/>
        <v>amortização</v>
      </c>
      <c r="C38" s="156">
        <f t="shared" si="7"/>
        <v>260.26</v>
      </c>
      <c r="D38" s="156">
        <f t="shared" si="16"/>
        <v>700</v>
      </c>
      <c r="E38" s="162">
        <f t="shared" si="4"/>
        <v>14700</v>
      </c>
      <c r="F38" s="156">
        <f t="shared" si="5"/>
        <v>960.26</v>
      </c>
      <c r="G38" s="67"/>
      <c r="AA38" s="2">
        <f t="shared" si="9"/>
        <v>9</v>
      </c>
      <c r="AB38" s="8">
        <f t="shared" ca="1" si="10"/>
        <v>46510</v>
      </c>
      <c r="AC38" s="9">
        <f t="shared" ca="1" si="11"/>
        <v>18900</v>
      </c>
      <c r="AD38" s="9">
        <f t="shared" si="8"/>
        <v>700</v>
      </c>
      <c r="AE38" s="2">
        <f t="shared" ca="1" si="12"/>
        <v>30</v>
      </c>
      <c r="AF38" s="2">
        <f t="shared" ca="1" si="13"/>
        <v>270</v>
      </c>
      <c r="AG38" s="9">
        <f t="shared" ca="1" si="14"/>
        <v>7.7489999999999997</v>
      </c>
      <c r="AH38" s="9">
        <f t="shared" ca="1" si="15"/>
        <v>2.5892999999999997</v>
      </c>
      <c r="AM38" s="190">
        <f t="shared" si="6"/>
        <v>960.26</v>
      </c>
      <c r="AN38" s="190"/>
    </row>
    <row r="39" spans="1:41" x14ac:dyDescent="0.25">
      <c r="A39" s="68">
        <f t="shared" si="1"/>
        <v>16</v>
      </c>
      <c r="B39" s="68" t="str">
        <f t="shared" si="2"/>
        <v>amortização</v>
      </c>
      <c r="C39" s="156">
        <f t="shared" si="7"/>
        <v>248.42999999999998</v>
      </c>
      <c r="D39" s="156">
        <f t="shared" si="16"/>
        <v>700</v>
      </c>
      <c r="E39" s="162">
        <f t="shared" si="4"/>
        <v>14000</v>
      </c>
      <c r="F39" s="156">
        <f t="shared" si="5"/>
        <v>948.43</v>
      </c>
      <c r="G39" s="67"/>
      <c r="AA39" s="2">
        <f t="shared" si="9"/>
        <v>10</v>
      </c>
      <c r="AB39" s="8">
        <f t="shared" ca="1" si="10"/>
        <v>46540</v>
      </c>
      <c r="AC39" s="9">
        <f t="shared" ca="1" si="11"/>
        <v>18200</v>
      </c>
      <c r="AD39" s="9">
        <f t="shared" si="8"/>
        <v>700</v>
      </c>
      <c r="AE39" s="2">
        <f t="shared" ca="1" si="12"/>
        <v>30</v>
      </c>
      <c r="AF39" s="2">
        <f t="shared" ca="1" si="13"/>
        <v>300</v>
      </c>
      <c r="AG39" s="9">
        <f t="shared" ca="1" si="14"/>
        <v>8.61</v>
      </c>
      <c r="AH39" s="9">
        <f t="shared" ca="1" si="15"/>
        <v>2.8769999999999998</v>
      </c>
      <c r="AM39" s="190">
        <f t="shared" si="6"/>
        <v>948.43</v>
      </c>
      <c r="AN39" s="190"/>
    </row>
    <row r="40" spans="1:41" x14ac:dyDescent="0.25">
      <c r="A40" s="68">
        <f t="shared" si="1"/>
        <v>17</v>
      </c>
      <c r="B40" s="68" t="str">
        <f t="shared" si="2"/>
        <v>amortização</v>
      </c>
      <c r="C40" s="156">
        <f t="shared" si="7"/>
        <v>236.59999999999997</v>
      </c>
      <c r="D40" s="156">
        <f t="shared" si="16"/>
        <v>700</v>
      </c>
      <c r="E40" s="162">
        <f t="shared" si="4"/>
        <v>13300</v>
      </c>
      <c r="F40" s="156">
        <f t="shared" si="5"/>
        <v>936.59999999999991</v>
      </c>
      <c r="G40" s="67"/>
      <c r="AA40" s="2">
        <f t="shared" si="9"/>
        <v>11</v>
      </c>
      <c r="AB40" s="8">
        <f t="shared" ca="1" si="10"/>
        <v>46570</v>
      </c>
      <c r="AC40" s="9">
        <f t="shared" ca="1" si="11"/>
        <v>17500</v>
      </c>
      <c r="AD40" s="9">
        <f t="shared" si="8"/>
        <v>700</v>
      </c>
      <c r="AE40" s="2">
        <f t="shared" ca="1" si="12"/>
        <v>30</v>
      </c>
      <c r="AF40" s="2">
        <f t="shared" ca="1" si="13"/>
        <v>330</v>
      </c>
      <c r="AG40" s="9">
        <f t="shared" ca="1" si="14"/>
        <v>9.4710000000000001</v>
      </c>
      <c r="AH40" s="9">
        <f t="shared" ca="1" si="15"/>
        <v>3.1646999999999998</v>
      </c>
      <c r="AM40" s="190">
        <f t="shared" si="6"/>
        <v>936.59999999999991</v>
      </c>
      <c r="AN40" s="190"/>
    </row>
    <row r="41" spans="1:41" x14ac:dyDescent="0.25">
      <c r="A41" s="68">
        <f t="shared" si="1"/>
        <v>18</v>
      </c>
      <c r="B41" s="68" t="str">
        <f t="shared" si="2"/>
        <v>amortização</v>
      </c>
      <c r="C41" s="156">
        <f t="shared" si="7"/>
        <v>224.76999999999998</v>
      </c>
      <c r="D41" s="156">
        <f t="shared" si="16"/>
        <v>700</v>
      </c>
      <c r="E41" s="162">
        <f t="shared" si="4"/>
        <v>12600</v>
      </c>
      <c r="F41" s="156">
        <f t="shared" si="5"/>
        <v>924.77</v>
      </c>
      <c r="G41" s="67"/>
      <c r="AA41" s="2">
        <f t="shared" si="9"/>
        <v>12</v>
      </c>
      <c r="AB41" s="8">
        <f t="shared" ca="1" si="10"/>
        <v>46600</v>
      </c>
      <c r="AC41" s="9">
        <f t="shared" ca="1" si="11"/>
        <v>16800</v>
      </c>
      <c r="AD41" s="9">
        <f t="shared" si="8"/>
        <v>700</v>
      </c>
      <c r="AE41" s="2">
        <f t="shared" ca="1" si="12"/>
        <v>30</v>
      </c>
      <c r="AF41" s="2">
        <f t="shared" ca="1" si="13"/>
        <v>360</v>
      </c>
      <c r="AG41" s="9">
        <f t="shared" ca="1" si="14"/>
        <v>10.332000000000001</v>
      </c>
      <c r="AH41" s="9">
        <f t="shared" ca="1" si="15"/>
        <v>3.4523999999999999</v>
      </c>
      <c r="AM41" s="190">
        <f t="shared" si="6"/>
        <v>924.77</v>
      </c>
      <c r="AN41" s="190"/>
    </row>
    <row r="42" spans="1:41" x14ac:dyDescent="0.25">
      <c r="A42" s="68">
        <f t="shared" si="1"/>
        <v>19</v>
      </c>
      <c r="B42" s="68" t="str">
        <f t="shared" si="2"/>
        <v>amortização</v>
      </c>
      <c r="C42" s="156">
        <f t="shared" si="7"/>
        <v>212.93999999999997</v>
      </c>
      <c r="D42" s="156">
        <f t="shared" si="16"/>
        <v>700</v>
      </c>
      <c r="E42" s="162">
        <f t="shared" si="4"/>
        <v>11900</v>
      </c>
      <c r="F42" s="156">
        <f t="shared" si="5"/>
        <v>912.93999999999994</v>
      </c>
      <c r="G42" s="67"/>
      <c r="AA42" s="2">
        <f t="shared" si="9"/>
        <v>13</v>
      </c>
      <c r="AB42" s="8">
        <f t="shared" ca="1" si="10"/>
        <v>46630</v>
      </c>
      <c r="AC42" s="9">
        <f ca="1">IF(AA42="","",IF(AB42&lt;=B$16,AC27,AC41-AD42))</f>
        <v>16100</v>
      </c>
      <c r="AD42" s="9">
        <f t="shared" si="8"/>
        <v>700</v>
      </c>
      <c r="AE42" s="2">
        <f t="shared" ca="1" si="12"/>
        <v>30</v>
      </c>
      <c r="AF42" s="2">
        <f t="shared" ca="1" si="13"/>
        <v>390</v>
      </c>
      <c r="AG42" s="9">
        <f t="shared" ca="1" si="14"/>
        <v>10.4755</v>
      </c>
      <c r="AH42" s="9">
        <f t="shared" ca="1" si="15"/>
        <v>3.5003499999999996</v>
      </c>
      <c r="AM42" s="190">
        <f t="shared" si="6"/>
        <v>912.93999999999994</v>
      </c>
      <c r="AN42" s="190"/>
    </row>
    <row r="43" spans="1:41" x14ac:dyDescent="0.25">
      <c r="A43" s="68">
        <f t="shared" si="1"/>
        <v>20</v>
      </c>
      <c r="B43" s="68" t="str">
        <f t="shared" si="2"/>
        <v>amortização</v>
      </c>
      <c r="C43" s="156">
        <f t="shared" si="7"/>
        <v>201.10999999999999</v>
      </c>
      <c r="D43" s="156">
        <f t="shared" si="16"/>
        <v>700</v>
      </c>
      <c r="E43" s="162">
        <f t="shared" si="4"/>
        <v>11200</v>
      </c>
      <c r="F43" s="156">
        <f t="shared" si="5"/>
        <v>901.11</v>
      </c>
      <c r="G43" s="67"/>
      <c r="AA43" s="2">
        <f t="shared" si="9"/>
        <v>14</v>
      </c>
      <c r="AB43" s="8">
        <f t="shared" ca="1" si="10"/>
        <v>46660</v>
      </c>
      <c r="AC43" s="9">
        <f t="shared" ca="1" si="11"/>
        <v>15400</v>
      </c>
      <c r="AD43" s="9">
        <f t="shared" si="8"/>
        <v>700</v>
      </c>
      <c r="AE43" s="2">
        <f t="shared" ca="1" si="12"/>
        <v>30</v>
      </c>
      <c r="AF43" s="2">
        <f t="shared" ca="1" si="13"/>
        <v>420</v>
      </c>
      <c r="AG43" s="9">
        <f t="shared" ca="1" si="14"/>
        <v>10.4755</v>
      </c>
      <c r="AH43" s="9">
        <f t="shared" ca="1" si="15"/>
        <v>3.5003499999999996</v>
      </c>
      <c r="AM43" s="190">
        <f t="shared" si="6"/>
        <v>901.11</v>
      </c>
      <c r="AN43" s="190"/>
    </row>
    <row r="44" spans="1:41" x14ac:dyDescent="0.25">
      <c r="A44" s="68">
        <f t="shared" si="1"/>
        <v>21</v>
      </c>
      <c r="B44" s="68" t="str">
        <f t="shared" si="2"/>
        <v>amortização</v>
      </c>
      <c r="C44" s="156">
        <f t="shared" si="7"/>
        <v>189.27999999999997</v>
      </c>
      <c r="D44" s="156">
        <f t="shared" si="16"/>
        <v>700</v>
      </c>
      <c r="E44" s="162">
        <f t="shared" si="4"/>
        <v>10500</v>
      </c>
      <c r="F44" s="156">
        <f t="shared" si="5"/>
        <v>889.28</v>
      </c>
      <c r="G44" s="67"/>
      <c r="AA44" s="2">
        <f t="shared" si="9"/>
        <v>15</v>
      </c>
      <c r="AB44" s="8">
        <f t="shared" ca="1" si="10"/>
        <v>46690</v>
      </c>
      <c r="AC44" s="9">
        <f t="shared" ca="1" si="11"/>
        <v>14700</v>
      </c>
      <c r="AD44" s="9">
        <f t="shared" si="8"/>
        <v>700</v>
      </c>
      <c r="AE44" s="2">
        <f t="shared" ca="1" si="12"/>
        <v>30</v>
      </c>
      <c r="AF44" s="2">
        <f t="shared" ca="1" si="13"/>
        <v>450</v>
      </c>
      <c r="AG44" s="9">
        <f t="shared" ca="1" si="14"/>
        <v>10.4755</v>
      </c>
      <c r="AH44" s="9">
        <f t="shared" ca="1" si="15"/>
        <v>3.5003499999999996</v>
      </c>
      <c r="AM44" s="190">
        <f t="shared" si="6"/>
        <v>889.28</v>
      </c>
      <c r="AN44" s="190"/>
    </row>
    <row r="45" spans="1:41" x14ac:dyDescent="0.25">
      <c r="A45" s="68">
        <f t="shared" si="1"/>
        <v>22</v>
      </c>
      <c r="B45" s="68" t="str">
        <f t="shared" si="2"/>
        <v>amortização</v>
      </c>
      <c r="C45" s="156">
        <f t="shared" si="7"/>
        <v>177.45</v>
      </c>
      <c r="D45" s="156">
        <f t="shared" si="16"/>
        <v>700</v>
      </c>
      <c r="E45" s="162">
        <f t="shared" si="4"/>
        <v>9800</v>
      </c>
      <c r="F45" s="156">
        <f t="shared" si="5"/>
        <v>877.45</v>
      </c>
      <c r="G45" s="67"/>
      <c r="AA45" s="2">
        <f t="shared" si="9"/>
        <v>16</v>
      </c>
      <c r="AB45" s="8">
        <f t="shared" ca="1" si="10"/>
        <v>46720</v>
      </c>
      <c r="AC45" s="9">
        <f t="shared" ca="1" si="11"/>
        <v>14000</v>
      </c>
      <c r="AD45" s="9">
        <f t="shared" si="8"/>
        <v>700</v>
      </c>
      <c r="AE45" s="2">
        <f t="shared" ca="1" si="12"/>
        <v>30</v>
      </c>
      <c r="AF45" s="2">
        <f t="shared" ca="1" si="13"/>
        <v>480</v>
      </c>
      <c r="AG45" s="9">
        <f t="shared" ca="1" si="14"/>
        <v>10.4755</v>
      </c>
      <c r="AH45" s="9">
        <f t="shared" ca="1" si="15"/>
        <v>3.5003499999999996</v>
      </c>
      <c r="AM45" s="190">
        <f t="shared" si="6"/>
        <v>877.45</v>
      </c>
      <c r="AN45" s="190"/>
    </row>
    <row r="46" spans="1:41" x14ac:dyDescent="0.25">
      <c r="A46" s="68">
        <f t="shared" si="1"/>
        <v>23</v>
      </c>
      <c r="B46" s="68" t="str">
        <f t="shared" si="2"/>
        <v>amortização</v>
      </c>
      <c r="C46" s="156">
        <f t="shared" si="7"/>
        <v>165.61999999999998</v>
      </c>
      <c r="D46" s="156">
        <f t="shared" si="16"/>
        <v>700</v>
      </c>
      <c r="E46" s="162">
        <f t="shared" si="4"/>
        <v>9100</v>
      </c>
      <c r="F46" s="156">
        <f t="shared" si="5"/>
        <v>865.62</v>
      </c>
      <c r="G46" s="67"/>
      <c r="AA46" s="2">
        <f t="shared" si="9"/>
        <v>17</v>
      </c>
      <c r="AB46" s="8">
        <f t="shared" ca="1" si="10"/>
        <v>46750</v>
      </c>
      <c r="AC46" s="9">
        <f t="shared" ca="1" si="11"/>
        <v>13300</v>
      </c>
      <c r="AD46" s="9">
        <f t="shared" si="8"/>
        <v>700</v>
      </c>
      <c r="AE46" s="2">
        <f t="shared" ca="1" si="12"/>
        <v>30</v>
      </c>
      <c r="AF46" s="2">
        <f t="shared" ca="1" si="13"/>
        <v>510</v>
      </c>
      <c r="AG46" s="9">
        <f t="shared" ca="1" si="14"/>
        <v>10.4755</v>
      </c>
      <c r="AH46" s="9">
        <f t="shared" ca="1" si="15"/>
        <v>3.5003499999999996</v>
      </c>
      <c r="AM46" s="190">
        <f t="shared" si="6"/>
        <v>865.62</v>
      </c>
      <c r="AN46" s="190"/>
    </row>
    <row r="47" spans="1:41" x14ac:dyDescent="0.25">
      <c r="A47" s="68">
        <f t="shared" si="1"/>
        <v>24</v>
      </c>
      <c r="B47" s="68" t="str">
        <f t="shared" si="2"/>
        <v>amortização</v>
      </c>
      <c r="C47" s="156">
        <f t="shared" si="7"/>
        <v>153.79</v>
      </c>
      <c r="D47" s="156">
        <f t="shared" si="16"/>
        <v>700</v>
      </c>
      <c r="E47" s="162">
        <f t="shared" si="4"/>
        <v>8400</v>
      </c>
      <c r="F47" s="156">
        <f t="shared" si="5"/>
        <v>853.79</v>
      </c>
      <c r="G47" s="67"/>
      <c r="AA47" s="2">
        <f t="shared" si="9"/>
        <v>18</v>
      </c>
      <c r="AB47" s="8">
        <f t="shared" ca="1" si="10"/>
        <v>46780</v>
      </c>
      <c r="AC47" s="9">
        <f t="shared" ca="1" si="11"/>
        <v>12600</v>
      </c>
      <c r="AD47" s="9">
        <f t="shared" si="8"/>
        <v>700</v>
      </c>
      <c r="AE47" s="2">
        <f t="shared" ca="1" si="12"/>
        <v>30</v>
      </c>
      <c r="AF47" s="2">
        <f t="shared" ca="1" si="13"/>
        <v>540</v>
      </c>
      <c r="AG47" s="9">
        <f t="shared" ca="1" si="14"/>
        <v>10.4755</v>
      </c>
      <c r="AH47" s="9">
        <f t="shared" ca="1" si="15"/>
        <v>3.5003499999999996</v>
      </c>
      <c r="AM47" s="190">
        <f t="shared" si="6"/>
        <v>853.79</v>
      </c>
      <c r="AN47" s="190">
        <f>SUM(F36:F47)</f>
        <v>11026.260000000002</v>
      </c>
      <c r="AO47" s="190">
        <f>LARGE(F36:F47,1)</f>
        <v>983.92</v>
      </c>
    </row>
    <row r="48" spans="1:41" x14ac:dyDescent="0.25">
      <c r="A48" s="68">
        <f t="shared" si="1"/>
        <v>25</v>
      </c>
      <c r="B48" s="68" t="str">
        <f t="shared" si="2"/>
        <v>amortização</v>
      </c>
      <c r="C48" s="156">
        <f t="shared" si="7"/>
        <v>141.95999999999998</v>
      </c>
      <c r="D48" s="156">
        <f t="shared" si="16"/>
        <v>700</v>
      </c>
      <c r="E48" s="162">
        <f t="shared" si="4"/>
        <v>7700</v>
      </c>
      <c r="F48" s="156">
        <f t="shared" si="5"/>
        <v>841.96</v>
      </c>
      <c r="G48" s="67"/>
      <c r="AA48" s="2">
        <f t="shared" si="9"/>
        <v>19</v>
      </c>
      <c r="AB48" s="8">
        <f t="shared" ca="1" si="10"/>
        <v>46810</v>
      </c>
      <c r="AC48" s="9">
        <f t="shared" ca="1" si="11"/>
        <v>11900</v>
      </c>
      <c r="AD48" s="9">
        <f t="shared" si="8"/>
        <v>700</v>
      </c>
      <c r="AE48" s="2">
        <f t="shared" ca="1" si="12"/>
        <v>30</v>
      </c>
      <c r="AF48" s="2">
        <f t="shared" ca="1" si="13"/>
        <v>570</v>
      </c>
      <c r="AG48" s="9">
        <f t="shared" ca="1" si="14"/>
        <v>10.4755</v>
      </c>
      <c r="AH48" s="9">
        <f t="shared" ca="1" si="15"/>
        <v>3.5003499999999996</v>
      </c>
    </row>
    <row r="49" spans="1:41" x14ac:dyDescent="0.25">
      <c r="A49" s="68">
        <f t="shared" si="1"/>
        <v>26</v>
      </c>
      <c r="B49" s="68" t="str">
        <f t="shared" si="2"/>
        <v>amortização</v>
      </c>
      <c r="C49" s="156">
        <f t="shared" si="7"/>
        <v>130.13</v>
      </c>
      <c r="D49" s="156">
        <f t="shared" si="16"/>
        <v>700</v>
      </c>
      <c r="E49" s="162">
        <f t="shared" si="4"/>
        <v>7000</v>
      </c>
      <c r="F49" s="156">
        <f t="shared" si="5"/>
        <v>830.13</v>
      </c>
      <c r="G49" s="67"/>
      <c r="AA49" s="2">
        <f t="shared" si="9"/>
        <v>20</v>
      </c>
      <c r="AB49" s="8">
        <f t="shared" ca="1" si="10"/>
        <v>46840</v>
      </c>
      <c r="AC49" s="9">
        <f t="shared" ca="1" si="11"/>
        <v>11200</v>
      </c>
      <c r="AD49" s="9">
        <f t="shared" si="8"/>
        <v>700</v>
      </c>
      <c r="AE49" s="2">
        <f t="shared" ca="1" si="12"/>
        <v>30</v>
      </c>
      <c r="AF49" s="2">
        <f t="shared" ca="1" si="13"/>
        <v>600</v>
      </c>
      <c r="AG49" s="9">
        <f t="shared" ca="1" si="14"/>
        <v>10.4755</v>
      </c>
      <c r="AH49" s="9">
        <f t="shared" ca="1" si="15"/>
        <v>3.5003499999999996</v>
      </c>
    </row>
    <row r="50" spans="1:41" x14ac:dyDescent="0.25">
      <c r="A50" s="68">
        <f t="shared" si="1"/>
        <v>27</v>
      </c>
      <c r="B50" s="68" t="str">
        <f t="shared" si="2"/>
        <v>amortização</v>
      </c>
      <c r="C50" s="156">
        <f t="shared" si="7"/>
        <v>118.29999999999998</v>
      </c>
      <c r="D50" s="156">
        <f t="shared" si="16"/>
        <v>700</v>
      </c>
      <c r="E50" s="162">
        <f t="shared" si="4"/>
        <v>6300</v>
      </c>
      <c r="F50" s="156">
        <f t="shared" si="5"/>
        <v>818.3</v>
      </c>
      <c r="G50" s="67"/>
      <c r="AA50" s="2">
        <f t="shared" si="9"/>
        <v>21</v>
      </c>
      <c r="AB50" s="8">
        <f t="shared" ca="1" si="10"/>
        <v>46870</v>
      </c>
      <c r="AC50" s="9">
        <f t="shared" ca="1" si="11"/>
        <v>10500</v>
      </c>
      <c r="AD50" s="9">
        <f t="shared" si="8"/>
        <v>700</v>
      </c>
      <c r="AE50" s="2">
        <f t="shared" ca="1" si="12"/>
        <v>30</v>
      </c>
      <c r="AF50" s="2">
        <f t="shared" ca="1" si="13"/>
        <v>630</v>
      </c>
      <c r="AG50" s="9">
        <f t="shared" ca="1" si="14"/>
        <v>10.4755</v>
      </c>
      <c r="AH50" s="9">
        <f t="shared" ca="1" si="15"/>
        <v>3.5003499999999996</v>
      </c>
    </row>
    <row r="51" spans="1:41" x14ac:dyDescent="0.25">
      <c r="A51" s="68">
        <f t="shared" si="1"/>
        <v>28</v>
      </c>
      <c r="B51" s="68" t="str">
        <f t="shared" si="2"/>
        <v>amortização</v>
      </c>
      <c r="C51" s="156">
        <f t="shared" si="7"/>
        <v>106.46999999999998</v>
      </c>
      <c r="D51" s="156">
        <f t="shared" si="16"/>
        <v>700</v>
      </c>
      <c r="E51" s="162">
        <f t="shared" si="4"/>
        <v>5600</v>
      </c>
      <c r="F51" s="156">
        <f t="shared" si="5"/>
        <v>806.47</v>
      </c>
      <c r="G51" s="67"/>
      <c r="AA51" s="2">
        <f t="shared" si="9"/>
        <v>22</v>
      </c>
      <c r="AB51" s="8">
        <f t="shared" ca="1" si="10"/>
        <v>46900</v>
      </c>
      <c r="AC51" s="9">
        <f t="shared" ca="1" si="11"/>
        <v>9800</v>
      </c>
      <c r="AD51" s="9">
        <f t="shared" si="8"/>
        <v>700</v>
      </c>
      <c r="AE51" s="2">
        <f t="shared" ca="1" si="12"/>
        <v>30</v>
      </c>
      <c r="AF51" s="2">
        <f t="shared" ca="1" si="13"/>
        <v>660</v>
      </c>
      <c r="AG51" s="9">
        <f t="shared" ca="1" si="14"/>
        <v>10.4755</v>
      </c>
      <c r="AH51" s="9">
        <f t="shared" ca="1" si="15"/>
        <v>3.5003499999999996</v>
      </c>
    </row>
    <row r="52" spans="1:41" x14ac:dyDescent="0.25">
      <c r="A52" s="68">
        <f t="shared" si="1"/>
        <v>29</v>
      </c>
      <c r="B52" s="68" t="str">
        <f t="shared" si="2"/>
        <v>amortização</v>
      </c>
      <c r="C52" s="156">
        <f t="shared" si="7"/>
        <v>94.639999999999986</v>
      </c>
      <c r="D52" s="156">
        <f t="shared" si="16"/>
        <v>700</v>
      </c>
      <c r="E52" s="162">
        <f t="shared" si="4"/>
        <v>4900</v>
      </c>
      <c r="F52" s="156">
        <f t="shared" si="5"/>
        <v>794.64</v>
      </c>
      <c r="G52" s="67"/>
      <c r="AA52" s="2">
        <f t="shared" si="9"/>
        <v>23</v>
      </c>
      <c r="AB52" s="8">
        <f t="shared" ca="1" si="10"/>
        <v>46930</v>
      </c>
      <c r="AC52" s="9">
        <f t="shared" ca="1" si="11"/>
        <v>9100</v>
      </c>
      <c r="AD52" s="9">
        <f t="shared" si="8"/>
        <v>700</v>
      </c>
      <c r="AE52" s="2">
        <f t="shared" ca="1" si="12"/>
        <v>30</v>
      </c>
      <c r="AF52" s="2">
        <f t="shared" ca="1" si="13"/>
        <v>690</v>
      </c>
      <c r="AG52" s="9">
        <f t="shared" ca="1" si="14"/>
        <v>10.4755</v>
      </c>
      <c r="AH52" s="9">
        <f t="shared" ca="1" si="15"/>
        <v>3.5003499999999996</v>
      </c>
    </row>
    <row r="53" spans="1:41" x14ac:dyDescent="0.25">
      <c r="A53" s="68">
        <f t="shared" si="1"/>
        <v>30</v>
      </c>
      <c r="B53" s="68" t="str">
        <f t="shared" si="2"/>
        <v>amortização</v>
      </c>
      <c r="C53" s="156">
        <f t="shared" si="7"/>
        <v>82.809999999999988</v>
      </c>
      <c r="D53" s="156">
        <f t="shared" si="16"/>
        <v>700</v>
      </c>
      <c r="E53" s="162">
        <f t="shared" si="4"/>
        <v>4200</v>
      </c>
      <c r="F53" s="156">
        <f t="shared" si="5"/>
        <v>782.81</v>
      </c>
      <c r="G53" s="67"/>
      <c r="AA53" s="2">
        <f t="shared" si="9"/>
        <v>24</v>
      </c>
      <c r="AB53" s="8">
        <f t="shared" ca="1" si="10"/>
        <v>46960</v>
      </c>
      <c r="AC53" s="9">
        <f t="shared" ca="1" si="11"/>
        <v>8400</v>
      </c>
      <c r="AD53" s="9">
        <f t="shared" si="8"/>
        <v>700</v>
      </c>
      <c r="AE53" s="2">
        <f t="shared" ca="1" si="12"/>
        <v>30</v>
      </c>
      <c r="AF53" s="2">
        <f t="shared" ca="1" si="13"/>
        <v>720</v>
      </c>
      <c r="AG53" s="9">
        <f t="shared" ca="1" si="14"/>
        <v>10.4755</v>
      </c>
      <c r="AH53" s="9">
        <f t="shared" ca="1" si="15"/>
        <v>3.5003499999999996</v>
      </c>
    </row>
    <row r="54" spans="1:41" x14ac:dyDescent="0.25">
      <c r="A54" s="68">
        <f t="shared" si="1"/>
        <v>31</v>
      </c>
      <c r="B54" s="68" t="str">
        <f t="shared" si="2"/>
        <v>amortização</v>
      </c>
      <c r="C54" s="156">
        <f t="shared" si="7"/>
        <v>70.97999999999999</v>
      </c>
      <c r="D54" s="156">
        <f t="shared" si="16"/>
        <v>700</v>
      </c>
      <c r="E54" s="162">
        <f t="shared" si="4"/>
        <v>3500</v>
      </c>
      <c r="F54" s="156">
        <f t="shared" si="5"/>
        <v>770.98</v>
      </c>
      <c r="G54" s="67"/>
      <c r="AA54" s="2">
        <f t="shared" si="9"/>
        <v>25</v>
      </c>
      <c r="AB54" s="8">
        <f t="shared" ca="1" si="10"/>
        <v>46990</v>
      </c>
      <c r="AC54" s="9">
        <f t="shared" ca="1" si="11"/>
        <v>7700</v>
      </c>
      <c r="AD54" s="9">
        <f t="shared" si="8"/>
        <v>700</v>
      </c>
      <c r="AE54" s="2">
        <f t="shared" ca="1" si="12"/>
        <v>30</v>
      </c>
      <c r="AF54" s="2">
        <f t="shared" ca="1" si="13"/>
        <v>750</v>
      </c>
      <c r="AG54" s="9">
        <f t="shared" ca="1" si="14"/>
        <v>10.4755</v>
      </c>
      <c r="AH54" s="9">
        <f t="shared" ca="1" si="15"/>
        <v>3.5003499999999996</v>
      </c>
    </row>
    <row r="55" spans="1:41" x14ac:dyDescent="0.25">
      <c r="A55" s="68">
        <f t="shared" si="1"/>
        <v>32</v>
      </c>
      <c r="B55" s="68" t="str">
        <f t="shared" si="2"/>
        <v>amortização</v>
      </c>
      <c r="C55" s="156">
        <f t="shared" si="7"/>
        <v>59.149999999999991</v>
      </c>
      <c r="D55" s="156">
        <f t="shared" si="16"/>
        <v>700</v>
      </c>
      <c r="E55" s="162">
        <f t="shared" si="4"/>
        <v>2800</v>
      </c>
      <c r="F55" s="156">
        <f t="shared" si="5"/>
        <v>759.15</v>
      </c>
      <c r="G55" s="67"/>
      <c r="AA55" s="2">
        <f t="shared" si="9"/>
        <v>26</v>
      </c>
      <c r="AB55" s="8">
        <f t="shared" ca="1" si="10"/>
        <v>47020</v>
      </c>
      <c r="AC55" s="9">
        <f t="shared" ca="1" si="11"/>
        <v>7000</v>
      </c>
      <c r="AD55" s="9">
        <f t="shared" si="8"/>
        <v>700</v>
      </c>
      <c r="AE55" s="2">
        <f t="shared" ca="1" si="12"/>
        <v>30</v>
      </c>
      <c r="AF55" s="2">
        <f t="shared" ca="1" si="13"/>
        <v>780</v>
      </c>
      <c r="AG55" s="9">
        <f t="shared" ca="1" si="14"/>
        <v>10.4755</v>
      </c>
      <c r="AH55" s="9">
        <f t="shared" ca="1" si="15"/>
        <v>3.5003499999999996</v>
      </c>
    </row>
    <row r="56" spans="1:41" x14ac:dyDescent="0.25">
      <c r="A56" s="68">
        <f t="shared" si="1"/>
        <v>33</v>
      </c>
      <c r="B56" s="68" t="str">
        <f t="shared" si="2"/>
        <v>amortização</v>
      </c>
      <c r="C56" s="156">
        <f t="shared" si="7"/>
        <v>47.319999999999993</v>
      </c>
      <c r="D56" s="156">
        <f t="shared" si="16"/>
        <v>700</v>
      </c>
      <c r="E56" s="162">
        <f t="shared" si="4"/>
        <v>2100</v>
      </c>
      <c r="F56" s="156">
        <f t="shared" si="5"/>
        <v>747.31999999999994</v>
      </c>
      <c r="G56" s="67"/>
      <c r="AA56" s="2">
        <f t="shared" si="9"/>
        <v>27</v>
      </c>
      <c r="AB56" s="8">
        <f t="shared" ca="1" si="10"/>
        <v>47050</v>
      </c>
      <c r="AC56" s="9">
        <f t="shared" ca="1" si="11"/>
        <v>6300</v>
      </c>
      <c r="AD56" s="9">
        <f t="shared" si="8"/>
        <v>700</v>
      </c>
      <c r="AE56" s="2">
        <f t="shared" ca="1" si="12"/>
        <v>30</v>
      </c>
      <c r="AF56" s="2">
        <f t="shared" ca="1" si="13"/>
        <v>810</v>
      </c>
      <c r="AG56" s="9">
        <f t="shared" ca="1" si="14"/>
        <v>10.4755</v>
      </c>
      <c r="AH56" s="9">
        <f t="shared" ca="1" si="15"/>
        <v>3.5003499999999996</v>
      </c>
    </row>
    <row r="57" spans="1:41" x14ac:dyDescent="0.25">
      <c r="A57" s="68">
        <f t="shared" si="1"/>
        <v>34</v>
      </c>
      <c r="B57" s="68" t="str">
        <f t="shared" si="2"/>
        <v>amortização</v>
      </c>
      <c r="C57" s="156">
        <f t="shared" si="7"/>
        <v>35.489999999999995</v>
      </c>
      <c r="D57" s="156">
        <f t="shared" si="16"/>
        <v>700</v>
      </c>
      <c r="E57" s="162">
        <f t="shared" si="4"/>
        <v>1400</v>
      </c>
      <c r="F57" s="156">
        <f t="shared" si="5"/>
        <v>735.49</v>
      </c>
      <c r="G57" s="67"/>
      <c r="AA57" s="2">
        <f t="shared" si="9"/>
        <v>28</v>
      </c>
      <c r="AB57" s="8">
        <f t="shared" ca="1" si="10"/>
        <v>47080</v>
      </c>
      <c r="AC57" s="9">
        <f t="shared" ca="1" si="11"/>
        <v>5600</v>
      </c>
      <c r="AD57" s="9">
        <f t="shared" si="8"/>
        <v>700</v>
      </c>
      <c r="AE57" s="2">
        <f t="shared" ca="1" si="12"/>
        <v>30</v>
      </c>
      <c r="AF57" s="2">
        <f t="shared" ca="1" si="13"/>
        <v>840</v>
      </c>
      <c r="AG57" s="9">
        <f t="shared" ca="1" si="14"/>
        <v>10.4755</v>
      </c>
      <c r="AH57" s="9">
        <f t="shared" ca="1" si="15"/>
        <v>3.5003499999999996</v>
      </c>
    </row>
    <row r="58" spans="1:41" x14ac:dyDescent="0.25">
      <c r="A58" s="68">
        <f t="shared" si="1"/>
        <v>35</v>
      </c>
      <c r="B58" s="68" t="str">
        <f t="shared" si="2"/>
        <v>amortização</v>
      </c>
      <c r="C58" s="156">
        <f t="shared" si="7"/>
        <v>23.659999999999997</v>
      </c>
      <c r="D58" s="156">
        <f t="shared" si="16"/>
        <v>700</v>
      </c>
      <c r="E58" s="162">
        <f t="shared" si="4"/>
        <v>700</v>
      </c>
      <c r="F58" s="156">
        <f t="shared" si="5"/>
        <v>723.66</v>
      </c>
      <c r="G58" s="67"/>
      <c r="AA58" s="2">
        <f t="shared" si="9"/>
        <v>29</v>
      </c>
      <c r="AB58" s="8">
        <f t="shared" ca="1" si="10"/>
        <v>47110</v>
      </c>
      <c r="AC58" s="9">
        <f t="shared" ca="1" si="11"/>
        <v>4900</v>
      </c>
      <c r="AD58" s="9">
        <f t="shared" si="8"/>
        <v>700</v>
      </c>
      <c r="AE58" s="2">
        <f t="shared" ca="1" si="12"/>
        <v>30</v>
      </c>
      <c r="AF58" s="2">
        <f t="shared" ca="1" si="13"/>
        <v>870</v>
      </c>
      <c r="AG58" s="9">
        <f t="shared" ca="1" si="14"/>
        <v>10.4755</v>
      </c>
      <c r="AH58" s="9">
        <f t="shared" ca="1" si="15"/>
        <v>3.5003499999999996</v>
      </c>
    </row>
    <row r="59" spans="1:41" x14ac:dyDescent="0.25">
      <c r="A59" s="68">
        <f t="shared" si="1"/>
        <v>36</v>
      </c>
      <c r="B59" s="68" t="str">
        <f t="shared" si="2"/>
        <v>amortização</v>
      </c>
      <c r="C59" s="156">
        <f t="shared" si="7"/>
        <v>11.829999999999998</v>
      </c>
      <c r="D59" s="156">
        <f t="shared" si="16"/>
        <v>700</v>
      </c>
      <c r="E59" s="162">
        <f t="shared" si="4"/>
        <v>0</v>
      </c>
      <c r="F59" s="156">
        <f t="shared" si="5"/>
        <v>711.83</v>
      </c>
      <c r="G59" s="67"/>
      <c r="AA59" s="2">
        <f t="shared" si="9"/>
        <v>30</v>
      </c>
      <c r="AB59" s="8">
        <f t="shared" ca="1" si="10"/>
        <v>47140</v>
      </c>
      <c r="AC59" s="9">
        <f t="shared" ca="1" si="11"/>
        <v>4200</v>
      </c>
      <c r="AD59" s="9">
        <f t="shared" si="8"/>
        <v>700</v>
      </c>
      <c r="AE59" s="2">
        <f t="shared" ca="1" si="12"/>
        <v>30</v>
      </c>
      <c r="AF59" s="2">
        <f t="shared" ca="1" si="13"/>
        <v>900</v>
      </c>
      <c r="AG59" s="9">
        <f t="shared" ca="1" si="14"/>
        <v>10.4755</v>
      </c>
      <c r="AH59" s="9">
        <f t="shared" ca="1" si="15"/>
        <v>3.5003499999999996</v>
      </c>
      <c r="AN59" s="190">
        <f>SUM(F48:F59)</f>
        <v>9322.74</v>
      </c>
      <c r="AO59" s="190">
        <f>LARGE(F48:F59,1)</f>
        <v>841.96</v>
      </c>
    </row>
    <row r="60" spans="1:41" x14ac:dyDescent="0.25">
      <c r="A60" s="68" t="str">
        <f t="shared" si="1"/>
        <v/>
      </c>
      <c r="B60" s="68" t="str">
        <f t="shared" si="2"/>
        <v/>
      </c>
      <c r="C60" s="156" t="str">
        <f t="shared" si="7"/>
        <v/>
      </c>
      <c r="D60" s="156" t="str">
        <f t="shared" si="16"/>
        <v/>
      </c>
      <c r="E60" s="162" t="str">
        <f t="shared" si="4"/>
        <v/>
      </c>
      <c r="F60" s="156" t="str">
        <f t="shared" si="5"/>
        <v/>
      </c>
      <c r="G60" s="67"/>
      <c r="AA60" s="2">
        <f t="shared" si="9"/>
        <v>31</v>
      </c>
      <c r="AB60" s="8">
        <f t="shared" ca="1" si="10"/>
        <v>47170</v>
      </c>
      <c r="AC60" s="9">
        <f t="shared" ca="1" si="11"/>
        <v>3500</v>
      </c>
      <c r="AD60" s="9">
        <f t="shared" si="8"/>
        <v>700</v>
      </c>
      <c r="AE60" s="2">
        <f t="shared" ca="1" si="12"/>
        <v>30</v>
      </c>
      <c r="AF60" s="2">
        <f t="shared" ca="1" si="13"/>
        <v>930</v>
      </c>
      <c r="AG60" s="9">
        <f t="shared" ca="1" si="14"/>
        <v>10.4755</v>
      </c>
      <c r="AH60" s="9">
        <f t="shared" ca="1" si="15"/>
        <v>3.5003499999999996</v>
      </c>
    </row>
    <row r="61" spans="1:41" x14ac:dyDescent="0.25">
      <c r="A61" s="68" t="str">
        <f t="shared" si="1"/>
        <v/>
      </c>
      <c r="B61" s="68" t="str">
        <f t="shared" si="2"/>
        <v/>
      </c>
      <c r="C61" s="156" t="str">
        <f t="shared" si="7"/>
        <v/>
      </c>
      <c r="D61" s="156" t="str">
        <f t="shared" si="16"/>
        <v/>
      </c>
      <c r="E61" s="162" t="str">
        <f t="shared" si="4"/>
        <v/>
      </c>
      <c r="F61" s="156" t="str">
        <f t="shared" si="5"/>
        <v/>
      </c>
      <c r="G61" s="67"/>
      <c r="AA61" s="2">
        <f t="shared" si="9"/>
        <v>32</v>
      </c>
      <c r="AB61" s="8">
        <f t="shared" ca="1" si="10"/>
        <v>47200</v>
      </c>
      <c r="AC61" s="9">
        <f t="shared" ca="1" si="11"/>
        <v>2800</v>
      </c>
      <c r="AD61" s="9">
        <f t="shared" si="8"/>
        <v>700</v>
      </c>
      <c r="AE61" s="2">
        <f t="shared" ca="1" si="12"/>
        <v>30</v>
      </c>
      <c r="AF61" s="2">
        <f t="shared" ca="1" si="13"/>
        <v>960</v>
      </c>
      <c r="AG61" s="9">
        <f t="shared" ca="1" si="14"/>
        <v>10.4755</v>
      </c>
      <c r="AH61" s="9">
        <f t="shared" ca="1" si="15"/>
        <v>3.5003499999999996</v>
      </c>
    </row>
    <row r="62" spans="1:41" x14ac:dyDescent="0.25">
      <c r="A62" s="68" t="str">
        <f t="shared" si="1"/>
        <v/>
      </c>
      <c r="B62" s="68" t="str">
        <f t="shared" si="2"/>
        <v/>
      </c>
      <c r="C62" s="156" t="str">
        <f t="shared" si="7"/>
        <v/>
      </c>
      <c r="D62" s="156" t="str">
        <f t="shared" si="16"/>
        <v/>
      </c>
      <c r="E62" s="162" t="str">
        <f t="shared" si="4"/>
        <v/>
      </c>
      <c r="F62" s="156" t="str">
        <f t="shared" si="5"/>
        <v/>
      </c>
      <c r="G62" s="67"/>
      <c r="AA62" s="2">
        <f t="shared" si="9"/>
        <v>33</v>
      </c>
      <c r="AB62" s="8">
        <f t="shared" ca="1" si="10"/>
        <v>47230</v>
      </c>
      <c r="AC62" s="9">
        <f t="shared" ca="1" si="11"/>
        <v>2100</v>
      </c>
      <c r="AD62" s="9">
        <f t="shared" si="8"/>
        <v>700</v>
      </c>
      <c r="AE62" s="2">
        <f t="shared" ca="1" si="12"/>
        <v>30</v>
      </c>
      <c r="AF62" s="2">
        <f t="shared" ca="1" si="13"/>
        <v>990</v>
      </c>
      <c r="AG62" s="9">
        <f t="shared" ca="1" si="14"/>
        <v>10.4755</v>
      </c>
      <c r="AH62" s="9">
        <f t="shared" ca="1" si="15"/>
        <v>3.5003499999999996</v>
      </c>
    </row>
    <row r="63" spans="1:41" x14ac:dyDescent="0.25">
      <c r="A63" s="68" t="str">
        <f t="shared" si="1"/>
        <v/>
      </c>
      <c r="B63" s="68" t="str">
        <f t="shared" si="2"/>
        <v/>
      </c>
      <c r="C63" s="156" t="str">
        <f t="shared" si="7"/>
        <v/>
      </c>
      <c r="D63" s="156" t="str">
        <f t="shared" si="16"/>
        <v/>
      </c>
      <c r="E63" s="162" t="str">
        <f t="shared" si="4"/>
        <v/>
      </c>
      <c r="F63" s="156" t="str">
        <f t="shared" si="5"/>
        <v/>
      </c>
      <c r="G63" s="67"/>
      <c r="AA63" s="2">
        <f t="shared" si="9"/>
        <v>34</v>
      </c>
      <c r="AB63" s="8">
        <f t="shared" ca="1" si="10"/>
        <v>47260</v>
      </c>
      <c r="AC63" s="9">
        <f t="shared" ca="1" si="11"/>
        <v>1400</v>
      </c>
      <c r="AD63" s="9">
        <f t="shared" si="8"/>
        <v>700</v>
      </c>
      <c r="AE63" s="2">
        <f t="shared" ca="1" si="12"/>
        <v>30</v>
      </c>
      <c r="AF63" s="2">
        <f t="shared" ca="1" si="13"/>
        <v>1020</v>
      </c>
      <c r="AG63" s="9">
        <f t="shared" ca="1" si="14"/>
        <v>10.4755</v>
      </c>
      <c r="AH63" s="9">
        <f t="shared" ca="1" si="15"/>
        <v>3.5003499999999996</v>
      </c>
    </row>
    <row r="64" spans="1:41" x14ac:dyDescent="0.25">
      <c r="A64" s="68" t="str">
        <f t="shared" si="1"/>
        <v/>
      </c>
      <c r="B64" s="68" t="str">
        <f t="shared" si="2"/>
        <v/>
      </c>
      <c r="C64" s="156" t="str">
        <f t="shared" si="7"/>
        <v/>
      </c>
      <c r="D64" s="156" t="str">
        <f t="shared" si="16"/>
        <v/>
      </c>
      <c r="E64" s="162" t="str">
        <f t="shared" si="4"/>
        <v/>
      </c>
      <c r="F64" s="156" t="str">
        <f t="shared" si="5"/>
        <v/>
      </c>
      <c r="G64" s="67"/>
      <c r="AA64" s="2">
        <f t="shared" si="9"/>
        <v>35</v>
      </c>
      <c r="AB64" s="8">
        <f t="shared" ca="1" si="10"/>
        <v>47290</v>
      </c>
      <c r="AC64" s="9">
        <f t="shared" ca="1" si="11"/>
        <v>700</v>
      </c>
      <c r="AD64" s="9">
        <f t="shared" si="8"/>
        <v>700</v>
      </c>
      <c r="AE64" s="2">
        <f t="shared" ca="1" si="12"/>
        <v>30</v>
      </c>
      <c r="AF64" s="2">
        <f t="shared" ca="1" si="13"/>
        <v>1050</v>
      </c>
      <c r="AG64" s="9">
        <f t="shared" ca="1" si="14"/>
        <v>10.4755</v>
      </c>
      <c r="AH64" s="9">
        <f t="shared" ca="1" si="15"/>
        <v>3.5003499999999996</v>
      </c>
    </row>
    <row r="65" spans="1:34" x14ac:dyDescent="0.25">
      <c r="A65" s="68" t="str">
        <f t="shared" si="1"/>
        <v/>
      </c>
      <c r="B65" s="68" t="str">
        <f t="shared" si="2"/>
        <v/>
      </c>
      <c r="C65" s="156" t="str">
        <f t="shared" si="7"/>
        <v/>
      </c>
      <c r="D65" s="156" t="str">
        <f t="shared" si="16"/>
        <v/>
      </c>
      <c r="E65" s="162" t="str">
        <f t="shared" si="4"/>
        <v/>
      </c>
      <c r="F65" s="156" t="str">
        <f t="shared" si="5"/>
        <v/>
      </c>
      <c r="G65" s="67"/>
      <c r="AA65" s="2">
        <f t="shared" si="9"/>
        <v>36</v>
      </c>
      <c r="AB65" s="8">
        <f t="shared" ca="1" si="10"/>
        <v>47320</v>
      </c>
      <c r="AC65" s="9">
        <f t="shared" ca="1" si="11"/>
        <v>0</v>
      </c>
      <c r="AD65" s="9">
        <f t="shared" si="8"/>
        <v>700</v>
      </c>
      <c r="AE65" s="2">
        <f t="shared" ca="1" si="12"/>
        <v>30</v>
      </c>
      <c r="AF65" s="2">
        <f t="shared" ca="1" si="13"/>
        <v>1080</v>
      </c>
      <c r="AG65" s="9">
        <f t="shared" ca="1" si="14"/>
        <v>10.4755</v>
      </c>
      <c r="AH65" s="9">
        <f t="shared" ca="1" si="15"/>
        <v>3.5003499999999996</v>
      </c>
    </row>
    <row r="66" spans="1:34" x14ac:dyDescent="0.25">
      <c r="A66" s="68" t="str">
        <f t="shared" si="1"/>
        <v/>
      </c>
      <c r="B66" s="68" t="str">
        <f t="shared" si="2"/>
        <v/>
      </c>
      <c r="C66" s="156" t="str">
        <f t="shared" si="7"/>
        <v/>
      </c>
      <c r="D66" s="156" t="str">
        <f t="shared" si="16"/>
        <v/>
      </c>
      <c r="E66" s="162" t="str">
        <f t="shared" si="4"/>
        <v/>
      </c>
      <c r="F66" s="156" t="str">
        <f t="shared" si="5"/>
        <v/>
      </c>
      <c r="G66" s="67"/>
      <c r="AA66" s="2" t="str">
        <f t="shared" si="9"/>
        <v/>
      </c>
      <c r="AB66" s="8" t="str">
        <f t="shared" si="10"/>
        <v/>
      </c>
      <c r="AC66" s="9" t="str">
        <f t="shared" si="11"/>
        <v/>
      </c>
      <c r="AD66" s="9" t="str">
        <f t="shared" si="8"/>
        <v/>
      </c>
      <c r="AE66" s="2" t="str">
        <f t="shared" si="12"/>
        <v/>
      </c>
      <c r="AF66" s="2" t="str">
        <f t="shared" si="13"/>
        <v/>
      </c>
      <c r="AG66" s="9" t="str">
        <f t="shared" si="14"/>
        <v/>
      </c>
      <c r="AH66" s="9" t="str">
        <f t="shared" si="15"/>
        <v/>
      </c>
    </row>
    <row r="67" spans="1:34" x14ac:dyDescent="0.25">
      <c r="A67" s="68" t="str">
        <f t="shared" si="1"/>
        <v/>
      </c>
      <c r="B67" s="68" t="str">
        <f t="shared" si="2"/>
        <v/>
      </c>
      <c r="C67" s="156" t="str">
        <f t="shared" si="7"/>
        <v/>
      </c>
      <c r="D67" s="156" t="str">
        <f t="shared" si="16"/>
        <v/>
      </c>
      <c r="E67" s="162" t="str">
        <f t="shared" si="4"/>
        <v/>
      </c>
      <c r="F67" s="156" t="str">
        <f t="shared" si="5"/>
        <v/>
      </c>
      <c r="G67" s="67"/>
      <c r="AA67" s="2" t="str">
        <f t="shared" si="9"/>
        <v/>
      </c>
      <c r="AB67" s="8" t="str">
        <f t="shared" si="10"/>
        <v/>
      </c>
      <c r="AC67" s="9" t="str">
        <f t="shared" si="11"/>
        <v/>
      </c>
      <c r="AD67" s="9" t="str">
        <f t="shared" si="8"/>
        <v/>
      </c>
      <c r="AE67" s="2" t="str">
        <f t="shared" si="12"/>
        <v/>
      </c>
      <c r="AF67" s="2" t="str">
        <f t="shared" si="13"/>
        <v/>
      </c>
      <c r="AG67" s="9" t="str">
        <f t="shared" si="14"/>
        <v/>
      </c>
      <c r="AH67" s="9" t="str">
        <f t="shared" si="15"/>
        <v/>
      </c>
    </row>
    <row r="68" spans="1:34" x14ac:dyDescent="0.25">
      <c r="A68" s="68" t="str">
        <f t="shared" si="1"/>
        <v/>
      </c>
      <c r="B68" s="68" t="str">
        <f t="shared" si="2"/>
        <v/>
      </c>
      <c r="C68" s="156" t="str">
        <f t="shared" si="7"/>
        <v/>
      </c>
      <c r="D68" s="156" t="str">
        <f t="shared" si="16"/>
        <v/>
      </c>
      <c r="E68" s="162" t="str">
        <f t="shared" si="4"/>
        <v/>
      </c>
      <c r="F68" s="156" t="str">
        <f t="shared" si="5"/>
        <v/>
      </c>
      <c r="G68" s="67"/>
      <c r="AA68" s="2" t="str">
        <f t="shared" si="9"/>
        <v/>
      </c>
      <c r="AB68" s="8" t="str">
        <f t="shared" si="10"/>
        <v/>
      </c>
      <c r="AC68" s="9" t="str">
        <f t="shared" si="11"/>
        <v/>
      </c>
      <c r="AD68" s="9" t="str">
        <f t="shared" si="8"/>
        <v/>
      </c>
      <c r="AE68" s="2" t="str">
        <f t="shared" si="12"/>
        <v/>
      </c>
      <c r="AF68" s="2" t="str">
        <f t="shared" si="13"/>
        <v/>
      </c>
      <c r="AG68" s="9" t="str">
        <f t="shared" si="14"/>
        <v/>
      </c>
      <c r="AH68" s="9" t="str">
        <f t="shared" si="15"/>
        <v/>
      </c>
    </row>
    <row r="69" spans="1:34" x14ac:dyDescent="0.25">
      <c r="A69" s="68" t="str">
        <f t="shared" si="1"/>
        <v/>
      </c>
      <c r="B69" s="68" t="str">
        <f t="shared" si="2"/>
        <v/>
      </c>
      <c r="C69" s="156" t="str">
        <f t="shared" si="7"/>
        <v/>
      </c>
      <c r="D69" s="156" t="str">
        <f t="shared" si="16"/>
        <v/>
      </c>
      <c r="E69" s="162" t="str">
        <f t="shared" si="4"/>
        <v/>
      </c>
      <c r="F69" s="156" t="str">
        <f t="shared" si="5"/>
        <v/>
      </c>
      <c r="G69" s="67"/>
      <c r="AA69" s="2" t="str">
        <f t="shared" si="9"/>
        <v/>
      </c>
      <c r="AB69" s="8" t="str">
        <f t="shared" si="10"/>
        <v/>
      </c>
      <c r="AC69" s="9" t="str">
        <f t="shared" si="11"/>
        <v/>
      </c>
      <c r="AD69" s="9" t="str">
        <f t="shared" si="8"/>
        <v/>
      </c>
      <c r="AE69" s="2" t="str">
        <f t="shared" si="12"/>
        <v/>
      </c>
      <c r="AF69" s="2" t="str">
        <f t="shared" si="13"/>
        <v/>
      </c>
      <c r="AG69" s="9" t="str">
        <f t="shared" si="14"/>
        <v/>
      </c>
      <c r="AH69" s="9" t="str">
        <f t="shared" si="15"/>
        <v/>
      </c>
    </row>
    <row r="70" spans="1:34" x14ac:dyDescent="0.25">
      <c r="A70" s="68" t="str">
        <f t="shared" si="1"/>
        <v/>
      </c>
      <c r="B70" s="68" t="str">
        <f t="shared" si="2"/>
        <v/>
      </c>
      <c r="C70" s="156" t="str">
        <f t="shared" si="7"/>
        <v/>
      </c>
      <c r="D70" s="156" t="str">
        <f t="shared" si="16"/>
        <v/>
      </c>
      <c r="E70" s="162" t="str">
        <f t="shared" si="4"/>
        <v/>
      </c>
      <c r="F70" s="156" t="str">
        <f t="shared" si="5"/>
        <v/>
      </c>
      <c r="G70" s="67"/>
      <c r="AA70" s="2" t="str">
        <f t="shared" si="9"/>
        <v/>
      </c>
      <c r="AB70" s="8" t="str">
        <f t="shared" si="10"/>
        <v/>
      </c>
      <c r="AC70" s="9" t="str">
        <f t="shared" si="11"/>
        <v/>
      </c>
      <c r="AD70" s="9" t="str">
        <f t="shared" si="8"/>
        <v/>
      </c>
      <c r="AE70" s="2" t="str">
        <f t="shared" si="12"/>
        <v/>
      </c>
      <c r="AF70" s="2" t="str">
        <f t="shared" si="13"/>
        <v/>
      </c>
      <c r="AG70" s="9" t="str">
        <f t="shared" si="14"/>
        <v/>
      </c>
      <c r="AH70" s="9" t="str">
        <f t="shared" si="15"/>
        <v/>
      </c>
    </row>
    <row r="71" spans="1:34" x14ac:dyDescent="0.25">
      <c r="A71" s="68" t="str">
        <f t="shared" si="1"/>
        <v/>
      </c>
      <c r="B71" s="68" t="str">
        <f t="shared" si="2"/>
        <v/>
      </c>
      <c r="C71" s="156" t="str">
        <f t="shared" si="7"/>
        <v/>
      </c>
      <c r="D71" s="156" t="str">
        <f t="shared" si="16"/>
        <v/>
      </c>
      <c r="E71" s="162" t="str">
        <f t="shared" si="4"/>
        <v/>
      </c>
      <c r="F71" s="156" t="str">
        <f t="shared" si="5"/>
        <v/>
      </c>
      <c r="G71" s="67"/>
      <c r="AA71" s="2" t="str">
        <f t="shared" si="9"/>
        <v/>
      </c>
      <c r="AB71" s="8" t="str">
        <f t="shared" si="10"/>
        <v/>
      </c>
      <c r="AC71" s="9" t="str">
        <f t="shared" si="11"/>
        <v/>
      </c>
      <c r="AD71" s="9" t="str">
        <f t="shared" si="8"/>
        <v/>
      </c>
      <c r="AE71" s="2" t="str">
        <f t="shared" si="12"/>
        <v/>
      </c>
      <c r="AF71" s="2" t="str">
        <f t="shared" si="13"/>
        <v/>
      </c>
      <c r="AG71" s="9" t="str">
        <f t="shared" si="14"/>
        <v/>
      </c>
      <c r="AH71" s="9" t="str">
        <f t="shared" si="15"/>
        <v/>
      </c>
    </row>
    <row r="72" spans="1:34" x14ac:dyDescent="0.25">
      <c r="A72" s="68"/>
      <c r="B72" s="68"/>
      <c r="C72" s="156"/>
      <c r="D72" s="156"/>
      <c r="E72" s="162"/>
      <c r="F72" s="156"/>
      <c r="G72" s="67"/>
      <c r="AA72" s="2" t="str">
        <f t="shared" si="9"/>
        <v/>
      </c>
      <c r="AB72" s="8" t="str">
        <f t="shared" si="10"/>
        <v/>
      </c>
      <c r="AC72" s="9" t="str">
        <f t="shared" si="11"/>
        <v/>
      </c>
      <c r="AD72" s="9" t="str">
        <f t="shared" si="8"/>
        <v/>
      </c>
      <c r="AE72" s="2" t="str">
        <f t="shared" si="12"/>
        <v/>
      </c>
      <c r="AF72" s="2" t="str">
        <f t="shared" si="13"/>
        <v/>
      </c>
      <c r="AG72" s="9" t="str">
        <f t="shared" si="14"/>
        <v/>
      </c>
      <c r="AH72" s="9" t="str">
        <f t="shared" si="15"/>
        <v/>
      </c>
    </row>
    <row r="73" spans="1:34" x14ac:dyDescent="0.25">
      <c r="A73" s="68"/>
      <c r="B73" s="68"/>
      <c r="C73" s="156"/>
      <c r="D73" s="156"/>
      <c r="E73" s="162"/>
      <c r="F73" s="156"/>
      <c r="G73" s="67"/>
      <c r="AA73" s="2" t="str">
        <f t="shared" si="9"/>
        <v/>
      </c>
      <c r="AB73" s="8" t="str">
        <f t="shared" si="10"/>
        <v/>
      </c>
      <c r="AC73" s="9" t="str">
        <f t="shared" si="11"/>
        <v/>
      </c>
      <c r="AD73" s="9" t="str">
        <f t="shared" si="8"/>
        <v/>
      </c>
      <c r="AE73" s="2" t="str">
        <f t="shared" si="12"/>
        <v/>
      </c>
      <c r="AF73" s="2" t="str">
        <f t="shared" si="13"/>
        <v/>
      </c>
      <c r="AG73" s="9" t="str">
        <f t="shared" si="14"/>
        <v/>
      </c>
      <c r="AH73" s="9" t="str">
        <f t="shared" si="15"/>
        <v/>
      </c>
    </row>
    <row r="74" spans="1:34" x14ac:dyDescent="0.25">
      <c r="A74" s="68"/>
      <c r="B74" s="68"/>
      <c r="C74" s="156"/>
      <c r="D74" s="156"/>
      <c r="E74" s="162"/>
      <c r="F74" s="156"/>
      <c r="G74" s="67"/>
      <c r="AA74" s="2" t="str">
        <f t="shared" si="9"/>
        <v/>
      </c>
      <c r="AB74" s="8" t="str">
        <f t="shared" si="10"/>
        <v/>
      </c>
      <c r="AC74" s="9" t="str">
        <f t="shared" si="11"/>
        <v/>
      </c>
      <c r="AD74" s="9" t="str">
        <f t="shared" si="8"/>
        <v/>
      </c>
      <c r="AE74" s="2" t="str">
        <f t="shared" si="12"/>
        <v/>
      </c>
      <c r="AF74" s="2" t="str">
        <f t="shared" si="13"/>
        <v/>
      </c>
      <c r="AG74" s="9" t="str">
        <f t="shared" si="14"/>
        <v/>
      </c>
      <c r="AH74" s="9" t="str">
        <f t="shared" si="15"/>
        <v/>
      </c>
    </row>
    <row r="75" spans="1:34" x14ac:dyDescent="0.25">
      <c r="A75" s="68"/>
      <c r="B75" s="68"/>
      <c r="C75" s="156"/>
      <c r="D75" s="156"/>
      <c r="E75" s="162"/>
      <c r="F75" s="156"/>
      <c r="G75" s="67"/>
      <c r="AA75" s="2" t="str">
        <f t="shared" si="9"/>
        <v/>
      </c>
      <c r="AB75" s="8" t="str">
        <f t="shared" si="10"/>
        <v/>
      </c>
      <c r="AC75" s="9" t="str">
        <f t="shared" si="11"/>
        <v/>
      </c>
      <c r="AD75" s="9" t="str">
        <f t="shared" si="8"/>
        <v/>
      </c>
      <c r="AE75" s="2" t="str">
        <f t="shared" si="12"/>
        <v/>
      </c>
      <c r="AF75" s="2" t="str">
        <f t="shared" si="13"/>
        <v/>
      </c>
      <c r="AG75" s="9" t="str">
        <f t="shared" si="14"/>
        <v/>
      </c>
      <c r="AH75" s="9" t="str">
        <f t="shared" si="15"/>
        <v/>
      </c>
    </row>
    <row r="76" spans="1:34" x14ac:dyDescent="0.25">
      <c r="A76" s="68"/>
      <c r="B76" s="68"/>
      <c r="C76" s="156"/>
      <c r="D76" s="156"/>
      <c r="E76" s="162"/>
      <c r="F76" s="156"/>
      <c r="G76" s="67"/>
      <c r="AA76" s="2" t="str">
        <f t="shared" si="9"/>
        <v/>
      </c>
      <c r="AB76" s="8" t="str">
        <f t="shared" si="10"/>
        <v/>
      </c>
      <c r="AC76" s="9" t="str">
        <f t="shared" si="11"/>
        <v/>
      </c>
      <c r="AD76" s="9" t="str">
        <f t="shared" si="8"/>
        <v/>
      </c>
      <c r="AE76" s="2" t="str">
        <f t="shared" si="12"/>
        <v/>
      </c>
      <c r="AF76" s="2" t="str">
        <f t="shared" si="13"/>
        <v/>
      </c>
      <c r="AG76" s="9" t="str">
        <f t="shared" si="14"/>
        <v/>
      </c>
      <c r="AH76" s="9" t="str">
        <f t="shared" si="15"/>
        <v/>
      </c>
    </row>
    <row r="77" spans="1:34" x14ac:dyDescent="0.25">
      <c r="A77" s="68"/>
      <c r="B77" s="68"/>
      <c r="C77" s="156"/>
      <c r="D77" s="156"/>
      <c r="E77" s="162"/>
      <c r="F77" s="156"/>
      <c r="G77" s="67"/>
      <c r="AA77" s="2" t="str">
        <f t="shared" si="9"/>
        <v/>
      </c>
      <c r="AB77" s="8" t="str">
        <f t="shared" si="10"/>
        <v/>
      </c>
      <c r="AC77" s="9" t="str">
        <f t="shared" si="11"/>
        <v/>
      </c>
      <c r="AD77" s="9" t="str">
        <f t="shared" si="8"/>
        <v/>
      </c>
      <c r="AE77" s="2" t="str">
        <f t="shared" si="12"/>
        <v/>
      </c>
      <c r="AF77" s="2" t="str">
        <f t="shared" si="13"/>
        <v/>
      </c>
      <c r="AG77" s="9" t="str">
        <f t="shared" si="14"/>
        <v/>
      </c>
      <c r="AH77" s="9" t="str">
        <f t="shared" si="15"/>
        <v/>
      </c>
    </row>
    <row r="78" spans="1:34" x14ac:dyDescent="0.25">
      <c r="A78" s="68"/>
      <c r="B78" s="68"/>
      <c r="C78" s="156"/>
      <c r="D78" s="156"/>
      <c r="E78" s="162"/>
      <c r="F78" s="156"/>
      <c r="G78" s="67"/>
      <c r="AA78" s="2" t="str">
        <f t="shared" si="9"/>
        <v/>
      </c>
      <c r="AC78" s="9" t="str">
        <f t="shared" si="11"/>
        <v/>
      </c>
      <c r="AD78" s="9" t="str">
        <f t="shared" si="8"/>
        <v/>
      </c>
      <c r="AF78" s="2" t="str">
        <f t="shared" si="13"/>
        <v/>
      </c>
      <c r="AG78" s="9" t="str">
        <f t="shared" si="14"/>
        <v/>
      </c>
      <c r="AH78" s="9" t="str">
        <f t="shared" si="15"/>
        <v/>
      </c>
    </row>
    <row r="79" spans="1:34" x14ac:dyDescent="0.25">
      <c r="A79" s="68"/>
      <c r="B79" s="68"/>
      <c r="C79" s="156"/>
      <c r="D79" s="156"/>
      <c r="E79" s="162"/>
      <c r="F79" s="156"/>
      <c r="G79" s="67"/>
      <c r="AA79" s="2" t="str">
        <f t="shared" si="9"/>
        <v/>
      </c>
      <c r="AC79" s="9" t="str">
        <f t="shared" si="11"/>
        <v/>
      </c>
      <c r="AD79" s="9" t="str">
        <f t="shared" si="8"/>
        <v/>
      </c>
      <c r="AF79" s="2" t="str">
        <f t="shared" si="13"/>
        <v/>
      </c>
      <c r="AG79" s="9" t="str">
        <f t="shared" si="14"/>
        <v/>
      </c>
      <c r="AH79" s="9" t="str">
        <f t="shared" si="15"/>
        <v/>
      </c>
    </row>
    <row r="80" spans="1:34" x14ac:dyDescent="0.25">
      <c r="A80" s="68"/>
      <c r="B80" s="68"/>
      <c r="C80" s="156"/>
      <c r="D80" s="156"/>
      <c r="E80" s="162"/>
      <c r="F80" s="156"/>
      <c r="G80" s="67"/>
      <c r="AA80" s="2" t="str">
        <f t="shared" si="9"/>
        <v/>
      </c>
      <c r="AC80" s="9" t="str">
        <f t="shared" si="11"/>
        <v/>
      </c>
      <c r="AD80" s="9" t="str">
        <f t="shared" si="8"/>
        <v/>
      </c>
      <c r="AF80" s="2" t="str">
        <f t="shared" si="13"/>
        <v/>
      </c>
      <c r="AG80" s="9" t="str">
        <f t="shared" si="14"/>
        <v/>
      </c>
      <c r="AH80" s="9" t="str">
        <f t="shared" si="15"/>
        <v/>
      </c>
    </row>
    <row r="81" spans="1:34" x14ac:dyDescent="0.25">
      <c r="A81" s="68"/>
      <c r="B81" s="68"/>
      <c r="C81" s="156"/>
      <c r="D81" s="156"/>
      <c r="E81" s="162"/>
      <c r="F81" s="156"/>
      <c r="G81" s="67"/>
      <c r="AA81" s="2" t="str">
        <f t="shared" si="9"/>
        <v/>
      </c>
      <c r="AC81" s="9" t="str">
        <f t="shared" si="11"/>
        <v/>
      </c>
      <c r="AD81" s="9" t="str">
        <f t="shared" si="8"/>
        <v/>
      </c>
      <c r="AF81" s="2" t="str">
        <f t="shared" si="13"/>
        <v/>
      </c>
      <c r="AG81" s="9" t="str">
        <f t="shared" si="14"/>
        <v/>
      </c>
      <c r="AH81" s="9" t="str">
        <f t="shared" si="15"/>
        <v/>
      </c>
    </row>
    <row r="82" spans="1:34" x14ac:dyDescent="0.25">
      <c r="A82" s="68"/>
      <c r="B82" s="68"/>
      <c r="C82" s="156"/>
      <c r="D82" s="156"/>
      <c r="E82" s="162"/>
      <c r="F82" s="156"/>
      <c r="G82" s="67"/>
      <c r="AA82" s="2" t="str">
        <f t="shared" si="9"/>
        <v/>
      </c>
      <c r="AC82" s="9" t="str">
        <f t="shared" si="11"/>
        <v/>
      </c>
      <c r="AD82" s="9" t="str">
        <f t="shared" si="8"/>
        <v/>
      </c>
      <c r="AF82" s="2" t="str">
        <f t="shared" si="13"/>
        <v/>
      </c>
      <c r="AG82" s="9" t="str">
        <f t="shared" si="14"/>
        <v/>
      </c>
      <c r="AH82" s="9" t="str">
        <f t="shared" si="15"/>
        <v/>
      </c>
    </row>
    <row r="83" spans="1:34" x14ac:dyDescent="0.25">
      <c r="A83" s="68"/>
      <c r="B83" s="68"/>
      <c r="C83" s="156"/>
      <c r="D83" s="156"/>
      <c r="E83" s="162"/>
      <c r="F83" s="156"/>
      <c r="G83" s="67"/>
      <c r="AA83" s="2" t="str">
        <f t="shared" si="9"/>
        <v/>
      </c>
      <c r="AC83" s="9" t="str">
        <f t="shared" si="11"/>
        <v/>
      </c>
      <c r="AD83" s="9" t="str">
        <f t="shared" si="8"/>
        <v/>
      </c>
      <c r="AF83" s="2" t="str">
        <f t="shared" si="13"/>
        <v/>
      </c>
      <c r="AG83" s="9" t="str">
        <f t="shared" si="14"/>
        <v/>
      </c>
      <c r="AH83" s="9" t="str">
        <f t="shared" si="15"/>
        <v/>
      </c>
    </row>
    <row r="84" spans="1:34" x14ac:dyDescent="0.25">
      <c r="A84" s="68"/>
      <c r="B84" s="68"/>
      <c r="C84" s="156"/>
      <c r="D84" s="156"/>
      <c r="E84" s="162"/>
      <c r="F84" s="156"/>
      <c r="G84" s="67"/>
      <c r="AA84" s="2" t="str">
        <f t="shared" si="9"/>
        <v/>
      </c>
      <c r="AC84" s="9" t="str">
        <f t="shared" si="11"/>
        <v/>
      </c>
      <c r="AD84" s="9" t="str">
        <f t="shared" si="8"/>
        <v/>
      </c>
      <c r="AF84" s="2" t="str">
        <f t="shared" si="13"/>
        <v/>
      </c>
      <c r="AG84" s="9" t="str">
        <f t="shared" si="14"/>
        <v/>
      </c>
      <c r="AH84" s="9" t="str">
        <f t="shared" si="15"/>
        <v/>
      </c>
    </row>
    <row r="85" spans="1:34" x14ac:dyDescent="0.25">
      <c r="A85" s="68"/>
      <c r="B85" s="68"/>
      <c r="C85" s="156"/>
      <c r="D85" s="156"/>
      <c r="E85" s="162"/>
      <c r="F85" s="156"/>
      <c r="G85" s="67"/>
      <c r="AA85" s="2" t="str">
        <f t="shared" si="9"/>
        <v/>
      </c>
      <c r="AC85" s="9" t="str">
        <f t="shared" si="11"/>
        <v/>
      </c>
      <c r="AD85" s="9" t="str">
        <f t="shared" si="8"/>
        <v/>
      </c>
      <c r="AF85" s="2" t="str">
        <f t="shared" si="13"/>
        <v/>
      </c>
      <c r="AG85" s="9" t="str">
        <f t="shared" si="14"/>
        <v/>
      </c>
      <c r="AH85" s="9" t="str">
        <f t="shared" si="15"/>
        <v/>
      </c>
    </row>
    <row r="86" spans="1:34" x14ac:dyDescent="0.25">
      <c r="A86" s="68"/>
      <c r="B86" s="68"/>
      <c r="C86" s="156"/>
      <c r="D86" s="156"/>
      <c r="E86" s="162"/>
      <c r="F86" s="156"/>
      <c r="G86" s="67"/>
      <c r="AA86" s="2" t="str">
        <f t="shared" si="9"/>
        <v/>
      </c>
      <c r="AC86" s="9" t="str">
        <f t="shared" si="11"/>
        <v/>
      </c>
      <c r="AD86" s="9" t="str">
        <f t="shared" si="8"/>
        <v/>
      </c>
      <c r="AF86" s="2" t="str">
        <f t="shared" si="13"/>
        <v/>
      </c>
      <c r="AG86" s="9" t="str">
        <f t="shared" si="14"/>
        <v/>
      </c>
      <c r="AH86" s="9" t="str">
        <f t="shared" si="15"/>
        <v/>
      </c>
    </row>
    <row r="87" spans="1:34" x14ac:dyDescent="0.25">
      <c r="A87" s="68"/>
      <c r="B87" s="68"/>
      <c r="C87" s="156"/>
      <c r="D87" s="156"/>
      <c r="E87" s="162"/>
      <c r="F87" s="156"/>
      <c r="G87" s="67"/>
      <c r="AA87" s="2" t="str">
        <f t="shared" si="9"/>
        <v/>
      </c>
      <c r="AC87" s="9" t="str">
        <f t="shared" si="11"/>
        <v/>
      </c>
      <c r="AD87" s="9" t="str">
        <f t="shared" si="8"/>
        <v/>
      </c>
      <c r="AF87" s="2" t="str">
        <f t="shared" si="13"/>
        <v/>
      </c>
      <c r="AG87" s="9" t="str">
        <f t="shared" si="14"/>
        <v/>
      </c>
      <c r="AH87" s="9" t="str">
        <f t="shared" si="15"/>
        <v/>
      </c>
    </row>
    <row r="88" spans="1:34" x14ac:dyDescent="0.25">
      <c r="A88" s="68"/>
      <c r="B88" s="68"/>
      <c r="C88" s="156"/>
      <c r="D88" s="156"/>
      <c r="E88" s="162"/>
      <c r="F88" s="156"/>
      <c r="G88" s="67"/>
      <c r="AA88" s="2" t="str">
        <f t="shared" si="9"/>
        <v/>
      </c>
      <c r="AC88" s="9" t="str">
        <f t="shared" si="11"/>
        <v/>
      </c>
      <c r="AD88" s="9" t="str">
        <f t="shared" si="8"/>
        <v/>
      </c>
      <c r="AF88" s="2" t="str">
        <f t="shared" si="13"/>
        <v/>
      </c>
      <c r="AG88" s="9" t="str">
        <f t="shared" si="14"/>
        <v/>
      </c>
      <c r="AH88" s="9" t="str">
        <f t="shared" si="15"/>
        <v/>
      </c>
    </row>
    <row r="89" spans="1:34" x14ac:dyDescent="0.25">
      <c r="A89" s="68"/>
      <c r="B89" s="68"/>
      <c r="C89" s="156"/>
      <c r="D89" s="156"/>
      <c r="E89" s="162"/>
      <c r="F89" s="156"/>
      <c r="G89" s="67"/>
      <c r="AA89" s="2" t="str">
        <f t="shared" si="9"/>
        <v/>
      </c>
      <c r="AC89" s="9" t="str">
        <f t="shared" si="11"/>
        <v/>
      </c>
      <c r="AD89" s="9" t="str">
        <f t="shared" si="8"/>
        <v/>
      </c>
      <c r="AF89" s="2" t="str">
        <f t="shared" si="13"/>
        <v/>
      </c>
      <c r="AG89" s="9" t="str">
        <f t="shared" si="14"/>
        <v/>
      </c>
      <c r="AH89" s="9" t="str">
        <f t="shared" si="15"/>
        <v/>
      </c>
    </row>
    <row r="90" spans="1:34" x14ac:dyDescent="0.25">
      <c r="A90" s="68"/>
      <c r="B90" s="68"/>
      <c r="C90" s="156"/>
      <c r="D90" s="156"/>
      <c r="E90" s="162"/>
      <c r="F90" s="156"/>
      <c r="G90" s="67"/>
      <c r="AA90" s="2" t="str">
        <f t="shared" si="9"/>
        <v/>
      </c>
      <c r="AC90" s="9" t="str">
        <f t="shared" si="11"/>
        <v/>
      </c>
      <c r="AD90" s="9" t="str">
        <f t="shared" si="8"/>
        <v/>
      </c>
      <c r="AF90" s="2" t="str">
        <f t="shared" si="13"/>
        <v/>
      </c>
      <c r="AG90" s="9" t="str">
        <f t="shared" si="14"/>
        <v/>
      </c>
      <c r="AH90" s="9" t="str">
        <f t="shared" si="15"/>
        <v/>
      </c>
    </row>
    <row r="91" spans="1:34" x14ac:dyDescent="0.25">
      <c r="A91" s="68"/>
      <c r="B91" s="68"/>
      <c r="C91" s="156"/>
      <c r="D91" s="156"/>
      <c r="E91" s="162"/>
      <c r="F91" s="156"/>
      <c r="G91" s="67"/>
      <c r="AA91" s="2" t="str">
        <f t="shared" si="9"/>
        <v/>
      </c>
      <c r="AC91" s="9" t="str">
        <f t="shared" si="11"/>
        <v/>
      </c>
      <c r="AD91" s="9" t="str">
        <f t="shared" si="8"/>
        <v/>
      </c>
      <c r="AF91" s="2" t="str">
        <f t="shared" si="13"/>
        <v/>
      </c>
      <c r="AG91" s="9" t="str">
        <f t="shared" si="14"/>
        <v/>
      </c>
      <c r="AH91" s="9" t="str">
        <f t="shared" si="15"/>
        <v/>
      </c>
    </row>
    <row r="92" spans="1:34" x14ac:dyDescent="0.25">
      <c r="A92" s="68"/>
      <c r="B92" s="68"/>
      <c r="C92" s="156"/>
      <c r="D92" s="156"/>
      <c r="E92" s="162"/>
      <c r="F92" s="156"/>
      <c r="G92" s="67"/>
      <c r="AA92" s="2" t="str">
        <f t="shared" si="9"/>
        <v/>
      </c>
      <c r="AC92" s="9" t="str">
        <f t="shared" si="11"/>
        <v/>
      </c>
      <c r="AD92" s="9" t="str">
        <f t="shared" si="8"/>
        <v/>
      </c>
      <c r="AF92" s="2" t="str">
        <f t="shared" si="13"/>
        <v/>
      </c>
      <c r="AG92" s="9" t="str">
        <f t="shared" si="14"/>
        <v/>
      </c>
      <c r="AH92" s="9" t="str">
        <f t="shared" si="15"/>
        <v/>
      </c>
    </row>
    <row r="93" spans="1:34" x14ac:dyDescent="0.25">
      <c r="A93" s="68"/>
      <c r="B93" s="68"/>
      <c r="C93" s="156"/>
      <c r="D93" s="156"/>
      <c r="E93" s="162"/>
      <c r="F93" s="156"/>
      <c r="G93" s="67"/>
      <c r="AA93" s="2" t="str">
        <f t="shared" si="9"/>
        <v/>
      </c>
      <c r="AC93" s="9" t="str">
        <f t="shared" si="11"/>
        <v/>
      </c>
      <c r="AD93" s="9" t="str">
        <f t="shared" si="8"/>
        <v/>
      </c>
      <c r="AF93" s="2" t="str">
        <f t="shared" si="13"/>
        <v/>
      </c>
      <c r="AG93" s="9" t="str">
        <f t="shared" si="14"/>
        <v/>
      </c>
      <c r="AH93" s="9" t="str">
        <f t="shared" si="15"/>
        <v/>
      </c>
    </row>
    <row r="94" spans="1:34" x14ac:dyDescent="0.25">
      <c r="A94" s="68"/>
      <c r="B94" s="68"/>
      <c r="C94" s="156"/>
      <c r="D94" s="156"/>
      <c r="E94" s="162"/>
      <c r="F94" s="156"/>
      <c r="G94" s="67"/>
      <c r="AA94" s="2" t="str">
        <f t="shared" si="9"/>
        <v/>
      </c>
      <c r="AC94" s="9" t="str">
        <f t="shared" si="11"/>
        <v/>
      </c>
      <c r="AD94" s="9" t="str">
        <f t="shared" ref="AD94:AD157" si="17">IF(AA94="","",IF(AA94&lt;=B$16,0,B$15/(B$17-B$16)))</f>
        <v/>
      </c>
      <c r="AF94" s="2" t="str">
        <f t="shared" si="13"/>
        <v/>
      </c>
      <c r="AG94" s="9" t="str">
        <f t="shared" si="14"/>
        <v/>
      </c>
      <c r="AH94" s="9" t="str">
        <f t="shared" si="15"/>
        <v/>
      </c>
    </row>
    <row r="95" spans="1:34" x14ac:dyDescent="0.25">
      <c r="A95" s="68"/>
      <c r="B95" s="68"/>
      <c r="C95" s="156"/>
      <c r="D95" s="156"/>
      <c r="E95" s="162"/>
      <c r="F95" s="156"/>
      <c r="G95" s="67"/>
      <c r="AA95" s="2" t="str">
        <f t="shared" ref="AA95:AA158" si="18">IF(AA94&lt;B$17,AA94+1,"")</f>
        <v/>
      </c>
      <c r="AC95" s="9" t="str">
        <f t="shared" ref="AC95:AC158" si="19">IF(AB95="","",IF(AA95&lt;=B$16,AC94,AC94-AD95))</f>
        <v/>
      </c>
      <c r="AD95" s="9" t="str">
        <f t="shared" si="17"/>
        <v/>
      </c>
      <c r="AF95" s="2" t="str">
        <f t="shared" ref="AF95:AF158" si="20">IF(AE95="","",AB95-AB$29)</f>
        <v/>
      </c>
      <c r="AG95" s="9" t="str">
        <f t="shared" ref="AG95:AG158" si="21">IF(AF95="","",IF(AF95&lt;365,AF95*AC$25*AD95,365*AD95*AC$25))</f>
        <v/>
      </c>
      <c r="AH95" s="9" t="str">
        <f t="shared" ref="AH95:AH158" si="22">IF(AF95="","",IF(AF95&lt;365,AF95*AC$26*AD95,365*AD95*AC$26))</f>
        <v/>
      </c>
    </row>
    <row r="96" spans="1:34" x14ac:dyDescent="0.25">
      <c r="A96" s="68"/>
      <c r="B96" s="68"/>
      <c r="C96" s="156"/>
      <c r="D96" s="156"/>
      <c r="E96" s="162"/>
      <c r="F96" s="156"/>
      <c r="G96" s="67"/>
      <c r="AA96" s="2" t="str">
        <f t="shared" si="18"/>
        <v/>
      </c>
      <c r="AC96" s="9" t="str">
        <f t="shared" si="19"/>
        <v/>
      </c>
      <c r="AD96" s="9" t="str">
        <f t="shared" si="17"/>
        <v/>
      </c>
      <c r="AF96" s="2" t="str">
        <f t="shared" si="20"/>
        <v/>
      </c>
      <c r="AG96" s="9" t="str">
        <f t="shared" si="21"/>
        <v/>
      </c>
      <c r="AH96" s="9" t="str">
        <f t="shared" si="22"/>
        <v/>
      </c>
    </row>
    <row r="97" spans="1:34" x14ac:dyDescent="0.25">
      <c r="A97" s="68"/>
      <c r="B97" s="68"/>
      <c r="C97" s="156"/>
      <c r="D97" s="156"/>
      <c r="E97" s="162"/>
      <c r="F97" s="156"/>
      <c r="G97" s="67"/>
      <c r="AA97" s="2" t="str">
        <f t="shared" si="18"/>
        <v/>
      </c>
      <c r="AC97" s="9" t="str">
        <f t="shared" si="19"/>
        <v/>
      </c>
      <c r="AD97" s="9" t="str">
        <f t="shared" si="17"/>
        <v/>
      </c>
      <c r="AF97" s="2" t="str">
        <f t="shared" si="20"/>
        <v/>
      </c>
      <c r="AG97" s="9" t="str">
        <f t="shared" si="21"/>
        <v/>
      </c>
      <c r="AH97" s="9" t="str">
        <f t="shared" si="22"/>
        <v/>
      </c>
    </row>
    <row r="98" spans="1:34" x14ac:dyDescent="0.25">
      <c r="A98" s="68"/>
      <c r="B98" s="68"/>
      <c r="C98" s="156"/>
      <c r="D98" s="156"/>
      <c r="E98" s="162"/>
      <c r="F98" s="156"/>
      <c r="G98" s="67"/>
      <c r="AA98" s="2" t="str">
        <f t="shared" si="18"/>
        <v/>
      </c>
      <c r="AC98" s="9" t="str">
        <f t="shared" si="19"/>
        <v/>
      </c>
      <c r="AD98" s="9" t="str">
        <f t="shared" si="17"/>
        <v/>
      </c>
      <c r="AF98" s="2" t="str">
        <f t="shared" si="20"/>
        <v/>
      </c>
      <c r="AG98" s="9" t="str">
        <f t="shared" si="21"/>
        <v/>
      </c>
      <c r="AH98" s="9" t="str">
        <f t="shared" si="22"/>
        <v/>
      </c>
    </row>
    <row r="99" spans="1:34" x14ac:dyDescent="0.25">
      <c r="A99" s="68"/>
      <c r="B99" s="68"/>
      <c r="C99" s="156"/>
      <c r="D99" s="156"/>
      <c r="E99" s="162"/>
      <c r="F99" s="156"/>
      <c r="G99" s="67"/>
      <c r="AA99" s="2" t="str">
        <f t="shared" si="18"/>
        <v/>
      </c>
      <c r="AC99" s="9" t="str">
        <f t="shared" si="19"/>
        <v/>
      </c>
      <c r="AD99" s="9" t="str">
        <f t="shared" si="17"/>
        <v/>
      </c>
      <c r="AF99" s="2" t="str">
        <f t="shared" si="20"/>
        <v/>
      </c>
      <c r="AG99" s="9" t="str">
        <f t="shared" si="21"/>
        <v/>
      </c>
      <c r="AH99" s="9" t="str">
        <f t="shared" si="22"/>
        <v/>
      </c>
    </row>
    <row r="100" spans="1:34" x14ac:dyDescent="0.25">
      <c r="A100" s="68"/>
      <c r="B100" s="68"/>
      <c r="C100" s="156"/>
      <c r="D100" s="156"/>
      <c r="E100" s="162"/>
      <c r="F100" s="156"/>
      <c r="G100" s="67"/>
      <c r="AA100" s="2" t="str">
        <f t="shared" si="18"/>
        <v/>
      </c>
      <c r="AC100" s="9" t="str">
        <f t="shared" si="19"/>
        <v/>
      </c>
      <c r="AD100" s="9" t="str">
        <f t="shared" si="17"/>
        <v/>
      </c>
      <c r="AF100" s="2" t="str">
        <f t="shared" si="20"/>
        <v/>
      </c>
      <c r="AG100" s="9" t="str">
        <f t="shared" si="21"/>
        <v/>
      </c>
      <c r="AH100" s="9" t="str">
        <f t="shared" si="22"/>
        <v/>
      </c>
    </row>
    <row r="101" spans="1:34" x14ac:dyDescent="0.25">
      <c r="A101" s="68"/>
      <c r="B101" s="68"/>
      <c r="C101" s="156"/>
      <c r="D101" s="156"/>
      <c r="E101" s="162"/>
      <c r="F101" s="156"/>
      <c r="G101" s="67"/>
      <c r="AA101" s="2" t="str">
        <f t="shared" si="18"/>
        <v/>
      </c>
      <c r="AC101" s="9" t="str">
        <f t="shared" si="19"/>
        <v/>
      </c>
      <c r="AD101" s="9" t="str">
        <f t="shared" si="17"/>
        <v/>
      </c>
      <c r="AF101" s="2" t="str">
        <f t="shared" si="20"/>
        <v/>
      </c>
      <c r="AG101" s="9" t="str">
        <f t="shared" si="21"/>
        <v/>
      </c>
      <c r="AH101" s="9" t="str">
        <f t="shared" si="22"/>
        <v/>
      </c>
    </row>
    <row r="102" spans="1:34" x14ac:dyDescent="0.25">
      <c r="A102" s="68"/>
      <c r="B102" s="68"/>
      <c r="C102" s="156"/>
      <c r="D102" s="156"/>
      <c r="E102" s="162"/>
      <c r="F102" s="156"/>
      <c r="G102" s="67"/>
      <c r="AA102" s="2" t="str">
        <f t="shared" si="18"/>
        <v/>
      </c>
      <c r="AC102" s="9" t="str">
        <f t="shared" si="19"/>
        <v/>
      </c>
      <c r="AD102" s="9" t="str">
        <f t="shared" si="17"/>
        <v/>
      </c>
      <c r="AF102" s="2" t="str">
        <f t="shared" si="20"/>
        <v/>
      </c>
      <c r="AG102" s="9" t="str">
        <f t="shared" si="21"/>
        <v/>
      </c>
      <c r="AH102" s="9" t="str">
        <f t="shared" si="22"/>
        <v/>
      </c>
    </row>
    <row r="103" spans="1:34" x14ac:dyDescent="0.25">
      <c r="A103" s="68"/>
      <c r="B103" s="68"/>
      <c r="C103" s="156"/>
      <c r="D103" s="156"/>
      <c r="E103" s="162"/>
      <c r="F103" s="156"/>
      <c r="G103" s="67"/>
      <c r="AA103" s="2" t="str">
        <f t="shared" si="18"/>
        <v/>
      </c>
      <c r="AC103" s="9" t="str">
        <f t="shared" si="19"/>
        <v/>
      </c>
      <c r="AD103" s="9" t="str">
        <f t="shared" si="17"/>
        <v/>
      </c>
      <c r="AF103" s="2" t="str">
        <f t="shared" si="20"/>
        <v/>
      </c>
      <c r="AG103" s="9" t="str">
        <f t="shared" si="21"/>
        <v/>
      </c>
      <c r="AH103" s="9" t="str">
        <f t="shared" si="22"/>
        <v/>
      </c>
    </row>
    <row r="104" spans="1:34" x14ac:dyDescent="0.25">
      <c r="A104" s="68"/>
      <c r="B104" s="68"/>
      <c r="C104" s="156"/>
      <c r="D104" s="156"/>
      <c r="E104" s="162"/>
      <c r="F104" s="156"/>
      <c r="G104" s="67"/>
      <c r="AA104" s="2" t="str">
        <f t="shared" si="18"/>
        <v/>
      </c>
      <c r="AC104" s="9" t="str">
        <f t="shared" si="19"/>
        <v/>
      </c>
      <c r="AD104" s="9" t="str">
        <f t="shared" si="17"/>
        <v/>
      </c>
      <c r="AF104" s="2" t="str">
        <f t="shared" si="20"/>
        <v/>
      </c>
      <c r="AG104" s="9" t="str">
        <f t="shared" si="21"/>
        <v/>
      </c>
      <c r="AH104" s="9" t="str">
        <f t="shared" si="22"/>
        <v/>
      </c>
    </row>
    <row r="105" spans="1:34" x14ac:dyDescent="0.25">
      <c r="A105" s="68"/>
      <c r="B105" s="68"/>
      <c r="C105" s="156"/>
      <c r="D105" s="156"/>
      <c r="E105" s="162"/>
      <c r="F105" s="156"/>
      <c r="G105" s="67"/>
      <c r="AA105" s="2" t="str">
        <f t="shared" si="18"/>
        <v/>
      </c>
      <c r="AC105" s="9" t="str">
        <f t="shared" si="19"/>
        <v/>
      </c>
      <c r="AD105" s="9" t="str">
        <f t="shared" si="17"/>
        <v/>
      </c>
      <c r="AF105" s="2" t="str">
        <f t="shared" si="20"/>
        <v/>
      </c>
      <c r="AG105" s="9" t="str">
        <f t="shared" si="21"/>
        <v/>
      </c>
      <c r="AH105" s="9" t="str">
        <f t="shared" si="22"/>
        <v/>
      </c>
    </row>
    <row r="106" spans="1:34" x14ac:dyDescent="0.25">
      <c r="A106" s="68"/>
      <c r="B106" s="68"/>
      <c r="C106" s="156"/>
      <c r="D106" s="156"/>
      <c r="E106" s="162"/>
      <c r="F106" s="156"/>
      <c r="G106" s="67"/>
      <c r="AA106" s="2" t="str">
        <f t="shared" si="18"/>
        <v/>
      </c>
      <c r="AC106" s="9" t="str">
        <f t="shared" si="19"/>
        <v/>
      </c>
      <c r="AD106" s="9" t="str">
        <f t="shared" si="17"/>
        <v/>
      </c>
      <c r="AF106" s="2" t="str">
        <f t="shared" si="20"/>
        <v/>
      </c>
      <c r="AG106" s="9" t="str">
        <f t="shared" si="21"/>
        <v/>
      </c>
      <c r="AH106" s="9" t="str">
        <f t="shared" si="22"/>
        <v/>
      </c>
    </row>
    <row r="107" spans="1:34" x14ac:dyDescent="0.25">
      <c r="A107" s="68"/>
      <c r="B107" s="68"/>
      <c r="C107" s="156"/>
      <c r="D107" s="156"/>
      <c r="E107" s="162"/>
      <c r="F107" s="156"/>
      <c r="G107" s="67"/>
      <c r="AA107" s="2" t="str">
        <f t="shared" si="18"/>
        <v/>
      </c>
      <c r="AC107" s="9" t="str">
        <f t="shared" si="19"/>
        <v/>
      </c>
      <c r="AD107" s="9" t="str">
        <f t="shared" si="17"/>
        <v/>
      </c>
      <c r="AF107" s="2" t="str">
        <f t="shared" si="20"/>
        <v/>
      </c>
      <c r="AG107" s="9" t="str">
        <f t="shared" si="21"/>
        <v/>
      </c>
      <c r="AH107" s="9" t="str">
        <f t="shared" si="22"/>
        <v/>
      </c>
    </row>
    <row r="108" spans="1:34" x14ac:dyDescent="0.25">
      <c r="A108" s="68"/>
      <c r="B108" s="68"/>
      <c r="C108" s="156"/>
      <c r="D108" s="156"/>
      <c r="E108" s="162"/>
      <c r="F108" s="156"/>
      <c r="G108" s="67"/>
      <c r="AA108" s="2" t="str">
        <f t="shared" si="18"/>
        <v/>
      </c>
      <c r="AC108" s="9" t="str">
        <f t="shared" si="19"/>
        <v/>
      </c>
      <c r="AD108" s="9" t="str">
        <f t="shared" si="17"/>
        <v/>
      </c>
      <c r="AF108" s="2" t="str">
        <f t="shared" si="20"/>
        <v/>
      </c>
      <c r="AG108" s="9" t="str">
        <f t="shared" si="21"/>
        <v/>
      </c>
      <c r="AH108" s="9" t="str">
        <f t="shared" si="22"/>
        <v/>
      </c>
    </row>
    <row r="109" spans="1:34" x14ac:dyDescent="0.25">
      <c r="A109" s="68"/>
      <c r="B109" s="68"/>
      <c r="C109" s="156"/>
      <c r="D109" s="156"/>
      <c r="E109" s="162"/>
      <c r="F109" s="156"/>
      <c r="G109" s="67"/>
      <c r="AA109" s="2" t="str">
        <f t="shared" si="18"/>
        <v/>
      </c>
      <c r="AC109" s="9" t="str">
        <f t="shared" si="19"/>
        <v/>
      </c>
      <c r="AD109" s="9" t="str">
        <f t="shared" si="17"/>
        <v/>
      </c>
      <c r="AF109" s="2" t="str">
        <f t="shared" si="20"/>
        <v/>
      </c>
      <c r="AG109" s="9" t="str">
        <f t="shared" si="21"/>
        <v/>
      </c>
      <c r="AH109" s="9" t="str">
        <f t="shared" si="22"/>
        <v/>
      </c>
    </row>
    <row r="110" spans="1:34" x14ac:dyDescent="0.25">
      <c r="A110" s="68"/>
      <c r="B110" s="68"/>
      <c r="C110" s="156"/>
      <c r="D110" s="156"/>
      <c r="E110" s="162"/>
      <c r="F110" s="156"/>
      <c r="G110" s="67"/>
      <c r="AA110" s="2" t="str">
        <f t="shared" si="18"/>
        <v/>
      </c>
      <c r="AC110" s="9" t="str">
        <f t="shared" si="19"/>
        <v/>
      </c>
      <c r="AD110" s="9" t="str">
        <f t="shared" si="17"/>
        <v/>
      </c>
      <c r="AF110" s="2" t="str">
        <f t="shared" si="20"/>
        <v/>
      </c>
      <c r="AG110" s="9" t="str">
        <f t="shared" si="21"/>
        <v/>
      </c>
      <c r="AH110" s="9" t="str">
        <f t="shared" si="22"/>
        <v/>
      </c>
    </row>
    <row r="111" spans="1:34" x14ac:dyDescent="0.25">
      <c r="A111" s="68"/>
      <c r="B111" s="68"/>
      <c r="C111" s="156"/>
      <c r="D111" s="156"/>
      <c r="E111" s="162"/>
      <c r="F111" s="156"/>
      <c r="G111" s="67"/>
      <c r="AA111" s="2" t="str">
        <f t="shared" si="18"/>
        <v/>
      </c>
      <c r="AC111" s="9" t="str">
        <f t="shared" si="19"/>
        <v/>
      </c>
      <c r="AD111" s="9" t="str">
        <f t="shared" si="17"/>
        <v/>
      </c>
      <c r="AF111" s="2" t="str">
        <f t="shared" si="20"/>
        <v/>
      </c>
      <c r="AG111" s="9" t="str">
        <f t="shared" si="21"/>
        <v/>
      </c>
      <c r="AH111" s="9" t="str">
        <f t="shared" si="22"/>
        <v/>
      </c>
    </row>
    <row r="112" spans="1:34" x14ac:dyDescent="0.25">
      <c r="A112" s="68"/>
      <c r="B112" s="68"/>
      <c r="C112" s="156"/>
      <c r="D112" s="156"/>
      <c r="E112" s="162"/>
      <c r="F112" s="156"/>
      <c r="G112" s="67"/>
      <c r="AA112" s="2" t="str">
        <f t="shared" si="18"/>
        <v/>
      </c>
      <c r="AC112" s="9" t="str">
        <f t="shared" si="19"/>
        <v/>
      </c>
      <c r="AD112" s="9" t="str">
        <f t="shared" si="17"/>
        <v/>
      </c>
      <c r="AF112" s="2" t="str">
        <f t="shared" si="20"/>
        <v/>
      </c>
      <c r="AG112" s="9" t="str">
        <f t="shared" si="21"/>
        <v/>
      </c>
      <c r="AH112" s="9" t="str">
        <f t="shared" si="22"/>
        <v/>
      </c>
    </row>
    <row r="113" spans="1:34" x14ac:dyDescent="0.25">
      <c r="A113" s="68"/>
      <c r="B113" s="68"/>
      <c r="C113" s="156"/>
      <c r="D113" s="156"/>
      <c r="E113" s="162"/>
      <c r="F113" s="156"/>
      <c r="G113" s="67"/>
      <c r="AA113" s="2" t="str">
        <f t="shared" si="18"/>
        <v/>
      </c>
      <c r="AC113" s="9" t="str">
        <f t="shared" si="19"/>
        <v/>
      </c>
      <c r="AD113" s="9" t="str">
        <f t="shared" si="17"/>
        <v/>
      </c>
      <c r="AF113" s="2" t="str">
        <f t="shared" si="20"/>
        <v/>
      </c>
      <c r="AG113" s="9" t="str">
        <f t="shared" si="21"/>
        <v/>
      </c>
      <c r="AH113" s="9" t="str">
        <f t="shared" si="22"/>
        <v/>
      </c>
    </row>
    <row r="114" spans="1:34" x14ac:dyDescent="0.25">
      <c r="A114" s="68"/>
      <c r="B114" s="68"/>
      <c r="C114" s="156"/>
      <c r="D114" s="156"/>
      <c r="E114" s="162"/>
      <c r="F114" s="156"/>
      <c r="G114" s="67"/>
      <c r="AA114" s="2" t="str">
        <f t="shared" si="18"/>
        <v/>
      </c>
      <c r="AC114" s="9" t="str">
        <f t="shared" si="19"/>
        <v/>
      </c>
      <c r="AD114" s="9" t="str">
        <f t="shared" si="17"/>
        <v/>
      </c>
      <c r="AF114" s="2" t="str">
        <f t="shared" si="20"/>
        <v/>
      </c>
      <c r="AG114" s="9" t="str">
        <f t="shared" si="21"/>
        <v/>
      </c>
      <c r="AH114" s="9" t="str">
        <f t="shared" si="22"/>
        <v/>
      </c>
    </row>
    <row r="115" spans="1:34" x14ac:dyDescent="0.25">
      <c r="A115" s="68"/>
      <c r="B115" s="68"/>
      <c r="C115" s="156"/>
      <c r="D115" s="156"/>
      <c r="E115" s="162"/>
      <c r="F115" s="156"/>
      <c r="G115" s="67"/>
      <c r="AA115" s="2" t="str">
        <f t="shared" si="18"/>
        <v/>
      </c>
      <c r="AC115" s="9" t="str">
        <f t="shared" si="19"/>
        <v/>
      </c>
      <c r="AD115" s="9" t="str">
        <f t="shared" si="17"/>
        <v/>
      </c>
      <c r="AF115" s="2" t="str">
        <f t="shared" si="20"/>
        <v/>
      </c>
      <c r="AG115" s="9" t="str">
        <f t="shared" si="21"/>
        <v/>
      </c>
      <c r="AH115" s="9" t="str">
        <f t="shared" si="22"/>
        <v/>
      </c>
    </row>
    <row r="116" spans="1:34" x14ac:dyDescent="0.25">
      <c r="A116" s="68"/>
      <c r="B116" s="68"/>
      <c r="C116" s="156"/>
      <c r="D116" s="156"/>
      <c r="E116" s="162"/>
      <c r="F116" s="156"/>
      <c r="G116" s="67"/>
      <c r="AA116" s="2" t="str">
        <f t="shared" si="18"/>
        <v/>
      </c>
      <c r="AC116" s="9" t="str">
        <f t="shared" si="19"/>
        <v/>
      </c>
      <c r="AD116" s="9" t="str">
        <f t="shared" si="17"/>
        <v/>
      </c>
      <c r="AF116" s="2" t="str">
        <f t="shared" si="20"/>
        <v/>
      </c>
      <c r="AG116" s="9" t="str">
        <f t="shared" si="21"/>
        <v/>
      </c>
      <c r="AH116" s="9" t="str">
        <f t="shared" si="22"/>
        <v/>
      </c>
    </row>
    <row r="117" spans="1:34" x14ac:dyDescent="0.25">
      <c r="A117" s="68"/>
      <c r="B117" s="68"/>
      <c r="C117" s="156"/>
      <c r="D117" s="156"/>
      <c r="E117" s="162"/>
      <c r="F117" s="156"/>
      <c r="G117" s="67"/>
      <c r="AA117" s="2" t="str">
        <f t="shared" si="18"/>
        <v/>
      </c>
      <c r="AC117" s="9" t="str">
        <f t="shared" si="19"/>
        <v/>
      </c>
      <c r="AD117" s="9" t="str">
        <f t="shared" si="17"/>
        <v/>
      </c>
      <c r="AF117" s="2" t="str">
        <f t="shared" si="20"/>
        <v/>
      </c>
      <c r="AG117" s="9" t="str">
        <f t="shared" si="21"/>
        <v/>
      </c>
      <c r="AH117" s="9" t="str">
        <f t="shared" si="22"/>
        <v/>
      </c>
    </row>
    <row r="118" spans="1:34" x14ac:dyDescent="0.25">
      <c r="A118" s="68"/>
      <c r="B118" s="68"/>
      <c r="C118" s="156"/>
      <c r="D118" s="156"/>
      <c r="E118" s="162"/>
      <c r="F118" s="156"/>
      <c r="G118" s="67"/>
      <c r="AA118" s="2" t="str">
        <f t="shared" si="18"/>
        <v/>
      </c>
      <c r="AC118" s="9" t="str">
        <f t="shared" si="19"/>
        <v/>
      </c>
      <c r="AD118" s="9" t="str">
        <f t="shared" si="17"/>
        <v/>
      </c>
      <c r="AF118" s="2" t="str">
        <f t="shared" si="20"/>
        <v/>
      </c>
      <c r="AG118" s="9" t="str">
        <f t="shared" si="21"/>
        <v/>
      </c>
      <c r="AH118" s="9" t="str">
        <f t="shared" si="22"/>
        <v/>
      </c>
    </row>
    <row r="119" spans="1:34" x14ac:dyDescent="0.25">
      <c r="A119" s="68"/>
      <c r="B119" s="68"/>
      <c r="C119" s="156"/>
      <c r="D119" s="156"/>
      <c r="E119" s="162"/>
      <c r="F119" s="156"/>
      <c r="G119" s="67"/>
      <c r="AA119" s="2" t="str">
        <f t="shared" si="18"/>
        <v/>
      </c>
      <c r="AC119" s="9" t="str">
        <f t="shared" si="19"/>
        <v/>
      </c>
      <c r="AD119" s="9" t="str">
        <f t="shared" si="17"/>
        <v/>
      </c>
      <c r="AF119" s="2" t="str">
        <f t="shared" si="20"/>
        <v/>
      </c>
      <c r="AG119" s="9" t="str">
        <f t="shared" si="21"/>
        <v/>
      </c>
      <c r="AH119" s="9" t="str">
        <f t="shared" si="22"/>
        <v/>
      </c>
    </row>
    <row r="120" spans="1:34" x14ac:dyDescent="0.25">
      <c r="A120" s="68"/>
      <c r="B120" s="68"/>
      <c r="C120" s="156"/>
      <c r="D120" s="156"/>
      <c r="E120" s="162"/>
      <c r="F120" s="156"/>
      <c r="G120" s="67"/>
      <c r="AA120" s="2" t="str">
        <f t="shared" si="18"/>
        <v/>
      </c>
      <c r="AC120" s="9" t="str">
        <f t="shared" si="19"/>
        <v/>
      </c>
      <c r="AD120" s="9" t="str">
        <f t="shared" si="17"/>
        <v/>
      </c>
      <c r="AF120" s="2" t="str">
        <f t="shared" si="20"/>
        <v/>
      </c>
      <c r="AG120" s="9" t="str">
        <f t="shared" si="21"/>
        <v/>
      </c>
      <c r="AH120" s="9" t="str">
        <f t="shared" si="22"/>
        <v/>
      </c>
    </row>
    <row r="121" spans="1:34" x14ac:dyDescent="0.25">
      <c r="A121" s="68"/>
      <c r="B121" s="68"/>
      <c r="C121" s="156"/>
      <c r="D121" s="156"/>
      <c r="E121" s="162"/>
      <c r="F121" s="156"/>
      <c r="G121" s="67"/>
      <c r="AA121" s="2" t="str">
        <f t="shared" si="18"/>
        <v/>
      </c>
      <c r="AC121" s="9" t="str">
        <f t="shared" si="19"/>
        <v/>
      </c>
      <c r="AD121" s="9" t="str">
        <f t="shared" si="17"/>
        <v/>
      </c>
      <c r="AF121" s="2" t="str">
        <f t="shared" si="20"/>
        <v/>
      </c>
      <c r="AG121" s="9" t="str">
        <f t="shared" si="21"/>
        <v/>
      </c>
      <c r="AH121" s="9" t="str">
        <f t="shared" si="22"/>
        <v/>
      </c>
    </row>
    <row r="122" spans="1:34" x14ac:dyDescent="0.25">
      <c r="A122" s="68"/>
      <c r="B122" s="68"/>
      <c r="C122" s="156"/>
      <c r="D122" s="156"/>
      <c r="E122" s="162"/>
      <c r="F122" s="156"/>
      <c r="G122" s="67"/>
      <c r="AA122" s="2" t="str">
        <f t="shared" si="18"/>
        <v/>
      </c>
      <c r="AC122" s="9" t="str">
        <f t="shared" si="19"/>
        <v/>
      </c>
      <c r="AD122" s="9" t="str">
        <f t="shared" si="17"/>
        <v/>
      </c>
      <c r="AF122" s="2" t="str">
        <f t="shared" si="20"/>
        <v/>
      </c>
      <c r="AG122" s="9" t="str">
        <f t="shared" si="21"/>
        <v/>
      </c>
      <c r="AH122" s="9" t="str">
        <f t="shared" si="22"/>
        <v/>
      </c>
    </row>
    <row r="123" spans="1:34" x14ac:dyDescent="0.25">
      <c r="A123" s="68"/>
      <c r="B123" s="68"/>
      <c r="C123" s="156"/>
      <c r="D123" s="156"/>
      <c r="E123" s="162"/>
      <c r="F123" s="156"/>
      <c r="G123" s="67"/>
      <c r="AA123" s="2" t="str">
        <f t="shared" si="18"/>
        <v/>
      </c>
      <c r="AC123" s="9" t="str">
        <f t="shared" si="19"/>
        <v/>
      </c>
      <c r="AD123" s="9" t="str">
        <f t="shared" si="17"/>
        <v/>
      </c>
      <c r="AF123" s="2" t="str">
        <f t="shared" si="20"/>
        <v/>
      </c>
      <c r="AG123" s="9" t="str">
        <f t="shared" si="21"/>
        <v/>
      </c>
      <c r="AH123" s="9" t="str">
        <f t="shared" si="22"/>
        <v/>
      </c>
    </row>
    <row r="124" spans="1:34" x14ac:dyDescent="0.25">
      <c r="A124" s="68"/>
      <c r="B124" s="68"/>
      <c r="C124" s="156"/>
      <c r="D124" s="156"/>
      <c r="E124" s="162"/>
      <c r="F124" s="156"/>
      <c r="G124" s="67"/>
      <c r="AA124" s="2" t="str">
        <f t="shared" si="18"/>
        <v/>
      </c>
      <c r="AC124" s="9" t="str">
        <f t="shared" si="19"/>
        <v/>
      </c>
      <c r="AD124" s="9" t="str">
        <f t="shared" si="17"/>
        <v/>
      </c>
      <c r="AF124" s="2" t="str">
        <f t="shared" si="20"/>
        <v/>
      </c>
      <c r="AG124" s="9" t="str">
        <f t="shared" si="21"/>
        <v/>
      </c>
      <c r="AH124" s="9" t="str">
        <f t="shared" si="22"/>
        <v/>
      </c>
    </row>
    <row r="125" spans="1:34" x14ac:dyDescent="0.25">
      <c r="A125" s="68"/>
      <c r="B125" s="68"/>
      <c r="C125" s="156"/>
      <c r="D125" s="156"/>
      <c r="E125" s="162"/>
      <c r="F125" s="156"/>
      <c r="G125" s="67"/>
      <c r="AA125" s="2" t="str">
        <f t="shared" si="18"/>
        <v/>
      </c>
      <c r="AC125" s="9" t="str">
        <f t="shared" si="19"/>
        <v/>
      </c>
      <c r="AD125" s="9" t="str">
        <f t="shared" si="17"/>
        <v/>
      </c>
      <c r="AF125" s="2" t="str">
        <f t="shared" si="20"/>
        <v/>
      </c>
      <c r="AG125" s="9" t="str">
        <f t="shared" si="21"/>
        <v/>
      </c>
      <c r="AH125" s="9" t="str">
        <f t="shared" si="22"/>
        <v/>
      </c>
    </row>
    <row r="126" spans="1:34" x14ac:dyDescent="0.25">
      <c r="A126" s="68"/>
      <c r="B126" s="68"/>
      <c r="C126" s="156"/>
      <c r="D126" s="156"/>
      <c r="E126" s="162"/>
      <c r="F126" s="156"/>
      <c r="G126" s="67"/>
      <c r="AA126" s="2" t="str">
        <f t="shared" si="18"/>
        <v/>
      </c>
      <c r="AC126" s="9" t="str">
        <f t="shared" si="19"/>
        <v/>
      </c>
      <c r="AD126" s="9" t="str">
        <f t="shared" si="17"/>
        <v/>
      </c>
      <c r="AF126" s="2" t="str">
        <f t="shared" si="20"/>
        <v/>
      </c>
      <c r="AG126" s="9" t="str">
        <f t="shared" si="21"/>
        <v/>
      </c>
      <c r="AH126" s="9" t="str">
        <f t="shared" si="22"/>
        <v/>
      </c>
    </row>
    <row r="127" spans="1:34" x14ac:dyDescent="0.25">
      <c r="A127" s="68"/>
      <c r="B127" s="68"/>
      <c r="C127" s="156"/>
      <c r="D127" s="156"/>
      <c r="E127" s="162"/>
      <c r="F127" s="156"/>
      <c r="G127" s="67"/>
      <c r="AA127" s="2" t="str">
        <f t="shared" si="18"/>
        <v/>
      </c>
      <c r="AC127" s="9" t="str">
        <f t="shared" si="19"/>
        <v/>
      </c>
      <c r="AD127" s="9" t="str">
        <f t="shared" si="17"/>
        <v/>
      </c>
      <c r="AF127" s="2" t="str">
        <f t="shared" si="20"/>
        <v/>
      </c>
      <c r="AG127" s="9" t="str">
        <f t="shared" si="21"/>
        <v/>
      </c>
      <c r="AH127" s="9" t="str">
        <f t="shared" si="22"/>
        <v/>
      </c>
    </row>
    <row r="128" spans="1:34" x14ac:dyDescent="0.25">
      <c r="A128" s="68"/>
      <c r="B128" s="68"/>
      <c r="C128" s="65"/>
      <c r="D128" s="65"/>
      <c r="E128" s="66"/>
      <c r="F128" s="65"/>
      <c r="G128" s="67"/>
      <c r="AA128" s="2" t="str">
        <f t="shared" si="18"/>
        <v/>
      </c>
      <c r="AC128" s="9" t="str">
        <f t="shared" si="19"/>
        <v/>
      </c>
      <c r="AD128" s="9" t="str">
        <f t="shared" si="17"/>
        <v/>
      </c>
      <c r="AF128" s="2" t="str">
        <f t="shared" si="20"/>
        <v/>
      </c>
      <c r="AG128" s="9" t="str">
        <f t="shared" si="21"/>
        <v/>
      </c>
      <c r="AH128" s="9" t="str">
        <f t="shared" si="22"/>
        <v/>
      </c>
    </row>
    <row r="129" spans="1:34" x14ac:dyDescent="0.25">
      <c r="A129" s="68"/>
      <c r="B129" s="68"/>
      <c r="C129" s="65"/>
      <c r="D129" s="65"/>
      <c r="E129" s="66"/>
      <c r="F129" s="65"/>
      <c r="G129" s="67"/>
      <c r="AA129" s="2" t="str">
        <f t="shared" si="18"/>
        <v/>
      </c>
      <c r="AC129" s="9" t="str">
        <f t="shared" si="19"/>
        <v/>
      </c>
      <c r="AD129" s="9" t="str">
        <f t="shared" si="17"/>
        <v/>
      </c>
      <c r="AF129" s="2" t="str">
        <f t="shared" si="20"/>
        <v/>
      </c>
      <c r="AG129" s="9" t="str">
        <f t="shared" si="21"/>
        <v/>
      </c>
      <c r="AH129" s="9" t="str">
        <f t="shared" si="22"/>
        <v/>
      </c>
    </row>
    <row r="130" spans="1:34" x14ac:dyDescent="0.25">
      <c r="A130" s="68"/>
      <c r="B130" s="68"/>
      <c r="C130" s="65"/>
      <c r="D130" s="65"/>
      <c r="E130" s="66"/>
      <c r="F130" s="65"/>
      <c r="G130" s="67"/>
      <c r="AA130" s="2" t="str">
        <f t="shared" si="18"/>
        <v/>
      </c>
      <c r="AC130" s="9" t="str">
        <f t="shared" si="19"/>
        <v/>
      </c>
      <c r="AD130" s="9" t="str">
        <f t="shared" si="17"/>
        <v/>
      </c>
      <c r="AF130" s="2" t="str">
        <f t="shared" si="20"/>
        <v/>
      </c>
      <c r="AG130" s="9" t="str">
        <f t="shared" si="21"/>
        <v/>
      </c>
      <c r="AH130" s="9" t="str">
        <f t="shared" si="22"/>
        <v/>
      </c>
    </row>
    <row r="131" spans="1:34" x14ac:dyDescent="0.25">
      <c r="A131" s="68"/>
      <c r="B131" s="68"/>
      <c r="C131" s="65"/>
      <c r="D131" s="65"/>
      <c r="E131" s="66"/>
      <c r="F131" s="65"/>
      <c r="G131" s="67"/>
      <c r="AA131" s="2" t="str">
        <f t="shared" si="18"/>
        <v/>
      </c>
      <c r="AC131" s="9" t="str">
        <f t="shared" si="19"/>
        <v/>
      </c>
      <c r="AD131" s="9" t="str">
        <f t="shared" si="17"/>
        <v/>
      </c>
      <c r="AF131" s="2" t="str">
        <f t="shared" si="20"/>
        <v/>
      </c>
      <c r="AG131" s="9" t="str">
        <f t="shared" si="21"/>
        <v/>
      </c>
      <c r="AH131" s="9" t="str">
        <f t="shared" si="22"/>
        <v/>
      </c>
    </row>
    <row r="132" spans="1:34" x14ac:dyDescent="0.25">
      <c r="A132" s="68"/>
      <c r="B132" s="68"/>
      <c r="C132" s="65"/>
      <c r="D132" s="65"/>
      <c r="E132" s="66"/>
      <c r="F132" s="65"/>
      <c r="G132" s="67"/>
      <c r="AA132" s="2" t="str">
        <f t="shared" si="18"/>
        <v/>
      </c>
      <c r="AC132" s="9" t="str">
        <f t="shared" si="19"/>
        <v/>
      </c>
      <c r="AD132" s="9" t="str">
        <f t="shared" si="17"/>
        <v/>
      </c>
      <c r="AF132" s="2" t="str">
        <f t="shared" si="20"/>
        <v/>
      </c>
      <c r="AG132" s="9" t="str">
        <f t="shared" si="21"/>
        <v/>
      </c>
      <c r="AH132" s="9" t="str">
        <f t="shared" si="22"/>
        <v/>
      </c>
    </row>
    <row r="133" spans="1:34" x14ac:dyDescent="0.25">
      <c r="A133" s="68"/>
      <c r="B133" s="68"/>
      <c r="C133" s="65"/>
      <c r="D133" s="65"/>
      <c r="E133" s="66"/>
      <c r="F133" s="65"/>
      <c r="G133" s="67"/>
      <c r="AA133" s="2" t="str">
        <f t="shared" si="18"/>
        <v/>
      </c>
      <c r="AC133" s="9" t="str">
        <f t="shared" si="19"/>
        <v/>
      </c>
      <c r="AD133" s="9" t="str">
        <f t="shared" si="17"/>
        <v/>
      </c>
      <c r="AF133" s="2" t="str">
        <f t="shared" si="20"/>
        <v/>
      </c>
      <c r="AG133" s="9" t="str">
        <f t="shared" si="21"/>
        <v/>
      </c>
      <c r="AH133" s="9" t="str">
        <f t="shared" si="22"/>
        <v/>
      </c>
    </row>
    <row r="134" spans="1:34" x14ac:dyDescent="0.25">
      <c r="A134" s="68"/>
      <c r="B134" s="68"/>
      <c r="C134" s="65"/>
      <c r="D134" s="65"/>
      <c r="E134" s="66"/>
      <c r="F134" s="65"/>
      <c r="G134" s="67"/>
      <c r="AA134" s="2" t="str">
        <f t="shared" si="18"/>
        <v/>
      </c>
      <c r="AC134" s="9" t="str">
        <f t="shared" si="19"/>
        <v/>
      </c>
      <c r="AD134" s="9" t="str">
        <f t="shared" si="17"/>
        <v/>
      </c>
      <c r="AF134" s="2" t="str">
        <f t="shared" si="20"/>
        <v/>
      </c>
      <c r="AG134" s="9" t="str">
        <f t="shared" si="21"/>
        <v/>
      </c>
      <c r="AH134" s="9" t="str">
        <f t="shared" si="22"/>
        <v/>
      </c>
    </row>
    <row r="135" spans="1:34" x14ac:dyDescent="0.25">
      <c r="A135" s="68"/>
      <c r="B135" s="68"/>
      <c r="C135" s="65"/>
      <c r="D135" s="65"/>
      <c r="E135" s="66"/>
      <c r="F135" s="65"/>
      <c r="G135" s="67"/>
      <c r="AA135" s="2" t="str">
        <f t="shared" si="18"/>
        <v/>
      </c>
      <c r="AC135" s="9" t="str">
        <f t="shared" si="19"/>
        <v/>
      </c>
      <c r="AD135" s="9" t="str">
        <f t="shared" si="17"/>
        <v/>
      </c>
      <c r="AF135" s="2" t="str">
        <f t="shared" si="20"/>
        <v/>
      </c>
      <c r="AG135" s="9" t="str">
        <f t="shared" si="21"/>
        <v/>
      </c>
      <c r="AH135" s="9" t="str">
        <f t="shared" si="22"/>
        <v/>
      </c>
    </row>
    <row r="136" spans="1:34" x14ac:dyDescent="0.25">
      <c r="A136" s="68"/>
      <c r="B136" s="68"/>
      <c r="C136" s="65"/>
      <c r="D136" s="65"/>
      <c r="E136" s="66"/>
      <c r="F136" s="65"/>
      <c r="G136" s="67"/>
      <c r="AA136" s="2" t="str">
        <f t="shared" si="18"/>
        <v/>
      </c>
      <c r="AC136" s="9" t="str">
        <f t="shared" si="19"/>
        <v/>
      </c>
      <c r="AD136" s="9" t="str">
        <f t="shared" si="17"/>
        <v/>
      </c>
      <c r="AF136" s="2" t="str">
        <f t="shared" si="20"/>
        <v/>
      </c>
      <c r="AG136" s="9" t="str">
        <f t="shared" si="21"/>
        <v/>
      </c>
      <c r="AH136" s="9" t="str">
        <f t="shared" si="22"/>
        <v/>
      </c>
    </row>
    <row r="137" spans="1:34" x14ac:dyDescent="0.25">
      <c r="A137" s="68"/>
      <c r="B137" s="68"/>
      <c r="C137" s="65"/>
      <c r="D137" s="65"/>
      <c r="E137" s="66"/>
      <c r="F137" s="65"/>
      <c r="G137" s="67"/>
      <c r="AA137" s="2" t="str">
        <f t="shared" si="18"/>
        <v/>
      </c>
      <c r="AC137" s="9" t="str">
        <f t="shared" si="19"/>
        <v/>
      </c>
      <c r="AD137" s="9" t="str">
        <f t="shared" si="17"/>
        <v/>
      </c>
      <c r="AF137" s="2" t="str">
        <f t="shared" si="20"/>
        <v/>
      </c>
      <c r="AG137" s="9" t="str">
        <f t="shared" si="21"/>
        <v/>
      </c>
      <c r="AH137" s="9" t="str">
        <f t="shared" si="22"/>
        <v/>
      </c>
    </row>
    <row r="138" spans="1:34" x14ac:dyDescent="0.25">
      <c r="A138" s="68"/>
      <c r="B138" s="68"/>
      <c r="C138" s="65"/>
      <c r="D138" s="65"/>
      <c r="E138" s="66"/>
      <c r="F138" s="65"/>
      <c r="G138" s="67"/>
      <c r="AA138" s="2" t="str">
        <f t="shared" si="18"/>
        <v/>
      </c>
      <c r="AC138" s="9" t="str">
        <f t="shared" si="19"/>
        <v/>
      </c>
      <c r="AD138" s="9" t="str">
        <f t="shared" si="17"/>
        <v/>
      </c>
      <c r="AF138" s="2" t="str">
        <f t="shared" si="20"/>
        <v/>
      </c>
      <c r="AG138" s="9" t="str">
        <f t="shared" si="21"/>
        <v/>
      </c>
      <c r="AH138" s="9" t="str">
        <f t="shared" si="22"/>
        <v/>
      </c>
    </row>
    <row r="139" spans="1:34" x14ac:dyDescent="0.25">
      <c r="A139" s="68"/>
      <c r="B139" s="68"/>
      <c r="C139" s="65"/>
      <c r="D139" s="65"/>
      <c r="E139" s="66"/>
      <c r="F139" s="65"/>
      <c r="G139" s="67"/>
      <c r="AA139" s="2" t="str">
        <f t="shared" si="18"/>
        <v/>
      </c>
      <c r="AC139" s="9" t="str">
        <f t="shared" si="19"/>
        <v/>
      </c>
      <c r="AD139" s="9" t="str">
        <f t="shared" si="17"/>
        <v/>
      </c>
      <c r="AF139" s="2" t="str">
        <f t="shared" si="20"/>
        <v/>
      </c>
      <c r="AG139" s="9" t="str">
        <f t="shared" si="21"/>
        <v/>
      </c>
      <c r="AH139" s="9" t="str">
        <f t="shared" si="22"/>
        <v/>
      </c>
    </row>
    <row r="140" spans="1:34" x14ac:dyDescent="0.25">
      <c r="A140" s="68"/>
      <c r="B140" s="68"/>
      <c r="C140" s="65"/>
      <c r="D140" s="65"/>
      <c r="E140" s="66"/>
      <c r="F140" s="65"/>
      <c r="G140" s="67"/>
      <c r="AA140" s="2" t="str">
        <f t="shared" si="18"/>
        <v/>
      </c>
      <c r="AC140" s="9" t="str">
        <f t="shared" si="19"/>
        <v/>
      </c>
      <c r="AD140" s="9" t="str">
        <f t="shared" si="17"/>
        <v/>
      </c>
      <c r="AF140" s="2" t="str">
        <f t="shared" si="20"/>
        <v/>
      </c>
      <c r="AG140" s="9" t="str">
        <f t="shared" si="21"/>
        <v/>
      </c>
      <c r="AH140" s="9" t="str">
        <f t="shared" si="22"/>
        <v/>
      </c>
    </row>
    <row r="141" spans="1:34" x14ac:dyDescent="0.25">
      <c r="A141" s="68"/>
      <c r="B141" s="68"/>
      <c r="C141" s="65"/>
      <c r="D141" s="65"/>
      <c r="E141" s="66"/>
      <c r="F141" s="65"/>
      <c r="G141" s="67"/>
      <c r="AA141" s="2" t="str">
        <f t="shared" si="18"/>
        <v/>
      </c>
      <c r="AC141" s="9" t="str">
        <f t="shared" si="19"/>
        <v/>
      </c>
      <c r="AD141" s="9" t="str">
        <f t="shared" si="17"/>
        <v/>
      </c>
      <c r="AF141" s="2" t="str">
        <f t="shared" si="20"/>
        <v/>
      </c>
      <c r="AG141" s="9" t="str">
        <f t="shared" si="21"/>
        <v/>
      </c>
      <c r="AH141" s="9" t="str">
        <f t="shared" si="22"/>
        <v/>
      </c>
    </row>
    <row r="142" spans="1:34" x14ac:dyDescent="0.25">
      <c r="A142" s="68"/>
      <c r="B142" s="68"/>
      <c r="C142" s="65"/>
      <c r="D142" s="65"/>
      <c r="E142" s="66"/>
      <c r="F142" s="65"/>
      <c r="G142" s="67"/>
      <c r="AA142" s="2" t="str">
        <f t="shared" si="18"/>
        <v/>
      </c>
      <c r="AC142" s="9" t="str">
        <f t="shared" si="19"/>
        <v/>
      </c>
      <c r="AD142" s="9" t="str">
        <f t="shared" si="17"/>
        <v/>
      </c>
      <c r="AF142" s="2" t="str">
        <f t="shared" si="20"/>
        <v/>
      </c>
      <c r="AG142" s="9" t="str">
        <f t="shared" si="21"/>
        <v/>
      </c>
      <c r="AH142" s="9" t="str">
        <f t="shared" si="22"/>
        <v/>
      </c>
    </row>
    <row r="143" spans="1:34" x14ac:dyDescent="0.25">
      <c r="A143" s="68"/>
      <c r="B143" s="68"/>
      <c r="C143" s="65"/>
      <c r="D143" s="65"/>
      <c r="E143" s="66"/>
      <c r="F143" s="65"/>
      <c r="G143" s="67"/>
      <c r="AA143" s="2" t="str">
        <f t="shared" si="18"/>
        <v/>
      </c>
      <c r="AC143" s="9" t="str">
        <f t="shared" si="19"/>
        <v/>
      </c>
      <c r="AD143" s="9" t="str">
        <f t="shared" si="17"/>
        <v/>
      </c>
      <c r="AF143" s="2" t="str">
        <f t="shared" si="20"/>
        <v/>
      </c>
      <c r="AG143" s="9" t="str">
        <f t="shared" si="21"/>
        <v/>
      </c>
      <c r="AH143" s="9" t="str">
        <f t="shared" si="22"/>
        <v/>
      </c>
    </row>
    <row r="144" spans="1:34" x14ac:dyDescent="0.25">
      <c r="A144" s="68"/>
      <c r="B144" s="68"/>
      <c r="C144" s="65"/>
      <c r="D144" s="65"/>
      <c r="E144" s="66"/>
      <c r="F144" s="65"/>
      <c r="G144" s="67"/>
      <c r="AA144" s="2" t="str">
        <f t="shared" si="18"/>
        <v/>
      </c>
      <c r="AC144" s="9" t="str">
        <f t="shared" si="19"/>
        <v/>
      </c>
      <c r="AD144" s="9" t="str">
        <f t="shared" si="17"/>
        <v/>
      </c>
      <c r="AF144" s="2" t="str">
        <f t="shared" si="20"/>
        <v/>
      </c>
      <c r="AG144" s="9" t="str">
        <f t="shared" si="21"/>
        <v/>
      </c>
      <c r="AH144" s="9" t="str">
        <f t="shared" si="22"/>
        <v/>
      </c>
    </row>
    <row r="145" spans="1:34" x14ac:dyDescent="0.25">
      <c r="A145" s="68"/>
      <c r="B145" s="68"/>
      <c r="C145" s="65"/>
      <c r="D145" s="65"/>
      <c r="E145" s="66"/>
      <c r="F145" s="65"/>
      <c r="G145" s="67"/>
      <c r="AA145" s="2" t="str">
        <f t="shared" si="18"/>
        <v/>
      </c>
      <c r="AC145" s="9" t="str">
        <f t="shared" si="19"/>
        <v/>
      </c>
      <c r="AD145" s="9" t="str">
        <f t="shared" si="17"/>
        <v/>
      </c>
      <c r="AF145" s="2" t="str">
        <f t="shared" si="20"/>
        <v/>
      </c>
      <c r="AG145" s="9" t="str">
        <f t="shared" si="21"/>
        <v/>
      </c>
      <c r="AH145" s="9" t="str">
        <f t="shared" si="22"/>
        <v/>
      </c>
    </row>
    <row r="146" spans="1:34" x14ac:dyDescent="0.25">
      <c r="A146" s="68"/>
      <c r="B146" s="68"/>
      <c r="C146" s="65"/>
      <c r="D146" s="65"/>
      <c r="E146" s="66"/>
      <c r="F146" s="65"/>
      <c r="G146" s="67"/>
      <c r="AA146" s="2" t="str">
        <f t="shared" si="18"/>
        <v/>
      </c>
      <c r="AC146" s="9" t="str">
        <f t="shared" si="19"/>
        <v/>
      </c>
      <c r="AD146" s="9" t="str">
        <f t="shared" si="17"/>
        <v/>
      </c>
      <c r="AF146" s="2" t="str">
        <f t="shared" si="20"/>
        <v/>
      </c>
      <c r="AG146" s="9" t="str">
        <f t="shared" si="21"/>
        <v/>
      </c>
      <c r="AH146" s="9" t="str">
        <f t="shared" si="22"/>
        <v/>
      </c>
    </row>
    <row r="147" spans="1:34" x14ac:dyDescent="0.25">
      <c r="A147" s="68"/>
      <c r="B147" s="68"/>
      <c r="C147" s="65"/>
      <c r="D147" s="65"/>
      <c r="E147" s="66"/>
      <c r="F147" s="65"/>
      <c r="G147" s="67"/>
      <c r="AA147" s="2" t="str">
        <f t="shared" si="18"/>
        <v/>
      </c>
      <c r="AC147" s="9" t="str">
        <f t="shared" si="19"/>
        <v/>
      </c>
      <c r="AD147" s="9" t="str">
        <f t="shared" si="17"/>
        <v/>
      </c>
      <c r="AF147" s="2" t="str">
        <f t="shared" si="20"/>
        <v/>
      </c>
      <c r="AG147" s="9" t="str">
        <f t="shared" si="21"/>
        <v/>
      </c>
      <c r="AH147" s="9" t="str">
        <f t="shared" si="22"/>
        <v/>
      </c>
    </row>
    <row r="148" spans="1:34" x14ac:dyDescent="0.25">
      <c r="A148" s="68"/>
      <c r="B148" s="68"/>
      <c r="C148" s="65"/>
      <c r="D148" s="65"/>
      <c r="E148" s="66"/>
      <c r="F148" s="65"/>
      <c r="G148" s="67"/>
      <c r="AA148" s="2" t="str">
        <f t="shared" si="18"/>
        <v/>
      </c>
      <c r="AC148" s="9" t="str">
        <f t="shared" si="19"/>
        <v/>
      </c>
      <c r="AD148" s="9" t="str">
        <f t="shared" si="17"/>
        <v/>
      </c>
      <c r="AF148" s="2" t="str">
        <f t="shared" si="20"/>
        <v/>
      </c>
      <c r="AG148" s="9" t="str">
        <f t="shared" si="21"/>
        <v/>
      </c>
      <c r="AH148" s="9" t="str">
        <f t="shared" si="22"/>
        <v/>
      </c>
    </row>
    <row r="149" spans="1:34" x14ac:dyDescent="0.25">
      <c r="A149" s="68"/>
      <c r="B149" s="68"/>
      <c r="C149" s="65"/>
      <c r="D149" s="65"/>
      <c r="E149" s="66"/>
      <c r="F149" s="65"/>
      <c r="G149" s="67"/>
      <c r="AA149" s="2" t="str">
        <f t="shared" si="18"/>
        <v/>
      </c>
      <c r="AC149" s="9" t="str">
        <f t="shared" si="19"/>
        <v/>
      </c>
      <c r="AD149" s="9" t="str">
        <f t="shared" si="17"/>
        <v/>
      </c>
      <c r="AF149" s="2" t="str">
        <f t="shared" si="20"/>
        <v/>
      </c>
      <c r="AG149" s="9" t="str">
        <f t="shared" si="21"/>
        <v/>
      </c>
      <c r="AH149" s="9" t="str">
        <f t="shared" si="22"/>
        <v/>
      </c>
    </row>
    <row r="150" spans="1:34" x14ac:dyDescent="0.25">
      <c r="A150" s="68"/>
      <c r="B150" s="68"/>
      <c r="C150" s="65"/>
      <c r="D150" s="65"/>
      <c r="E150" s="66"/>
      <c r="F150" s="65"/>
      <c r="G150" s="67"/>
      <c r="AA150" s="2" t="str">
        <f t="shared" si="18"/>
        <v/>
      </c>
      <c r="AC150" s="9" t="str">
        <f t="shared" si="19"/>
        <v/>
      </c>
      <c r="AD150" s="9" t="str">
        <f t="shared" si="17"/>
        <v/>
      </c>
      <c r="AF150" s="2" t="str">
        <f t="shared" si="20"/>
        <v/>
      </c>
      <c r="AG150" s="9" t="str">
        <f t="shared" si="21"/>
        <v/>
      </c>
      <c r="AH150" s="9" t="str">
        <f t="shared" si="22"/>
        <v/>
      </c>
    </row>
    <row r="151" spans="1:34" x14ac:dyDescent="0.25">
      <c r="A151" s="68"/>
      <c r="B151" s="68"/>
      <c r="C151" s="65"/>
      <c r="D151" s="65"/>
      <c r="E151" s="66"/>
      <c r="F151" s="65"/>
      <c r="G151" s="67"/>
      <c r="AA151" s="2" t="str">
        <f t="shared" si="18"/>
        <v/>
      </c>
      <c r="AC151" s="9" t="str">
        <f t="shared" si="19"/>
        <v/>
      </c>
      <c r="AD151" s="9" t="str">
        <f t="shared" si="17"/>
        <v/>
      </c>
      <c r="AF151" s="2" t="str">
        <f t="shared" si="20"/>
        <v/>
      </c>
      <c r="AG151" s="9" t="str">
        <f t="shared" si="21"/>
        <v/>
      </c>
      <c r="AH151" s="9" t="str">
        <f t="shared" si="22"/>
        <v/>
      </c>
    </row>
    <row r="152" spans="1:34" x14ac:dyDescent="0.25">
      <c r="A152" s="68"/>
      <c r="B152" s="68"/>
      <c r="C152" s="65"/>
      <c r="D152" s="65"/>
      <c r="E152" s="66"/>
      <c r="F152" s="65"/>
      <c r="G152" s="67"/>
      <c r="AA152" s="2" t="str">
        <f t="shared" si="18"/>
        <v/>
      </c>
      <c r="AC152" s="9" t="str">
        <f t="shared" si="19"/>
        <v/>
      </c>
      <c r="AD152" s="9" t="str">
        <f t="shared" si="17"/>
        <v/>
      </c>
      <c r="AF152" s="2" t="str">
        <f t="shared" si="20"/>
        <v/>
      </c>
      <c r="AG152" s="9" t="str">
        <f t="shared" si="21"/>
        <v/>
      </c>
      <c r="AH152" s="9" t="str">
        <f t="shared" si="22"/>
        <v/>
      </c>
    </row>
    <row r="153" spans="1:34" x14ac:dyDescent="0.25">
      <c r="A153" s="68"/>
      <c r="B153" s="68"/>
      <c r="C153" s="65"/>
      <c r="D153" s="65"/>
      <c r="E153" s="66"/>
      <c r="F153" s="65"/>
      <c r="G153" s="67"/>
      <c r="AA153" s="2" t="str">
        <f t="shared" si="18"/>
        <v/>
      </c>
      <c r="AC153" s="9" t="str">
        <f t="shared" si="19"/>
        <v/>
      </c>
      <c r="AD153" s="9" t="str">
        <f t="shared" si="17"/>
        <v/>
      </c>
      <c r="AF153" s="2" t="str">
        <f t="shared" si="20"/>
        <v/>
      </c>
      <c r="AG153" s="9" t="str">
        <f t="shared" si="21"/>
        <v/>
      </c>
      <c r="AH153" s="9" t="str">
        <f t="shared" si="22"/>
        <v/>
      </c>
    </row>
    <row r="154" spans="1:34" x14ac:dyDescent="0.25">
      <c r="A154" s="68"/>
      <c r="B154" s="68"/>
      <c r="C154" s="65"/>
      <c r="D154" s="65"/>
      <c r="E154" s="66"/>
      <c r="F154" s="65"/>
      <c r="G154" s="67"/>
      <c r="AA154" s="2" t="str">
        <f t="shared" si="18"/>
        <v/>
      </c>
      <c r="AC154" s="9" t="str">
        <f t="shared" si="19"/>
        <v/>
      </c>
      <c r="AD154" s="9" t="str">
        <f t="shared" si="17"/>
        <v/>
      </c>
      <c r="AF154" s="2" t="str">
        <f t="shared" si="20"/>
        <v/>
      </c>
      <c r="AG154" s="9" t="str">
        <f t="shared" si="21"/>
        <v/>
      </c>
      <c r="AH154" s="9" t="str">
        <f t="shared" si="22"/>
        <v/>
      </c>
    </row>
    <row r="155" spans="1:34" x14ac:dyDescent="0.25">
      <c r="A155" s="68"/>
      <c r="B155" s="68"/>
      <c r="C155" s="65"/>
      <c r="D155" s="65"/>
      <c r="E155" s="66"/>
      <c r="F155" s="65"/>
      <c r="G155" s="67"/>
      <c r="AA155" s="2" t="str">
        <f t="shared" si="18"/>
        <v/>
      </c>
      <c r="AC155" s="9" t="str">
        <f t="shared" si="19"/>
        <v/>
      </c>
      <c r="AD155" s="9" t="str">
        <f t="shared" si="17"/>
        <v/>
      </c>
      <c r="AF155" s="2" t="str">
        <f t="shared" si="20"/>
        <v/>
      </c>
      <c r="AG155" s="9" t="str">
        <f t="shared" si="21"/>
        <v/>
      </c>
      <c r="AH155" s="9" t="str">
        <f t="shared" si="22"/>
        <v/>
      </c>
    </row>
    <row r="156" spans="1:34" x14ac:dyDescent="0.25">
      <c r="A156" s="68"/>
      <c r="B156" s="68"/>
      <c r="C156" s="65"/>
      <c r="D156" s="65"/>
      <c r="E156" s="66"/>
      <c r="F156" s="65"/>
      <c r="G156" s="67"/>
      <c r="AA156" s="2" t="str">
        <f t="shared" si="18"/>
        <v/>
      </c>
      <c r="AC156" s="9" t="str">
        <f t="shared" si="19"/>
        <v/>
      </c>
      <c r="AD156" s="9" t="str">
        <f t="shared" si="17"/>
        <v/>
      </c>
      <c r="AF156" s="2" t="str">
        <f t="shared" si="20"/>
        <v/>
      </c>
      <c r="AG156" s="9" t="str">
        <f t="shared" si="21"/>
        <v/>
      </c>
      <c r="AH156" s="9" t="str">
        <f t="shared" si="22"/>
        <v/>
      </c>
    </row>
    <row r="157" spans="1:34" x14ac:dyDescent="0.25">
      <c r="A157" s="68"/>
      <c r="B157" s="68"/>
      <c r="C157" s="65"/>
      <c r="D157" s="65"/>
      <c r="E157" s="66"/>
      <c r="F157" s="65"/>
      <c r="G157" s="67"/>
      <c r="AA157" s="2" t="str">
        <f t="shared" si="18"/>
        <v/>
      </c>
      <c r="AC157" s="9" t="str">
        <f t="shared" si="19"/>
        <v/>
      </c>
      <c r="AD157" s="9" t="str">
        <f t="shared" si="17"/>
        <v/>
      </c>
      <c r="AF157" s="2" t="str">
        <f t="shared" si="20"/>
        <v/>
      </c>
      <c r="AG157" s="9" t="str">
        <f t="shared" si="21"/>
        <v/>
      </c>
      <c r="AH157" s="9" t="str">
        <f t="shared" si="22"/>
        <v/>
      </c>
    </row>
    <row r="158" spans="1:34" x14ac:dyDescent="0.25">
      <c r="A158" s="68"/>
      <c r="B158" s="68"/>
      <c r="C158" s="65"/>
      <c r="D158" s="65"/>
      <c r="E158" s="66"/>
      <c r="F158" s="65"/>
      <c r="G158" s="67"/>
      <c r="AA158" s="2" t="str">
        <f t="shared" si="18"/>
        <v/>
      </c>
      <c r="AC158" s="9" t="str">
        <f t="shared" si="19"/>
        <v/>
      </c>
      <c r="AD158" s="9" t="str">
        <f t="shared" ref="AD158:AD221" si="23">IF(AA158="","",IF(AA158&lt;=B$16,0,B$15/(B$17-B$16)))</f>
        <v/>
      </c>
      <c r="AF158" s="2" t="str">
        <f t="shared" si="20"/>
        <v/>
      </c>
      <c r="AG158" s="9" t="str">
        <f t="shared" si="21"/>
        <v/>
      </c>
      <c r="AH158" s="9" t="str">
        <f t="shared" si="22"/>
        <v/>
      </c>
    </row>
    <row r="159" spans="1:34" x14ac:dyDescent="0.25">
      <c r="A159" s="68"/>
      <c r="B159" s="68"/>
      <c r="C159" s="65"/>
      <c r="D159" s="65"/>
      <c r="E159" s="66"/>
      <c r="F159" s="65"/>
      <c r="G159" s="67"/>
      <c r="AA159" s="2" t="str">
        <f t="shared" ref="AA159:AA222" si="24">IF(AA158&lt;B$17,AA158+1,"")</f>
        <v/>
      </c>
      <c r="AC159" s="9" t="str">
        <f t="shared" ref="AC159:AC222" si="25">IF(AB159="","",IF(AA159&lt;=B$16,AC158,AC158-AD159))</f>
        <v/>
      </c>
      <c r="AD159" s="9" t="str">
        <f t="shared" si="23"/>
        <v/>
      </c>
      <c r="AF159" s="2" t="str">
        <f t="shared" ref="AF159:AF180" si="26">IF(AE159="","",AB159-AB$29)</f>
        <v/>
      </c>
      <c r="AG159" s="9" t="str">
        <f t="shared" ref="AG159:AG222" si="27">IF(AF159="","",IF(AF159&lt;365,AF159*AC$25*AD159,365*AD159*AC$25))</f>
        <v/>
      </c>
      <c r="AH159" s="9" t="str">
        <f t="shared" ref="AH159:AH222" si="28">IF(AF159="","",IF(AF159&lt;365,AF159*AC$26*AD159,365*AD159*AC$26))</f>
        <v/>
      </c>
    </row>
    <row r="160" spans="1:34" x14ac:dyDescent="0.25">
      <c r="A160" s="68"/>
      <c r="B160" s="68"/>
      <c r="C160" s="65"/>
      <c r="D160" s="65"/>
      <c r="E160" s="66"/>
      <c r="F160" s="65"/>
      <c r="G160" s="67"/>
      <c r="AA160" s="2" t="str">
        <f t="shared" si="24"/>
        <v/>
      </c>
      <c r="AC160" s="9" t="str">
        <f t="shared" si="25"/>
        <v/>
      </c>
      <c r="AD160" s="9" t="str">
        <f t="shared" si="23"/>
        <v/>
      </c>
      <c r="AF160" s="2" t="str">
        <f t="shared" si="26"/>
        <v/>
      </c>
      <c r="AG160" s="9" t="str">
        <f t="shared" si="27"/>
        <v/>
      </c>
      <c r="AH160" s="9" t="str">
        <f t="shared" si="28"/>
        <v/>
      </c>
    </row>
    <row r="161" spans="1:34" x14ac:dyDescent="0.25">
      <c r="A161" s="68"/>
      <c r="B161" s="68"/>
      <c r="C161" s="65"/>
      <c r="D161" s="65"/>
      <c r="E161" s="66"/>
      <c r="F161" s="65"/>
      <c r="G161" s="67"/>
      <c r="AA161" s="2" t="str">
        <f t="shared" si="24"/>
        <v/>
      </c>
      <c r="AC161" s="9" t="str">
        <f t="shared" si="25"/>
        <v/>
      </c>
      <c r="AD161" s="9" t="str">
        <f t="shared" si="23"/>
        <v/>
      </c>
      <c r="AF161" s="2" t="str">
        <f t="shared" si="26"/>
        <v/>
      </c>
      <c r="AG161" s="9" t="str">
        <f t="shared" si="27"/>
        <v/>
      </c>
      <c r="AH161" s="9" t="str">
        <f t="shared" si="28"/>
        <v/>
      </c>
    </row>
    <row r="162" spans="1:34" x14ac:dyDescent="0.25">
      <c r="A162" s="68"/>
      <c r="B162" s="68"/>
      <c r="C162" s="65"/>
      <c r="D162" s="65"/>
      <c r="E162" s="66"/>
      <c r="F162" s="65"/>
      <c r="G162" s="67"/>
      <c r="AA162" s="2" t="str">
        <f t="shared" si="24"/>
        <v/>
      </c>
      <c r="AC162" s="9" t="str">
        <f t="shared" si="25"/>
        <v/>
      </c>
      <c r="AD162" s="9" t="str">
        <f t="shared" si="23"/>
        <v/>
      </c>
      <c r="AF162" s="2" t="str">
        <f t="shared" si="26"/>
        <v/>
      </c>
      <c r="AG162" s="9" t="str">
        <f t="shared" si="27"/>
        <v/>
      </c>
      <c r="AH162" s="9" t="str">
        <f t="shared" si="28"/>
        <v/>
      </c>
    </row>
    <row r="163" spans="1:34" x14ac:dyDescent="0.25">
      <c r="A163" s="68"/>
      <c r="B163" s="68"/>
      <c r="C163" s="65"/>
      <c r="D163" s="65"/>
      <c r="E163" s="66"/>
      <c r="F163" s="65"/>
      <c r="G163" s="67"/>
      <c r="AA163" s="2" t="str">
        <f t="shared" si="24"/>
        <v/>
      </c>
      <c r="AC163" s="9" t="str">
        <f t="shared" si="25"/>
        <v/>
      </c>
      <c r="AD163" s="9" t="str">
        <f t="shared" si="23"/>
        <v/>
      </c>
      <c r="AF163" s="2" t="str">
        <f t="shared" si="26"/>
        <v/>
      </c>
      <c r="AG163" s="9" t="str">
        <f t="shared" si="27"/>
        <v/>
      </c>
      <c r="AH163" s="9" t="str">
        <f t="shared" si="28"/>
        <v/>
      </c>
    </row>
    <row r="164" spans="1:34" x14ac:dyDescent="0.25">
      <c r="A164" s="68"/>
      <c r="B164" s="68"/>
      <c r="C164" s="65"/>
      <c r="D164" s="65"/>
      <c r="E164" s="66"/>
      <c r="F164" s="65"/>
      <c r="G164" s="67"/>
      <c r="AA164" s="2" t="str">
        <f t="shared" si="24"/>
        <v/>
      </c>
      <c r="AC164" s="9" t="str">
        <f t="shared" si="25"/>
        <v/>
      </c>
      <c r="AD164" s="9" t="str">
        <f t="shared" si="23"/>
        <v/>
      </c>
      <c r="AF164" s="2" t="str">
        <f t="shared" si="26"/>
        <v/>
      </c>
      <c r="AG164" s="9" t="str">
        <f t="shared" si="27"/>
        <v/>
      </c>
      <c r="AH164" s="9" t="str">
        <f t="shared" si="28"/>
        <v/>
      </c>
    </row>
    <row r="165" spans="1:34" x14ac:dyDescent="0.25">
      <c r="A165" s="68"/>
      <c r="B165" s="68"/>
      <c r="C165" s="65"/>
      <c r="D165" s="65"/>
      <c r="E165" s="66"/>
      <c r="F165" s="65"/>
      <c r="G165" s="67"/>
      <c r="AA165" s="2" t="str">
        <f t="shared" si="24"/>
        <v/>
      </c>
      <c r="AC165" s="9" t="str">
        <f t="shared" si="25"/>
        <v/>
      </c>
      <c r="AD165" s="9" t="str">
        <f t="shared" si="23"/>
        <v/>
      </c>
      <c r="AF165" s="2" t="str">
        <f t="shared" si="26"/>
        <v/>
      </c>
      <c r="AG165" s="9" t="str">
        <f t="shared" si="27"/>
        <v/>
      </c>
      <c r="AH165" s="9" t="str">
        <f t="shared" si="28"/>
        <v/>
      </c>
    </row>
    <row r="166" spans="1:34" x14ac:dyDescent="0.25">
      <c r="A166" s="68"/>
      <c r="B166" s="68"/>
      <c r="C166" s="65"/>
      <c r="D166" s="65"/>
      <c r="E166" s="66"/>
      <c r="F166" s="65"/>
      <c r="G166" s="67"/>
      <c r="AA166" s="2" t="str">
        <f t="shared" si="24"/>
        <v/>
      </c>
      <c r="AC166" s="9" t="str">
        <f t="shared" si="25"/>
        <v/>
      </c>
      <c r="AD166" s="9" t="str">
        <f t="shared" si="23"/>
        <v/>
      </c>
      <c r="AF166" s="2" t="str">
        <f t="shared" si="26"/>
        <v/>
      </c>
      <c r="AG166" s="9" t="str">
        <f t="shared" si="27"/>
        <v/>
      </c>
      <c r="AH166" s="9" t="str">
        <f t="shared" si="28"/>
        <v/>
      </c>
    </row>
    <row r="167" spans="1:34" x14ac:dyDescent="0.25">
      <c r="A167" s="68"/>
      <c r="B167" s="68"/>
      <c r="C167" s="65"/>
      <c r="D167" s="65"/>
      <c r="E167" s="66"/>
      <c r="F167" s="65"/>
      <c r="G167" s="67"/>
      <c r="AA167" s="2" t="str">
        <f t="shared" si="24"/>
        <v/>
      </c>
      <c r="AC167" s="9" t="str">
        <f t="shared" si="25"/>
        <v/>
      </c>
      <c r="AD167" s="9" t="str">
        <f t="shared" si="23"/>
        <v/>
      </c>
      <c r="AF167" s="2" t="str">
        <f t="shared" si="26"/>
        <v/>
      </c>
      <c r="AG167" s="9" t="str">
        <f t="shared" si="27"/>
        <v/>
      </c>
      <c r="AH167" s="9" t="str">
        <f t="shared" si="28"/>
        <v/>
      </c>
    </row>
    <row r="168" spans="1:34" x14ac:dyDescent="0.25">
      <c r="A168" s="68"/>
      <c r="B168" s="68"/>
      <c r="C168" s="65"/>
      <c r="D168" s="65"/>
      <c r="E168" s="66"/>
      <c r="F168" s="65"/>
      <c r="G168" s="67"/>
      <c r="AA168" s="2" t="str">
        <f t="shared" si="24"/>
        <v/>
      </c>
      <c r="AC168" s="9" t="str">
        <f t="shared" si="25"/>
        <v/>
      </c>
      <c r="AD168" s="9" t="str">
        <f t="shared" si="23"/>
        <v/>
      </c>
      <c r="AF168" s="2" t="str">
        <f t="shared" si="26"/>
        <v/>
      </c>
      <c r="AG168" s="9" t="str">
        <f t="shared" si="27"/>
        <v/>
      </c>
      <c r="AH168" s="9" t="str">
        <f t="shared" si="28"/>
        <v/>
      </c>
    </row>
    <row r="169" spans="1:34" x14ac:dyDescent="0.25">
      <c r="A169" s="68"/>
      <c r="B169" s="68"/>
      <c r="C169" s="65"/>
      <c r="D169" s="65"/>
      <c r="E169" s="66"/>
      <c r="F169" s="65"/>
      <c r="G169" s="67"/>
      <c r="AA169" s="2" t="str">
        <f t="shared" si="24"/>
        <v/>
      </c>
      <c r="AC169" s="9" t="str">
        <f t="shared" si="25"/>
        <v/>
      </c>
      <c r="AD169" s="9" t="str">
        <f t="shared" si="23"/>
        <v/>
      </c>
      <c r="AF169" s="2" t="str">
        <f t="shared" si="26"/>
        <v/>
      </c>
      <c r="AG169" s="9" t="str">
        <f t="shared" si="27"/>
        <v/>
      </c>
      <c r="AH169" s="9" t="str">
        <f t="shared" si="28"/>
        <v/>
      </c>
    </row>
    <row r="170" spans="1:34" x14ac:dyDescent="0.25">
      <c r="A170" s="68"/>
      <c r="B170" s="68"/>
      <c r="C170" s="65"/>
      <c r="D170" s="65"/>
      <c r="E170" s="66"/>
      <c r="F170" s="65"/>
      <c r="G170" s="67"/>
      <c r="AA170" s="2" t="str">
        <f t="shared" si="24"/>
        <v/>
      </c>
      <c r="AC170" s="9" t="str">
        <f t="shared" si="25"/>
        <v/>
      </c>
      <c r="AD170" s="9" t="str">
        <f t="shared" si="23"/>
        <v/>
      </c>
      <c r="AF170" s="2" t="str">
        <f t="shared" si="26"/>
        <v/>
      </c>
      <c r="AG170" s="9" t="str">
        <f t="shared" si="27"/>
        <v/>
      </c>
      <c r="AH170" s="9" t="str">
        <f t="shared" si="28"/>
        <v/>
      </c>
    </row>
    <row r="171" spans="1:34" x14ac:dyDescent="0.25">
      <c r="A171" s="68"/>
      <c r="B171" s="68"/>
      <c r="C171" s="65"/>
      <c r="D171" s="65"/>
      <c r="E171" s="66"/>
      <c r="F171" s="65"/>
      <c r="G171" s="67"/>
      <c r="AA171" s="2" t="str">
        <f t="shared" si="24"/>
        <v/>
      </c>
      <c r="AC171" s="9" t="str">
        <f t="shared" si="25"/>
        <v/>
      </c>
      <c r="AD171" s="9" t="str">
        <f t="shared" si="23"/>
        <v/>
      </c>
      <c r="AF171" s="2" t="str">
        <f t="shared" si="26"/>
        <v/>
      </c>
      <c r="AG171" s="9" t="str">
        <f t="shared" si="27"/>
        <v/>
      </c>
      <c r="AH171" s="9" t="str">
        <f t="shared" si="28"/>
        <v/>
      </c>
    </row>
    <row r="172" spans="1:34" x14ac:dyDescent="0.25">
      <c r="A172" s="68"/>
      <c r="B172" s="68"/>
      <c r="C172" s="65"/>
      <c r="D172" s="65"/>
      <c r="E172" s="66"/>
      <c r="F172" s="65"/>
      <c r="G172" s="67"/>
      <c r="AA172" s="2" t="str">
        <f t="shared" si="24"/>
        <v/>
      </c>
      <c r="AC172" s="9" t="str">
        <f t="shared" si="25"/>
        <v/>
      </c>
      <c r="AD172" s="9" t="str">
        <f t="shared" si="23"/>
        <v/>
      </c>
      <c r="AF172" s="2" t="str">
        <f t="shared" si="26"/>
        <v/>
      </c>
      <c r="AG172" s="9" t="str">
        <f t="shared" si="27"/>
        <v/>
      </c>
      <c r="AH172" s="9" t="str">
        <f t="shared" si="28"/>
        <v/>
      </c>
    </row>
    <row r="173" spans="1:34" x14ac:dyDescent="0.25">
      <c r="A173" s="68"/>
      <c r="B173" s="68"/>
      <c r="C173" s="65"/>
      <c r="D173" s="65"/>
      <c r="E173" s="66"/>
      <c r="F173" s="65"/>
      <c r="G173" s="67"/>
      <c r="AA173" s="2" t="str">
        <f t="shared" si="24"/>
        <v/>
      </c>
      <c r="AC173" s="9" t="str">
        <f t="shared" si="25"/>
        <v/>
      </c>
      <c r="AD173" s="9" t="str">
        <f t="shared" si="23"/>
        <v/>
      </c>
      <c r="AF173" s="2" t="str">
        <f t="shared" si="26"/>
        <v/>
      </c>
      <c r="AG173" s="9" t="str">
        <f t="shared" si="27"/>
        <v/>
      </c>
      <c r="AH173" s="9" t="str">
        <f t="shared" si="28"/>
        <v/>
      </c>
    </row>
    <row r="174" spans="1:34" x14ac:dyDescent="0.25">
      <c r="A174" s="68"/>
      <c r="B174" s="68"/>
      <c r="C174" s="65"/>
      <c r="D174" s="65"/>
      <c r="E174" s="66"/>
      <c r="F174" s="65"/>
      <c r="G174" s="67"/>
      <c r="AA174" s="2" t="str">
        <f t="shared" si="24"/>
        <v/>
      </c>
      <c r="AC174" s="9" t="str">
        <f t="shared" si="25"/>
        <v/>
      </c>
      <c r="AD174" s="9" t="str">
        <f t="shared" si="23"/>
        <v/>
      </c>
      <c r="AF174" s="2" t="str">
        <f t="shared" si="26"/>
        <v/>
      </c>
      <c r="AG174" s="9" t="str">
        <f t="shared" si="27"/>
        <v/>
      </c>
      <c r="AH174" s="9" t="str">
        <f t="shared" si="28"/>
        <v/>
      </c>
    </row>
    <row r="175" spans="1:34" x14ac:dyDescent="0.25">
      <c r="A175" s="68"/>
      <c r="B175" s="68"/>
      <c r="C175" s="65"/>
      <c r="D175" s="65"/>
      <c r="E175" s="66"/>
      <c r="F175" s="65"/>
      <c r="G175" s="67"/>
      <c r="AA175" s="2" t="str">
        <f t="shared" si="24"/>
        <v/>
      </c>
      <c r="AC175" s="9" t="str">
        <f t="shared" si="25"/>
        <v/>
      </c>
      <c r="AD175" s="9" t="str">
        <f t="shared" si="23"/>
        <v/>
      </c>
      <c r="AF175" s="2" t="str">
        <f t="shared" si="26"/>
        <v/>
      </c>
      <c r="AG175" s="9" t="str">
        <f t="shared" si="27"/>
        <v/>
      </c>
      <c r="AH175" s="9" t="str">
        <f t="shared" si="28"/>
        <v/>
      </c>
    </row>
    <row r="176" spans="1:34" x14ac:dyDescent="0.25">
      <c r="A176" s="68"/>
      <c r="B176" s="68"/>
      <c r="C176" s="65"/>
      <c r="D176" s="65"/>
      <c r="E176" s="66"/>
      <c r="F176" s="65"/>
      <c r="G176" s="67"/>
      <c r="AA176" s="2" t="str">
        <f t="shared" si="24"/>
        <v/>
      </c>
      <c r="AC176" s="9" t="str">
        <f t="shared" si="25"/>
        <v/>
      </c>
      <c r="AD176" s="9" t="str">
        <f t="shared" si="23"/>
        <v/>
      </c>
      <c r="AF176" s="2" t="str">
        <f t="shared" si="26"/>
        <v/>
      </c>
      <c r="AG176" s="9" t="str">
        <f t="shared" si="27"/>
        <v/>
      </c>
      <c r="AH176" s="9" t="str">
        <f t="shared" si="28"/>
        <v/>
      </c>
    </row>
    <row r="177" spans="1:34" x14ac:dyDescent="0.25">
      <c r="A177" s="68"/>
      <c r="B177" s="68"/>
      <c r="C177" s="65"/>
      <c r="D177" s="65"/>
      <c r="E177" s="66"/>
      <c r="F177" s="65"/>
      <c r="G177" s="67"/>
      <c r="AA177" s="2" t="str">
        <f t="shared" si="24"/>
        <v/>
      </c>
      <c r="AC177" s="9" t="str">
        <f t="shared" si="25"/>
        <v/>
      </c>
      <c r="AD177" s="9" t="str">
        <f t="shared" si="23"/>
        <v/>
      </c>
      <c r="AF177" s="2" t="str">
        <f t="shared" si="26"/>
        <v/>
      </c>
      <c r="AG177" s="9" t="str">
        <f t="shared" si="27"/>
        <v/>
      </c>
      <c r="AH177" s="9" t="str">
        <f t="shared" si="28"/>
        <v/>
      </c>
    </row>
    <row r="178" spans="1:34" x14ac:dyDescent="0.25">
      <c r="A178" s="68"/>
      <c r="B178" s="68"/>
      <c r="C178" s="65"/>
      <c r="D178" s="65"/>
      <c r="E178" s="66"/>
      <c r="F178" s="65"/>
      <c r="G178" s="67"/>
      <c r="AA178" s="2" t="str">
        <f t="shared" si="24"/>
        <v/>
      </c>
      <c r="AC178" s="9" t="str">
        <f t="shared" si="25"/>
        <v/>
      </c>
      <c r="AD178" s="9" t="str">
        <f t="shared" si="23"/>
        <v/>
      </c>
      <c r="AF178" s="2" t="str">
        <f t="shared" si="26"/>
        <v/>
      </c>
      <c r="AG178" s="9" t="str">
        <f t="shared" si="27"/>
        <v/>
      </c>
      <c r="AH178" s="9" t="str">
        <f t="shared" si="28"/>
        <v/>
      </c>
    </row>
    <row r="179" spans="1:34" x14ac:dyDescent="0.25">
      <c r="A179" s="68"/>
      <c r="B179" s="68"/>
      <c r="C179" s="65"/>
      <c r="D179" s="65"/>
      <c r="E179" s="66"/>
      <c r="F179" s="65"/>
      <c r="G179" s="67"/>
      <c r="AA179" s="2" t="str">
        <f t="shared" si="24"/>
        <v/>
      </c>
      <c r="AC179" s="9" t="str">
        <f t="shared" si="25"/>
        <v/>
      </c>
      <c r="AD179" s="9" t="str">
        <f t="shared" si="23"/>
        <v/>
      </c>
      <c r="AF179" s="2" t="str">
        <f t="shared" si="26"/>
        <v/>
      </c>
      <c r="AG179" s="9" t="str">
        <f t="shared" si="27"/>
        <v/>
      </c>
      <c r="AH179" s="9" t="str">
        <f t="shared" si="28"/>
        <v/>
      </c>
    </row>
    <row r="180" spans="1:34" x14ac:dyDescent="0.25">
      <c r="A180" s="68"/>
      <c r="B180" s="68"/>
      <c r="C180" s="65"/>
      <c r="D180" s="65"/>
      <c r="E180" s="66"/>
      <c r="F180" s="65"/>
      <c r="G180" s="67"/>
      <c r="AA180" s="2" t="str">
        <f t="shared" si="24"/>
        <v/>
      </c>
      <c r="AC180" s="9" t="str">
        <f t="shared" si="25"/>
        <v/>
      </c>
      <c r="AD180" s="9" t="str">
        <f t="shared" si="23"/>
        <v/>
      </c>
      <c r="AF180" s="2" t="str">
        <f t="shared" si="26"/>
        <v/>
      </c>
      <c r="AG180" s="9" t="str">
        <f t="shared" si="27"/>
        <v/>
      </c>
      <c r="AH180" s="9" t="str">
        <f t="shared" si="28"/>
        <v/>
      </c>
    </row>
    <row r="181" spans="1:34" x14ac:dyDescent="0.25">
      <c r="A181" s="68"/>
      <c r="B181" s="68"/>
      <c r="C181" s="65"/>
      <c r="D181" s="65"/>
      <c r="E181" s="66"/>
      <c r="F181" s="65"/>
      <c r="G181" s="67"/>
      <c r="AA181" s="2" t="str">
        <f t="shared" si="24"/>
        <v/>
      </c>
      <c r="AC181" s="9" t="str">
        <f t="shared" si="25"/>
        <v/>
      </c>
      <c r="AD181" s="9" t="str">
        <f t="shared" si="23"/>
        <v/>
      </c>
      <c r="AF181" s="2" t="str">
        <f>IF(AE181="","",AB181-AB$29)</f>
        <v/>
      </c>
      <c r="AG181" s="9" t="str">
        <f t="shared" si="27"/>
        <v/>
      </c>
      <c r="AH181" s="9" t="str">
        <f t="shared" si="28"/>
        <v/>
      </c>
    </row>
    <row r="182" spans="1:34" x14ac:dyDescent="0.25">
      <c r="A182" s="68"/>
      <c r="B182" s="68"/>
      <c r="C182" s="65"/>
      <c r="D182" s="65"/>
      <c r="E182" s="66"/>
      <c r="F182" s="65"/>
      <c r="G182" s="67"/>
      <c r="AA182" s="2" t="str">
        <f t="shared" si="24"/>
        <v/>
      </c>
      <c r="AC182" s="9" t="str">
        <f t="shared" si="25"/>
        <v/>
      </c>
      <c r="AD182" s="9" t="str">
        <f t="shared" si="23"/>
        <v/>
      </c>
      <c r="AF182" s="2" t="str">
        <f t="shared" ref="AF182:AF229" si="29">IF(AE182="","",AB182-AB$29)</f>
        <v/>
      </c>
      <c r="AG182" s="9" t="str">
        <f t="shared" si="27"/>
        <v/>
      </c>
      <c r="AH182" s="9" t="str">
        <f t="shared" si="28"/>
        <v/>
      </c>
    </row>
    <row r="183" spans="1:34" x14ac:dyDescent="0.25">
      <c r="A183" s="68"/>
      <c r="B183" s="68"/>
      <c r="C183" s="65"/>
      <c r="D183" s="65"/>
      <c r="E183" s="66"/>
      <c r="F183" s="65"/>
      <c r="G183" s="67"/>
      <c r="AA183" s="2" t="str">
        <f t="shared" si="24"/>
        <v/>
      </c>
      <c r="AC183" s="9" t="str">
        <f t="shared" si="25"/>
        <v/>
      </c>
      <c r="AD183" s="9" t="str">
        <f t="shared" si="23"/>
        <v/>
      </c>
      <c r="AF183" s="2" t="str">
        <f t="shared" si="29"/>
        <v/>
      </c>
      <c r="AG183" s="9" t="str">
        <f t="shared" si="27"/>
        <v/>
      </c>
      <c r="AH183" s="9" t="str">
        <f t="shared" si="28"/>
        <v/>
      </c>
    </row>
    <row r="184" spans="1:34" x14ac:dyDescent="0.25">
      <c r="A184" s="68"/>
      <c r="B184" s="68"/>
      <c r="C184" s="65"/>
      <c r="D184" s="65"/>
      <c r="E184" s="66"/>
      <c r="F184" s="65"/>
      <c r="G184" s="67"/>
      <c r="AA184" s="2" t="str">
        <f t="shared" si="24"/>
        <v/>
      </c>
      <c r="AC184" s="9" t="str">
        <f t="shared" si="25"/>
        <v/>
      </c>
      <c r="AD184" s="9" t="str">
        <f t="shared" si="23"/>
        <v/>
      </c>
      <c r="AF184" s="2" t="str">
        <f t="shared" si="29"/>
        <v/>
      </c>
      <c r="AG184" s="9" t="str">
        <f t="shared" si="27"/>
        <v/>
      </c>
      <c r="AH184" s="9" t="str">
        <f t="shared" si="28"/>
        <v/>
      </c>
    </row>
    <row r="185" spans="1:34" x14ac:dyDescent="0.25">
      <c r="A185" s="68"/>
      <c r="B185" s="68"/>
      <c r="C185" s="65"/>
      <c r="D185" s="65"/>
      <c r="E185" s="66"/>
      <c r="F185" s="65"/>
      <c r="G185" s="67"/>
      <c r="AA185" s="2" t="str">
        <f t="shared" si="24"/>
        <v/>
      </c>
      <c r="AC185" s="9" t="str">
        <f t="shared" si="25"/>
        <v/>
      </c>
      <c r="AD185" s="9" t="str">
        <f t="shared" si="23"/>
        <v/>
      </c>
      <c r="AF185" s="2" t="str">
        <f t="shared" si="29"/>
        <v/>
      </c>
      <c r="AG185" s="9" t="str">
        <f t="shared" si="27"/>
        <v/>
      </c>
      <c r="AH185" s="9" t="str">
        <f t="shared" si="28"/>
        <v/>
      </c>
    </row>
    <row r="186" spans="1:34" x14ac:dyDescent="0.25">
      <c r="A186" s="68"/>
      <c r="B186" s="68"/>
      <c r="C186" s="65"/>
      <c r="D186" s="65"/>
      <c r="E186" s="66"/>
      <c r="F186" s="65"/>
      <c r="G186" s="67"/>
      <c r="AA186" s="2" t="str">
        <f t="shared" si="24"/>
        <v/>
      </c>
      <c r="AC186" s="9" t="str">
        <f t="shared" si="25"/>
        <v/>
      </c>
      <c r="AD186" s="9" t="str">
        <f t="shared" si="23"/>
        <v/>
      </c>
      <c r="AF186" s="2" t="str">
        <f t="shared" si="29"/>
        <v/>
      </c>
      <c r="AG186" s="9" t="str">
        <f t="shared" si="27"/>
        <v/>
      </c>
      <c r="AH186" s="9" t="str">
        <f t="shared" si="28"/>
        <v/>
      </c>
    </row>
    <row r="187" spans="1:34" x14ac:dyDescent="0.25">
      <c r="A187" s="68"/>
      <c r="B187" s="68"/>
      <c r="C187" s="65"/>
      <c r="D187" s="65"/>
      <c r="E187" s="66"/>
      <c r="F187" s="65"/>
      <c r="G187" s="67"/>
      <c r="AA187" s="2" t="str">
        <f t="shared" si="24"/>
        <v/>
      </c>
      <c r="AC187" s="9" t="str">
        <f t="shared" si="25"/>
        <v/>
      </c>
      <c r="AD187" s="9" t="str">
        <f t="shared" si="23"/>
        <v/>
      </c>
      <c r="AF187" s="2" t="str">
        <f t="shared" si="29"/>
        <v/>
      </c>
      <c r="AG187" s="9" t="str">
        <f t="shared" si="27"/>
        <v/>
      </c>
      <c r="AH187" s="9" t="str">
        <f t="shared" si="28"/>
        <v/>
      </c>
    </row>
    <row r="188" spans="1:34" x14ac:dyDescent="0.25">
      <c r="A188" s="68"/>
      <c r="B188" s="68"/>
      <c r="C188" s="65"/>
      <c r="D188" s="65"/>
      <c r="E188" s="66"/>
      <c r="F188" s="65"/>
      <c r="G188" s="67"/>
      <c r="AA188" s="2" t="str">
        <f t="shared" si="24"/>
        <v/>
      </c>
      <c r="AC188" s="9" t="str">
        <f t="shared" si="25"/>
        <v/>
      </c>
      <c r="AD188" s="9" t="str">
        <f t="shared" si="23"/>
        <v/>
      </c>
      <c r="AF188" s="2" t="str">
        <f t="shared" si="29"/>
        <v/>
      </c>
      <c r="AG188" s="9" t="str">
        <f t="shared" si="27"/>
        <v/>
      </c>
      <c r="AH188" s="9" t="str">
        <f t="shared" si="28"/>
        <v/>
      </c>
    </row>
    <row r="189" spans="1:34" x14ac:dyDescent="0.25">
      <c r="A189" s="68"/>
      <c r="B189" s="68"/>
      <c r="C189" s="65"/>
      <c r="D189" s="65"/>
      <c r="E189" s="66"/>
      <c r="F189" s="65"/>
      <c r="G189" s="67"/>
      <c r="AA189" s="2" t="str">
        <f t="shared" si="24"/>
        <v/>
      </c>
      <c r="AC189" s="9" t="str">
        <f t="shared" si="25"/>
        <v/>
      </c>
      <c r="AD189" s="9" t="str">
        <f t="shared" si="23"/>
        <v/>
      </c>
      <c r="AF189" s="2" t="str">
        <f t="shared" si="29"/>
        <v/>
      </c>
      <c r="AG189" s="9" t="str">
        <f t="shared" si="27"/>
        <v/>
      </c>
      <c r="AH189" s="9" t="str">
        <f t="shared" si="28"/>
        <v/>
      </c>
    </row>
    <row r="190" spans="1:34" x14ac:dyDescent="0.25">
      <c r="A190" s="68"/>
      <c r="B190" s="68"/>
      <c r="C190" s="65"/>
      <c r="D190" s="65"/>
      <c r="E190" s="66"/>
      <c r="F190" s="65"/>
      <c r="G190" s="67"/>
      <c r="AA190" s="2" t="str">
        <f t="shared" si="24"/>
        <v/>
      </c>
      <c r="AC190" s="9" t="str">
        <f t="shared" si="25"/>
        <v/>
      </c>
      <c r="AD190" s="9" t="str">
        <f t="shared" si="23"/>
        <v/>
      </c>
      <c r="AF190" s="2" t="str">
        <f t="shared" si="29"/>
        <v/>
      </c>
      <c r="AG190" s="9" t="str">
        <f t="shared" si="27"/>
        <v/>
      </c>
      <c r="AH190" s="9" t="str">
        <f t="shared" si="28"/>
        <v/>
      </c>
    </row>
    <row r="191" spans="1:34" x14ac:dyDescent="0.25">
      <c r="A191" s="68"/>
      <c r="B191" s="68"/>
      <c r="C191" s="65"/>
      <c r="D191" s="65"/>
      <c r="E191" s="66"/>
      <c r="F191" s="65"/>
      <c r="G191" s="67"/>
      <c r="AA191" s="2" t="str">
        <f t="shared" si="24"/>
        <v/>
      </c>
      <c r="AC191" s="9" t="str">
        <f t="shared" si="25"/>
        <v/>
      </c>
      <c r="AD191" s="9" t="str">
        <f t="shared" si="23"/>
        <v/>
      </c>
      <c r="AF191" s="2" t="str">
        <f t="shared" si="29"/>
        <v/>
      </c>
      <c r="AG191" s="9" t="str">
        <f t="shared" si="27"/>
        <v/>
      </c>
      <c r="AH191" s="9" t="str">
        <f t="shared" si="28"/>
        <v/>
      </c>
    </row>
    <row r="192" spans="1:34" x14ac:dyDescent="0.25">
      <c r="A192" s="68"/>
      <c r="B192" s="68"/>
      <c r="C192" s="65"/>
      <c r="D192" s="65"/>
      <c r="E192" s="66"/>
      <c r="F192" s="65"/>
      <c r="G192" s="67"/>
      <c r="AA192" s="2" t="str">
        <f t="shared" si="24"/>
        <v/>
      </c>
      <c r="AC192" s="9" t="str">
        <f t="shared" si="25"/>
        <v/>
      </c>
      <c r="AD192" s="9" t="str">
        <f t="shared" si="23"/>
        <v/>
      </c>
      <c r="AF192" s="2" t="str">
        <f t="shared" si="29"/>
        <v/>
      </c>
      <c r="AG192" s="9" t="str">
        <f t="shared" si="27"/>
        <v/>
      </c>
      <c r="AH192" s="9" t="str">
        <f t="shared" si="28"/>
        <v/>
      </c>
    </row>
    <row r="193" spans="1:34" x14ac:dyDescent="0.25">
      <c r="A193" s="68"/>
      <c r="B193" s="68"/>
      <c r="C193" s="65"/>
      <c r="D193" s="65"/>
      <c r="E193" s="66"/>
      <c r="F193" s="65"/>
      <c r="G193" s="67"/>
      <c r="AA193" s="2" t="str">
        <f t="shared" si="24"/>
        <v/>
      </c>
      <c r="AC193" s="9" t="str">
        <f t="shared" si="25"/>
        <v/>
      </c>
      <c r="AD193" s="9" t="str">
        <f t="shared" si="23"/>
        <v/>
      </c>
      <c r="AF193" s="2" t="str">
        <f t="shared" si="29"/>
        <v/>
      </c>
      <c r="AG193" s="9" t="str">
        <f t="shared" si="27"/>
        <v/>
      </c>
      <c r="AH193" s="9" t="str">
        <f t="shared" si="28"/>
        <v/>
      </c>
    </row>
    <row r="194" spans="1:34" x14ac:dyDescent="0.25">
      <c r="A194" s="68"/>
      <c r="B194" s="68"/>
      <c r="C194" s="65"/>
      <c r="D194" s="65"/>
      <c r="E194" s="66"/>
      <c r="F194" s="65"/>
      <c r="G194" s="67"/>
      <c r="AA194" s="2" t="str">
        <f t="shared" si="24"/>
        <v/>
      </c>
      <c r="AC194" s="9" t="str">
        <f t="shared" si="25"/>
        <v/>
      </c>
      <c r="AD194" s="9" t="str">
        <f t="shared" si="23"/>
        <v/>
      </c>
      <c r="AF194" s="2" t="str">
        <f t="shared" si="29"/>
        <v/>
      </c>
      <c r="AG194" s="9" t="str">
        <f t="shared" si="27"/>
        <v/>
      </c>
      <c r="AH194" s="9" t="str">
        <f t="shared" si="28"/>
        <v/>
      </c>
    </row>
    <row r="195" spans="1:34" x14ac:dyDescent="0.25">
      <c r="A195" s="68"/>
      <c r="B195" s="68"/>
      <c r="C195" s="65"/>
      <c r="D195" s="65"/>
      <c r="E195" s="66"/>
      <c r="F195" s="65"/>
      <c r="G195" s="67"/>
      <c r="AA195" s="2" t="str">
        <f t="shared" si="24"/>
        <v/>
      </c>
      <c r="AC195" s="9" t="str">
        <f t="shared" si="25"/>
        <v/>
      </c>
      <c r="AD195" s="9" t="str">
        <f t="shared" si="23"/>
        <v/>
      </c>
      <c r="AF195" s="2" t="str">
        <f t="shared" si="29"/>
        <v/>
      </c>
      <c r="AG195" s="9" t="str">
        <f t="shared" si="27"/>
        <v/>
      </c>
      <c r="AH195" s="9" t="str">
        <f t="shared" si="28"/>
        <v/>
      </c>
    </row>
    <row r="196" spans="1:34" x14ac:dyDescent="0.25">
      <c r="A196" s="68"/>
      <c r="B196" s="68"/>
      <c r="C196" s="65"/>
      <c r="D196" s="65"/>
      <c r="E196" s="66"/>
      <c r="F196" s="65"/>
      <c r="G196" s="67"/>
      <c r="AA196" s="2" t="str">
        <f t="shared" si="24"/>
        <v/>
      </c>
      <c r="AC196" s="9" t="str">
        <f t="shared" si="25"/>
        <v/>
      </c>
      <c r="AD196" s="9" t="str">
        <f t="shared" si="23"/>
        <v/>
      </c>
      <c r="AF196" s="2" t="str">
        <f t="shared" si="29"/>
        <v/>
      </c>
      <c r="AG196" s="9" t="str">
        <f t="shared" si="27"/>
        <v/>
      </c>
      <c r="AH196" s="9" t="str">
        <f t="shared" si="28"/>
        <v/>
      </c>
    </row>
    <row r="197" spans="1:34" x14ac:dyDescent="0.25">
      <c r="A197" s="68"/>
      <c r="B197" s="68"/>
      <c r="C197" s="65"/>
      <c r="D197" s="65"/>
      <c r="E197" s="66"/>
      <c r="F197" s="65"/>
      <c r="G197" s="67"/>
      <c r="AA197" s="2" t="str">
        <f t="shared" si="24"/>
        <v/>
      </c>
      <c r="AC197" s="9" t="str">
        <f t="shared" si="25"/>
        <v/>
      </c>
      <c r="AD197" s="9" t="str">
        <f t="shared" si="23"/>
        <v/>
      </c>
      <c r="AF197" s="2" t="str">
        <f t="shared" si="29"/>
        <v/>
      </c>
      <c r="AG197" s="9" t="str">
        <f t="shared" si="27"/>
        <v/>
      </c>
      <c r="AH197" s="9" t="str">
        <f t="shared" si="28"/>
        <v/>
      </c>
    </row>
    <row r="198" spans="1:34" x14ac:dyDescent="0.25">
      <c r="A198" s="68"/>
      <c r="B198" s="68"/>
      <c r="C198" s="65"/>
      <c r="D198" s="65"/>
      <c r="E198" s="66"/>
      <c r="F198" s="65"/>
      <c r="G198" s="67"/>
      <c r="AA198" s="2" t="str">
        <f t="shared" si="24"/>
        <v/>
      </c>
      <c r="AC198" s="9" t="str">
        <f t="shared" si="25"/>
        <v/>
      </c>
      <c r="AD198" s="9" t="str">
        <f t="shared" si="23"/>
        <v/>
      </c>
      <c r="AF198" s="2" t="str">
        <f t="shared" si="29"/>
        <v/>
      </c>
      <c r="AG198" s="9" t="str">
        <f t="shared" si="27"/>
        <v/>
      </c>
      <c r="AH198" s="9" t="str">
        <f t="shared" si="28"/>
        <v/>
      </c>
    </row>
    <row r="199" spans="1:34" x14ac:dyDescent="0.25">
      <c r="A199" s="68"/>
      <c r="B199" s="68"/>
      <c r="C199" s="65"/>
      <c r="D199" s="65"/>
      <c r="E199" s="66"/>
      <c r="F199" s="65"/>
      <c r="G199" s="67"/>
      <c r="AA199" s="2" t="str">
        <f t="shared" si="24"/>
        <v/>
      </c>
      <c r="AC199" s="9" t="str">
        <f t="shared" si="25"/>
        <v/>
      </c>
      <c r="AD199" s="9" t="str">
        <f t="shared" si="23"/>
        <v/>
      </c>
      <c r="AF199" s="2" t="str">
        <f t="shared" si="29"/>
        <v/>
      </c>
      <c r="AG199" s="9" t="str">
        <f t="shared" si="27"/>
        <v/>
      </c>
      <c r="AH199" s="9" t="str">
        <f t="shared" si="28"/>
        <v/>
      </c>
    </row>
    <row r="200" spans="1:34" x14ac:dyDescent="0.25">
      <c r="A200" s="68"/>
      <c r="B200" s="68"/>
      <c r="C200" s="65"/>
      <c r="D200" s="65"/>
      <c r="E200" s="66"/>
      <c r="F200" s="65"/>
      <c r="G200" s="67"/>
      <c r="AA200" s="2" t="str">
        <f t="shared" si="24"/>
        <v/>
      </c>
      <c r="AC200" s="9" t="str">
        <f t="shared" si="25"/>
        <v/>
      </c>
      <c r="AD200" s="9" t="str">
        <f t="shared" si="23"/>
        <v/>
      </c>
      <c r="AF200" s="2" t="str">
        <f t="shared" si="29"/>
        <v/>
      </c>
      <c r="AG200" s="9" t="str">
        <f t="shared" si="27"/>
        <v/>
      </c>
      <c r="AH200" s="9" t="str">
        <f t="shared" si="28"/>
        <v/>
      </c>
    </row>
    <row r="201" spans="1:34" x14ac:dyDescent="0.25">
      <c r="A201" s="68"/>
      <c r="B201" s="68"/>
      <c r="C201" s="65"/>
      <c r="D201" s="65"/>
      <c r="E201" s="66"/>
      <c r="F201" s="65"/>
      <c r="G201" s="67"/>
      <c r="AA201" s="2" t="str">
        <f t="shared" si="24"/>
        <v/>
      </c>
      <c r="AC201" s="9" t="str">
        <f t="shared" si="25"/>
        <v/>
      </c>
      <c r="AD201" s="9" t="str">
        <f t="shared" si="23"/>
        <v/>
      </c>
      <c r="AF201" s="2" t="str">
        <f t="shared" si="29"/>
        <v/>
      </c>
      <c r="AG201" s="9" t="str">
        <f t="shared" si="27"/>
        <v/>
      </c>
      <c r="AH201" s="9" t="str">
        <f t="shared" si="28"/>
        <v/>
      </c>
    </row>
    <row r="202" spans="1:34" x14ac:dyDescent="0.25">
      <c r="A202" s="68"/>
      <c r="B202" s="68"/>
      <c r="C202" s="65"/>
      <c r="D202" s="65"/>
      <c r="E202" s="66"/>
      <c r="F202" s="65"/>
      <c r="G202" s="67"/>
      <c r="AA202" s="2" t="str">
        <f t="shared" si="24"/>
        <v/>
      </c>
      <c r="AC202" s="9" t="str">
        <f t="shared" si="25"/>
        <v/>
      </c>
      <c r="AD202" s="9" t="str">
        <f t="shared" si="23"/>
        <v/>
      </c>
      <c r="AF202" s="2" t="str">
        <f t="shared" si="29"/>
        <v/>
      </c>
      <c r="AG202" s="9" t="str">
        <f t="shared" si="27"/>
        <v/>
      </c>
      <c r="AH202" s="9" t="str">
        <f t="shared" si="28"/>
        <v/>
      </c>
    </row>
    <row r="203" spans="1:34" x14ac:dyDescent="0.25">
      <c r="A203" s="68"/>
      <c r="B203" s="68"/>
      <c r="C203" s="65"/>
      <c r="D203" s="65"/>
      <c r="E203" s="66"/>
      <c r="F203" s="65"/>
      <c r="G203" s="67"/>
      <c r="AA203" s="2" t="str">
        <f t="shared" si="24"/>
        <v/>
      </c>
      <c r="AC203" s="9" t="str">
        <f t="shared" si="25"/>
        <v/>
      </c>
      <c r="AD203" s="9" t="str">
        <f t="shared" si="23"/>
        <v/>
      </c>
      <c r="AF203" s="2" t="str">
        <f t="shared" si="29"/>
        <v/>
      </c>
      <c r="AG203" s="9" t="str">
        <f t="shared" si="27"/>
        <v/>
      </c>
      <c r="AH203" s="9" t="str">
        <f t="shared" si="28"/>
        <v/>
      </c>
    </row>
    <row r="204" spans="1:34" x14ac:dyDescent="0.25">
      <c r="A204" s="68"/>
      <c r="B204" s="68"/>
      <c r="C204" s="65"/>
      <c r="D204" s="65"/>
      <c r="E204" s="66"/>
      <c r="F204" s="65"/>
      <c r="G204" s="67"/>
      <c r="AA204" s="2" t="str">
        <f t="shared" si="24"/>
        <v/>
      </c>
      <c r="AC204" s="9" t="str">
        <f t="shared" si="25"/>
        <v/>
      </c>
      <c r="AD204" s="9" t="str">
        <f t="shared" si="23"/>
        <v/>
      </c>
      <c r="AF204" s="2" t="str">
        <f t="shared" si="29"/>
        <v/>
      </c>
      <c r="AG204" s="9" t="str">
        <f t="shared" si="27"/>
        <v/>
      </c>
      <c r="AH204" s="9" t="str">
        <f t="shared" si="28"/>
        <v/>
      </c>
    </row>
    <row r="205" spans="1:34" x14ac:dyDescent="0.25">
      <c r="A205" s="68"/>
      <c r="B205" s="68"/>
      <c r="C205" s="65"/>
      <c r="D205" s="65"/>
      <c r="E205" s="66"/>
      <c r="F205" s="65"/>
      <c r="G205" s="67"/>
      <c r="AA205" s="2" t="str">
        <f t="shared" si="24"/>
        <v/>
      </c>
      <c r="AC205" s="9" t="str">
        <f t="shared" si="25"/>
        <v/>
      </c>
      <c r="AD205" s="9" t="str">
        <f t="shared" si="23"/>
        <v/>
      </c>
      <c r="AF205" s="2" t="str">
        <f t="shared" si="29"/>
        <v/>
      </c>
      <c r="AG205" s="9" t="str">
        <f t="shared" si="27"/>
        <v/>
      </c>
      <c r="AH205" s="9" t="str">
        <f t="shared" si="28"/>
        <v/>
      </c>
    </row>
    <row r="206" spans="1:34" x14ac:dyDescent="0.25">
      <c r="A206" s="68"/>
      <c r="B206" s="68"/>
      <c r="C206" s="65"/>
      <c r="D206" s="65"/>
      <c r="E206" s="66"/>
      <c r="F206" s="65"/>
      <c r="G206" s="67"/>
      <c r="AA206" s="2" t="str">
        <f t="shared" si="24"/>
        <v/>
      </c>
      <c r="AC206" s="9" t="str">
        <f t="shared" si="25"/>
        <v/>
      </c>
      <c r="AD206" s="9" t="str">
        <f t="shared" si="23"/>
        <v/>
      </c>
      <c r="AF206" s="2" t="str">
        <f t="shared" si="29"/>
        <v/>
      </c>
      <c r="AG206" s="9" t="str">
        <f t="shared" si="27"/>
        <v/>
      </c>
      <c r="AH206" s="9" t="str">
        <f t="shared" si="28"/>
        <v/>
      </c>
    </row>
    <row r="207" spans="1:34" x14ac:dyDescent="0.25">
      <c r="A207" s="68"/>
      <c r="B207" s="68"/>
      <c r="C207" s="65"/>
      <c r="D207" s="65"/>
      <c r="E207" s="66"/>
      <c r="F207" s="65"/>
      <c r="G207" s="67"/>
      <c r="AA207" s="2" t="str">
        <f t="shared" si="24"/>
        <v/>
      </c>
      <c r="AC207" s="9" t="str">
        <f t="shared" si="25"/>
        <v/>
      </c>
      <c r="AD207" s="9" t="str">
        <f t="shared" si="23"/>
        <v/>
      </c>
      <c r="AF207" s="2" t="str">
        <f t="shared" si="29"/>
        <v/>
      </c>
      <c r="AG207" s="9" t="str">
        <f t="shared" si="27"/>
        <v/>
      </c>
      <c r="AH207" s="9" t="str">
        <f t="shared" si="28"/>
        <v/>
      </c>
    </row>
    <row r="208" spans="1:34" x14ac:dyDescent="0.25">
      <c r="A208" s="68"/>
      <c r="B208" s="68"/>
      <c r="C208" s="65"/>
      <c r="D208" s="65"/>
      <c r="E208" s="66"/>
      <c r="F208" s="65"/>
      <c r="G208" s="67"/>
      <c r="AA208" s="2" t="str">
        <f t="shared" si="24"/>
        <v/>
      </c>
      <c r="AC208" s="9" t="str">
        <f t="shared" si="25"/>
        <v/>
      </c>
      <c r="AD208" s="9" t="str">
        <f t="shared" si="23"/>
        <v/>
      </c>
      <c r="AF208" s="2" t="str">
        <f t="shared" si="29"/>
        <v/>
      </c>
      <c r="AG208" s="9" t="str">
        <f t="shared" si="27"/>
        <v/>
      </c>
      <c r="AH208" s="9" t="str">
        <f t="shared" si="28"/>
        <v/>
      </c>
    </row>
    <row r="209" spans="1:34" x14ac:dyDescent="0.25">
      <c r="A209" s="68"/>
      <c r="B209" s="68"/>
      <c r="C209" s="65"/>
      <c r="D209" s="65"/>
      <c r="E209" s="66"/>
      <c r="F209" s="65"/>
      <c r="G209" s="67"/>
      <c r="AA209" s="2" t="str">
        <f t="shared" si="24"/>
        <v/>
      </c>
      <c r="AC209" s="9" t="str">
        <f t="shared" si="25"/>
        <v/>
      </c>
      <c r="AD209" s="9" t="str">
        <f t="shared" si="23"/>
        <v/>
      </c>
      <c r="AF209" s="2" t="str">
        <f t="shared" si="29"/>
        <v/>
      </c>
      <c r="AG209" s="9" t="str">
        <f t="shared" si="27"/>
        <v/>
      </c>
      <c r="AH209" s="9" t="str">
        <f t="shared" si="28"/>
        <v/>
      </c>
    </row>
    <row r="210" spans="1:34" x14ac:dyDescent="0.25">
      <c r="A210" s="68"/>
      <c r="B210" s="68"/>
      <c r="C210" s="65"/>
      <c r="D210" s="65"/>
      <c r="E210" s="66"/>
      <c r="F210" s="65"/>
      <c r="G210" s="67"/>
      <c r="AA210" s="2" t="str">
        <f t="shared" si="24"/>
        <v/>
      </c>
      <c r="AC210" s="9" t="str">
        <f t="shared" si="25"/>
        <v/>
      </c>
      <c r="AD210" s="9" t="str">
        <f t="shared" si="23"/>
        <v/>
      </c>
      <c r="AF210" s="2" t="str">
        <f t="shared" si="29"/>
        <v/>
      </c>
      <c r="AG210" s="9" t="str">
        <f t="shared" si="27"/>
        <v/>
      </c>
      <c r="AH210" s="9" t="str">
        <f t="shared" si="28"/>
        <v/>
      </c>
    </row>
    <row r="211" spans="1:34" x14ac:dyDescent="0.25">
      <c r="A211" s="68"/>
      <c r="B211" s="68"/>
      <c r="C211" s="65"/>
      <c r="D211" s="65"/>
      <c r="E211" s="66"/>
      <c r="F211" s="65"/>
      <c r="G211" s="67"/>
      <c r="AA211" s="2" t="str">
        <f t="shared" si="24"/>
        <v/>
      </c>
      <c r="AC211" s="9" t="str">
        <f t="shared" si="25"/>
        <v/>
      </c>
      <c r="AD211" s="9" t="str">
        <f t="shared" si="23"/>
        <v/>
      </c>
      <c r="AF211" s="2" t="str">
        <f t="shared" si="29"/>
        <v/>
      </c>
      <c r="AG211" s="9" t="str">
        <f t="shared" si="27"/>
        <v/>
      </c>
      <c r="AH211" s="9" t="str">
        <f t="shared" si="28"/>
        <v/>
      </c>
    </row>
    <row r="212" spans="1:34" x14ac:dyDescent="0.25">
      <c r="A212" s="68"/>
      <c r="B212" s="68"/>
      <c r="C212" s="65"/>
      <c r="D212" s="65"/>
      <c r="E212" s="66"/>
      <c r="F212" s="65"/>
      <c r="G212" s="67"/>
      <c r="AA212" s="2" t="str">
        <f t="shared" si="24"/>
        <v/>
      </c>
      <c r="AC212" s="9" t="str">
        <f t="shared" si="25"/>
        <v/>
      </c>
      <c r="AD212" s="9" t="str">
        <f t="shared" si="23"/>
        <v/>
      </c>
      <c r="AF212" s="2" t="str">
        <f t="shared" si="29"/>
        <v/>
      </c>
      <c r="AG212" s="9" t="str">
        <f t="shared" si="27"/>
        <v/>
      </c>
      <c r="AH212" s="9" t="str">
        <f t="shared" si="28"/>
        <v/>
      </c>
    </row>
    <row r="213" spans="1:34" x14ac:dyDescent="0.25">
      <c r="A213" s="68"/>
      <c r="B213" s="68"/>
      <c r="C213" s="65"/>
      <c r="D213" s="65"/>
      <c r="E213" s="66"/>
      <c r="F213" s="65"/>
      <c r="G213" s="67"/>
      <c r="AA213" s="2" t="str">
        <f t="shared" si="24"/>
        <v/>
      </c>
      <c r="AC213" s="9" t="str">
        <f t="shared" si="25"/>
        <v/>
      </c>
      <c r="AD213" s="9" t="str">
        <f t="shared" si="23"/>
        <v/>
      </c>
      <c r="AF213" s="2" t="str">
        <f t="shared" si="29"/>
        <v/>
      </c>
      <c r="AG213" s="9" t="str">
        <f t="shared" si="27"/>
        <v/>
      </c>
      <c r="AH213" s="9" t="str">
        <f t="shared" si="28"/>
        <v/>
      </c>
    </row>
    <row r="214" spans="1:34" x14ac:dyDescent="0.25">
      <c r="A214" s="68"/>
      <c r="B214" s="68"/>
      <c r="C214" s="65"/>
      <c r="D214" s="65"/>
      <c r="E214" s="66"/>
      <c r="F214" s="65"/>
      <c r="G214" s="67"/>
      <c r="AA214" s="2" t="str">
        <f t="shared" si="24"/>
        <v/>
      </c>
      <c r="AC214" s="9" t="str">
        <f t="shared" si="25"/>
        <v/>
      </c>
      <c r="AD214" s="9" t="str">
        <f t="shared" si="23"/>
        <v/>
      </c>
      <c r="AF214" s="2" t="str">
        <f t="shared" si="29"/>
        <v/>
      </c>
      <c r="AG214" s="9" t="str">
        <f t="shared" si="27"/>
        <v/>
      </c>
      <c r="AH214" s="9" t="str">
        <f t="shared" si="28"/>
        <v/>
      </c>
    </row>
    <row r="215" spans="1:34" x14ac:dyDescent="0.25">
      <c r="A215" s="68"/>
      <c r="B215" s="68"/>
      <c r="C215" s="65"/>
      <c r="D215" s="65"/>
      <c r="E215" s="66"/>
      <c r="F215" s="65"/>
      <c r="G215" s="67"/>
      <c r="AA215" s="2" t="str">
        <f t="shared" si="24"/>
        <v/>
      </c>
      <c r="AC215" s="9" t="str">
        <f t="shared" si="25"/>
        <v/>
      </c>
      <c r="AD215" s="9" t="str">
        <f t="shared" si="23"/>
        <v/>
      </c>
      <c r="AF215" s="2" t="str">
        <f t="shared" si="29"/>
        <v/>
      </c>
      <c r="AG215" s="9" t="str">
        <f t="shared" si="27"/>
        <v/>
      </c>
      <c r="AH215" s="9" t="str">
        <f t="shared" si="28"/>
        <v/>
      </c>
    </row>
    <row r="216" spans="1:34" x14ac:dyDescent="0.25">
      <c r="A216" s="68"/>
      <c r="B216" s="68"/>
      <c r="C216" s="65"/>
      <c r="D216" s="65"/>
      <c r="E216" s="66"/>
      <c r="F216" s="65"/>
      <c r="G216" s="67"/>
      <c r="AA216" s="2" t="str">
        <f t="shared" si="24"/>
        <v/>
      </c>
      <c r="AC216" s="9" t="str">
        <f t="shared" si="25"/>
        <v/>
      </c>
      <c r="AD216" s="9" t="str">
        <f t="shared" si="23"/>
        <v/>
      </c>
      <c r="AF216" s="2" t="str">
        <f t="shared" si="29"/>
        <v/>
      </c>
      <c r="AG216" s="9" t="str">
        <f t="shared" si="27"/>
        <v/>
      </c>
      <c r="AH216" s="9" t="str">
        <f t="shared" si="28"/>
        <v/>
      </c>
    </row>
    <row r="217" spans="1:34" x14ac:dyDescent="0.25">
      <c r="A217" s="68"/>
      <c r="B217" s="68"/>
      <c r="C217" s="65"/>
      <c r="D217" s="65"/>
      <c r="E217" s="66"/>
      <c r="F217" s="65"/>
      <c r="G217" s="67"/>
      <c r="AA217" s="2" t="str">
        <f t="shared" si="24"/>
        <v/>
      </c>
      <c r="AC217" s="9" t="str">
        <f t="shared" si="25"/>
        <v/>
      </c>
      <c r="AD217" s="9" t="str">
        <f t="shared" si="23"/>
        <v/>
      </c>
      <c r="AF217" s="2" t="str">
        <f t="shared" si="29"/>
        <v/>
      </c>
      <c r="AG217" s="9" t="str">
        <f t="shared" si="27"/>
        <v/>
      </c>
      <c r="AH217" s="9" t="str">
        <f t="shared" si="28"/>
        <v/>
      </c>
    </row>
    <row r="218" spans="1:34" x14ac:dyDescent="0.25">
      <c r="A218" s="68"/>
      <c r="B218" s="68"/>
      <c r="C218" s="65"/>
      <c r="D218" s="65"/>
      <c r="E218" s="66"/>
      <c r="F218" s="65"/>
      <c r="G218" s="67"/>
      <c r="AA218" s="2" t="str">
        <f t="shared" si="24"/>
        <v/>
      </c>
      <c r="AC218" s="9" t="str">
        <f t="shared" si="25"/>
        <v/>
      </c>
      <c r="AD218" s="9" t="str">
        <f t="shared" si="23"/>
        <v/>
      </c>
      <c r="AF218" s="2" t="str">
        <f t="shared" si="29"/>
        <v/>
      </c>
      <c r="AG218" s="9" t="str">
        <f t="shared" si="27"/>
        <v/>
      </c>
      <c r="AH218" s="9" t="str">
        <f t="shared" si="28"/>
        <v/>
      </c>
    </row>
    <row r="219" spans="1:34" x14ac:dyDescent="0.25">
      <c r="A219" s="68"/>
      <c r="B219" s="68"/>
      <c r="C219" s="65"/>
      <c r="D219" s="65"/>
      <c r="E219" s="66"/>
      <c r="F219" s="65"/>
      <c r="G219" s="67"/>
      <c r="AA219" s="2" t="str">
        <f t="shared" si="24"/>
        <v/>
      </c>
      <c r="AC219" s="9" t="str">
        <f t="shared" si="25"/>
        <v/>
      </c>
      <c r="AD219" s="9" t="str">
        <f t="shared" si="23"/>
        <v/>
      </c>
      <c r="AF219" s="2" t="str">
        <f t="shared" si="29"/>
        <v/>
      </c>
      <c r="AG219" s="9" t="str">
        <f t="shared" si="27"/>
        <v/>
      </c>
      <c r="AH219" s="9" t="str">
        <f t="shared" si="28"/>
        <v/>
      </c>
    </row>
    <row r="220" spans="1:34" x14ac:dyDescent="0.25">
      <c r="A220" s="68"/>
      <c r="B220" s="68"/>
      <c r="C220" s="65"/>
      <c r="D220" s="65"/>
      <c r="E220" s="66"/>
      <c r="F220" s="65"/>
      <c r="G220" s="67"/>
      <c r="AA220" s="2" t="str">
        <f t="shared" si="24"/>
        <v/>
      </c>
      <c r="AC220" s="9" t="str">
        <f t="shared" si="25"/>
        <v/>
      </c>
      <c r="AD220" s="9" t="str">
        <f t="shared" si="23"/>
        <v/>
      </c>
      <c r="AF220" s="2" t="str">
        <f t="shared" si="29"/>
        <v/>
      </c>
      <c r="AG220" s="9" t="str">
        <f t="shared" si="27"/>
        <v/>
      </c>
      <c r="AH220" s="9" t="str">
        <f t="shared" si="28"/>
        <v/>
      </c>
    </row>
    <row r="221" spans="1:34" x14ac:dyDescent="0.25">
      <c r="A221" s="68"/>
      <c r="B221" s="68"/>
      <c r="C221" s="65"/>
      <c r="D221" s="65"/>
      <c r="E221" s="66"/>
      <c r="F221" s="65"/>
      <c r="G221" s="67"/>
      <c r="AA221" s="2" t="str">
        <f t="shared" si="24"/>
        <v/>
      </c>
      <c r="AC221" s="9" t="str">
        <f t="shared" si="25"/>
        <v/>
      </c>
      <c r="AD221" s="9" t="str">
        <f t="shared" si="23"/>
        <v/>
      </c>
      <c r="AF221" s="2" t="str">
        <f t="shared" si="29"/>
        <v/>
      </c>
      <c r="AG221" s="9" t="str">
        <f t="shared" si="27"/>
        <v/>
      </c>
      <c r="AH221" s="9" t="str">
        <f t="shared" si="28"/>
        <v/>
      </c>
    </row>
    <row r="222" spans="1:34" x14ac:dyDescent="0.25">
      <c r="A222" s="68"/>
      <c r="B222" s="68"/>
      <c r="C222" s="65"/>
      <c r="D222" s="65"/>
      <c r="E222" s="66"/>
      <c r="F222" s="65"/>
      <c r="G222" s="67"/>
      <c r="AA222" s="2" t="str">
        <f t="shared" si="24"/>
        <v/>
      </c>
      <c r="AC222" s="9" t="str">
        <f t="shared" si="25"/>
        <v/>
      </c>
      <c r="AD222" s="9" t="str">
        <f t="shared" ref="AD222:AD257" si="30">IF(AA222="","",IF(AA222&lt;=B$16,0,B$15/(B$17-B$16)))</f>
        <v/>
      </c>
      <c r="AF222" s="2" t="str">
        <f t="shared" si="29"/>
        <v/>
      </c>
      <c r="AG222" s="9" t="str">
        <f t="shared" si="27"/>
        <v/>
      </c>
      <c r="AH222" s="9" t="str">
        <f t="shared" si="28"/>
        <v/>
      </c>
    </row>
    <row r="223" spans="1:34" x14ac:dyDescent="0.25">
      <c r="A223" s="68"/>
      <c r="B223" s="68"/>
      <c r="C223" s="65"/>
      <c r="D223" s="65"/>
      <c r="E223" s="66"/>
      <c r="F223" s="65"/>
      <c r="G223" s="67"/>
      <c r="AA223" s="2" t="str">
        <f t="shared" ref="AA223:AA245" si="31">IF(AA222&lt;B$17,AA222+1,"")</f>
        <v/>
      </c>
      <c r="AC223" s="9" t="str">
        <f t="shared" ref="AC223:AC234" si="32">IF(AB223="","",IF(AA223&lt;=B$16,AC222,AC222-AD223))</f>
        <v/>
      </c>
      <c r="AD223" s="9" t="str">
        <f t="shared" si="30"/>
        <v/>
      </c>
      <c r="AF223" s="2" t="str">
        <f t="shared" si="29"/>
        <v/>
      </c>
      <c r="AG223" s="9" t="str">
        <f t="shared" ref="AG223:AG286" si="33">IF(AF223="","",IF(AF223&lt;365,AF223*AC$25*AD223,365*AD223*AC$25))</f>
        <v/>
      </c>
      <c r="AH223" s="9" t="str">
        <f t="shared" ref="AH223:AH286" si="34">IF(AF223="","",IF(AF223&lt;365,AF223*AC$26*AD223,365*AD223*AC$26))</f>
        <v/>
      </c>
    </row>
    <row r="224" spans="1:34" x14ac:dyDescent="0.25">
      <c r="A224" s="68"/>
      <c r="B224" s="68"/>
      <c r="C224" s="65"/>
      <c r="D224" s="65"/>
      <c r="E224" s="66"/>
      <c r="F224" s="65"/>
      <c r="G224" s="67"/>
      <c r="AA224" s="2" t="str">
        <f t="shared" si="31"/>
        <v/>
      </c>
      <c r="AC224" s="9" t="str">
        <f t="shared" si="32"/>
        <v/>
      </c>
      <c r="AD224" s="9" t="str">
        <f t="shared" si="30"/>
        <v/>
      </c>
      <c r="AF224" s="2" t="str">
        <f t="shared" si="29"/>
        <v/>
      </c>
      <c r="AG224" s="9" t="str">
        <f t="shared" si="33"/>
        <v/>
      </c>
      <c r="AH224" s="9" t="str">
        <f t="shared" si="34"/>
        <v/>
      </c>
    </row>
    <row r="225" spans="1:34" x14ac:dyDescent="0.25">
      <c r="A225" s="68"/>
      <c r="B225" s="68"/>
      <c r="C225" s="65"/>
      <c r="D225" s="65"/>
      <c r="E225" s="66"/>
      <c r="F225" s="65"/>
      <c r="G225" s="67"/>
      <c r="AA225" s="2" t="str">
        <f t="shared" si="31"/>
        <v/>
      </c>
      <c r="AC225" s="9" t="str">
        <f t="shared" si="32"/>
        <v/>
      </c>
      <c r="AD225" s="9" t="str">
        <f t="shared" si="30"/>
        <v/>
      </c>
      <c r="AF225" s="2" t="str">
        <f t="shared" si="29"/>
        <v/>
      </c>
      <c r="AG225" s="9" t="str">
        <f t="shared" si="33"/>
        <v/>
      </c>
      <c r="AH225" s="9" t="str">
        <f t="shared" si="34"/>
        <v/>
      </c>
    </row>
    <row r="226" spans="1:34" x14ac:dyDescent="0.25">
      <c r="A226" s="68"/>
      <c r="B226" s="68"/>
      <c r="C226" s="65"/>
      <c r="D226" s="65"/>
      <c r="E226" s="66"/>
      <c r="F226" s="65"/>
      <c r="G226" s="67"/>
      <c r="AA226" s="2" t="str">
        <f t="shared" si="31"/>
        <v/>
      </c>
      <c r="AC226" s="9" t="str">
        <f t="shared" si="32"/>
        <v/>
      </c>
      <c r="AD226" s="9" t="str">
        <f t="shared" si="30"/>
        <v/>
      </c>
      <c r="AF226" s="2" t="str">
        <f t="shared" si="29"/>
        <v/>
      </c>
      <c r="AG226" s="9" t="str">
        <f t="shared" si="33"/>
        <v/>
      </c>
      <c r="AH226" s="9" t="str">
        <f t="shared" si="34"/>
        <v/>
      </c>
    </row>
    <row r="227" spans="1:34" x14ac:dyDescent="0.25">
      <c r="A227" s="68"/>
      <c r="B227" s="68"/>
      <c r="C227" s="65"/>
      <c r="D227" s="65"/>
      <c r="E227" s="66"/>
      <c r="F227" s="65"/>
      <c r="G227" s="67"/>
      <c r="AA227" s="2" t="str">
        <f t="shared" si="31"/>
        <v/>
      </c>
      <c r="AC227" s="9" t="str">
        <f t="shared" si="32"/>
        <v/>
      </c>
      <c r="AD227" s="9" t="str">
        <f t="shared" si="30"/>
        <v/>
      </c>
      <c r="AF227" s="2" t="str">
        <f t="shared" si="29"/>
        <v/>
      </c>
      <c r="AG227" s="9" t="str">
        <f t="shared" si="33"/>
        <v/>
      </c>
      <c r="AH227" s="9" t="str">
        <f t="shared" si="34"/>
        <v/>
      </c>
    </row>
    <row r="228" spans="1:34" x14ac:dyDescent="0.25">
      <c r="A228" s="68"/>
      <c r="B228" s="68"/>
      <c r="C228" s="65"/>
      <c r="D228" s="65"/>
      <c r="E228" s="66"/>
      <c r="F228" s="65"/>
      <c r="G228" s="67"/>
      <c r="AA228" s="2" t="str">
        <f t="shared" si="31"/>
        <v/>
      </c>
      <c r="AC228" s="9" t="str">
        <f t="shared" si="32"/>
        <v/>
      </c>
      <c r="AD228" s="9" t="str">
        <f t="shared" si="30"/>
        <v/>
      </c>
      <c r="AF228" s="2" t="str">
        <f t="shared" si="29"/>
        <v/>
      </c>
      <c r="AG228" s="9" t="str">
        <f t="shared" si="33"/>
        <v/>
      </c>
      <c r="AH228" s="9" t="str">
        <f t="shared" si="34"/>
        <v/>
      </c>
    </row>
    <row r="229" spans="1:34" x14ac:dyDescent="0.25">
      <c r="A229" s="68"/>
      <c r="B229" s="68"/>
      <c r="C229" s="65"/>
      <c r="D229" s="65"/>
      <c r="E229" s="66"/>
      <c r="F229" s="65"/>
      <c r="G229" s="67"/>
      <c r="AA229" s="2" t="str">
        <f t="shared" si="31"/>
        <v/>
      </c>
      <c r="AC229" s="9" t="str">
        <f t="shared" si="32"/>
        <v/>
      </c>
      <c r="AD229" s="9" t="str">
        <f t="shared" si="30"/>
        <v/>
      </c>
      <c r="AF229" s="2" t="str">
        <f t="shared" si="29"/>
        <v/>
      </c>
      <c r="AG229" s="9" t="str">
        <f t="shared" si="33"/>
        <v/>
      </c>
      <c r="AH229" s="9" t="str">
        <f t="shared" si="34"/>
        <v/>
      </c>
    </row>
    <row r="230" spans="1:34" x14ac:dyDescent="0.25">
      <c r="A230" s="68"/>
      <c r="B230" s="68"/>
      <c r="C230" s="65"/>
      <c r="D230" s="65"/>
      <c r="E230" s="66"/>
      <c r="F230" s="65"/>
      <c r="G230" s="67"/>
      <c r="AA230" s="2" t="str">
        <f t="shared" si="31"/>
        <v/>
      </c>
      <c r="AC230" s="9" t="str">
        <f t="shared" si="32"/>
        <v/>
      </c>
      <c r="AD230" s="9" t="str">
        <f t="shared" si="30"/>
        <v/>
      </c>
      <c r="AG230" s="9" t="str">
        <f t="shared" si="33"/>
        <v/>
      </c>
      <c r="AH230" s="9" t="str">
        <f t="shared" si="34"/>
        <v/>
      </c>
    </row>
    <row r="231" spans="1:34" x14ac:dyDescent="0.25">
      <c r="A231" s="68"/>
      <c r="B231" s="68"/>
      <c r="C231" s="65"/>
      <c r="D231" s="65"/>
      <c r="E231" s="66"/>
      <c r="F231" s="65"/>
      <c r="G231" s="67"/>
      <c r="AA231" s="2" t="str">
        <f t="shared" si="31"/>
        <v/>
      </c>
      <c r="AC231" s="9" t="str">
        <f t="shared" si="32"/>
        <v/>
      </c>
      <c r="AD231" s="9" t="str">
        <f t="shared" si="30"/>
        <v/>
      </c>
      <c r="AG231" s="9" t="str">
        <f t="shared" si="33"/>
        <v/>
      </c>
      <c r="AH231" s="9" t="str">
        <f t="shared" si="34"/>
        <v/>
      </c>
    </row>
    <row r="232" spans="1:34" x14ac:dyDescent="0.25">
      <c r="A232" s="68"/>
      <c r="B232" s="68"/>
      <c r="C232" s="65"/>
      <c r="D232" s="65"/>
      <c r="E232" s="66"/>
      <c r="F232" s="65"/>
      <c r="G232" s="67"/>
      <c r="AA232" s="2" t="str">
        <f t="shared" si="31"/>
        <v/>
      </c>
      <c r="AC232" s="9" t="str">
        <f t="shared" si="32"/>
        <v/>
      </c>
      <c r="AD232" s="9" t="str">
        <f t="shared" si="30"/>
        <v/>
      </c>
      <c r="AG232" s="9" t="str">
        <f t="shared" si="33"/>
        <v/>
      </c>
      <c r="AH232" s="9" t="str">
        <f t="shared" si="34"/>
        <v/>
      </c>
    </row>
    <row r="233" spans="1:34" x14ac:dyDescent="0.25">
      <c r="A233" s="68"/>
      <c r="B233" s="68"/>
      <c r="C233" s="65"/>
      <c r="D233" s="65"/>
      <c r="E233" s="66"/>
      <c r="F233" s="65"/>
      <c r="G233" s="67"/>
      <c r="AA233" s="2" t="str">
        <f t="shared" si="31"/>
        <v/>
      </c>
      <c r="AC233" s="9" t="str">
        <f t="shared" si="32"/>
        <v/>
      </c>
      <c r="AD233" s="9" t="str">
        <f t="shared" si="30"/>
        <v/>
      </c>
      <c r="AG233" s="9" t="str">
        <f t="shared" si="33"/>
        <v/>
      </c>
      <c r="AH233" s="9" t="str">
        <f t="shared" si="34"/>
        <v/>
      </c>
    </row>
    <row r="234" spans="1:34" x14ac:dyDescent="0.25">
      <c r="A234" s="68"/>
      <c r="B234" s="68"/>
      <c r="C234" s="65"/>
      <c r="D234" s="65"/>
      <c r="E234" s="66"/>
      <c r="F234" s="65"/>
      <c r="G234" s="67"/>
      <c r="AA234" s="2" t="str">
        <f t="shared" si="31"/>
        <v/>
      </c>
      <c r="AC234" s="9" t="str">
        <f t="shared" si="32"/>
        <v/>
      </c>
      <c r="AD234" s="9" t="str">
        <f t="shared" si="30"/>
        <v/>
      </c>
      <c r="AG234" s="9" t="str">
        <f t="shared" si="33"/>
        <v/>
      </c>
      <c r="AH234" s="9" t="str">
        <f t="shared" si="34"/>
        <v/>
      </c>
    </row>
    <row r="235" spans="1:34" x14ac:dyDescent="0.25">
      <c r="A235" s="68"/>
      <c r="B235" s="68"/>
      <c r="C235" s="65"/>
      <c r="D235" s="65"/>
      <c r="E235" s="66"/>
      <c r="F235" s="65"/>
      <c r="G235" s="67"/>
      <c r="AA235" s="2" t="str">
        <f t="shared" si="31"/>
        <v/>
      </c>
      <c r="AC235" s="9" t="str">
        <f t="shared" ref="AC235:AC244" si="35">IF(AB235="","",E229)</f>
        <v/>
      </c>
      <c r="AD235" s="9" t="str">
        <f t="shared" si="30"/>
        <v/>
      </c>
      <c r="AG235" s="9" t="str">
        <f t="shared" si="33"/>
        <v/>
      </c>
      <c r="AH235" s="9" t="str">
        <f t="shared" si="34"/>
        <v/>
      </c>
    </row>
    <row r="236" spans="1:34" x14ac:dyDescent="0.25">
      <c r="A236" s="68"/>
      <c r="B236" s="68"/>
      <c r="C236" s="65"/>
      <c r="D236" s="65"/>
      <c r="E236" s="66"/>
      <c r="F236" s="65"/>
      <c r="G236" s="67"/>
      <c r="AA236" s="2" t="str">
        <f t="shared" si="31"/>
        <v/>
      </c>
      <c r="AC236" s="9" t="str">
        <f t="shared" si="35"/>
        <v/>
      </c>
      <c r="AD236" s="9" t="str">
        <f t="shared" si="30"/>
        <v/>
      </c>
      <c r="AG236" s="9" t="str">
        <f t="shared" si="33"/>
        <v/>
      </c>
      <c r="AH236" s="9" t="str">
        <f t="shared" si="34"/>
        <v/>
      </c>
    </row>
    <row r="237" spans="1:34" x14ac:dyDescent="0.25">
      <c r="A237" s="68"/>
      <c r="B237" s="68"/>
      <c r="C237" s="65"/>
      <c r="D237" s="65"/>
      <c r="E237" s="66"/>
      <c r="F237" s="65"/>
      <c r="G237" s="67"/>
      <c r="AA237" s="2" t="str">
        <f t="shared" si="31"/>
        <v/>
      </c>
      <c r="AC237" s="9" t="str">
        <f t="shared" si="35"/>
        <v/>
      </c>
      <c r="AD237" s="9" t="str">
        <f t="shared" si="30"/>
        <v/>
      </c>
      <c r="AG237" s="9" t="str">
        <f t="shared" si="33"/>
        <v/>
      </c>
      <c r="AH237" s="9" t="str">
        <f t="shared" si="34"/>
        <v/>
      </c>
    </row>
    <row r="238" spans="1:34" x14ac:dyDescent="0.25">
      <c r="A238" s="68"/>
      <c r="B238" s="68"/>
      <c r="C238" s="65"/>
      <c r="D238" s="65"/>
      <c r="E238" s="66"/>
      <c r="F238" s="65"/>
      <c r="G238" s="67"/>
      <c r="AA238" s="2" t="str">
        <f t="shared" si="31"/>
        <v/>
      </c>
      <c r="AC238" s="9" t="str">
        <f t="shared" si="35"/>
        <v/>
      </c>
      <c r="AD238" s="9" t="str">
        <f t="shared" si="30"/>
        <v/>
      </c>
      <c r="AG238" s="9" t="str">
        <f t="shared" si="33"/>
        <v/>
      </c>
      <c r="AH238" s="9" t="str">
        <f t="shared" si="34"/>
        <v/>
      </c>
    </row>
    <row r="239" spans="1:34" x14ac:dyDescent="0.25">
      <c r="A239" s="68"/>
      <c r="B239" s="68"/>
      <c r="C239" s="65"/>
      <c r="D239" s="65"/>
      <c r="E239" s="66"/>
      <c r="F239" s="65"/>
      <c r="G239" s="67"/>
      <c r="AA239" s="2" t="str">
        <f t="shared" si="31"/>
        <v/>
      </c>
      <c r="AC239" s="9" t="str">
        <f t="shared" si="35"/>
        <v/>
      </c>
      <c r="AD239" s="9" t="str">
        <f t="shared" si="30"/>
        <v/>
      </c>
      <c r="AG239" s="9" t="str">
        <f t="shared" si="33"/>
        <v/>
      </c>
      <c r="AH239" s="9" t="str">
        <f t="shared" si="34"/>
        <v/>
      </c>
    </row>
    <row r="240" spans="1:34" x14ac:dyDescent="0.25">
      <c r="A240" s="68"/>
      <c r="B240" s="68"/>
      <c r="C240" s="65"/>
      <c r="D240" s="65"/>
      <c r="E240" s="66"/>
      <c r="F240" s="65"/>
      <c r="G240" s="67"/>
      <c r="AA240" s="2" t="str">
        <f t="shared" si="31"/>
        <v/>
      </c>
      <c r="AC240" s="9" t="str">
        <f t="shared" si="35"/>
        <v/>
      </c>
      <c r="AD240" s="9" t="str">
        <f t="shared" si="30"/>
        <v/>
      </c>
      <c r="AG240" s="9" t="str">
        <f t="shared" si="33"/>
        <v/>
      </c>
      <c r="AH240" s="9" t="str">
        <f t="shared" si="34"/>
        <v/>
      </c>
    </row>
    <row r="241" spans="1:34" x14ac:dyDescent="0.25">
      <c r="A241" s="68"/>
      <c r="B241" s="68"/>
      <c r="C241" s="65"/>
      <c r="D241" s="65"/>
      <c r="E241" s="66"/>
      <c r="F241" s="65"/>
      <c r="G241" s="67"/>
      <c r="AA241" s="2" t="str">
        <f t="shared" si="31"/>
        <v/>
      </c>
      <c r="AC241" s="9" t="str">
        <f t="shared" si="35"/>
        <v/>
      </c>
      <c r="AD241" s="9" t="str">
        <f t="shared" si="30"/>
        <v/>
      </c>
      <c r="AG241" s="9" t="str">
        <f t="shared" si="33"/>
        <v/>
      </c>
      <c r="AH241" s="9" t="str">
        <f t="shared" si="34"/>
        <v/>
      </c>
    </row>
    <row r="242" spans="1:34" x14ac:dyDescent="0.25">
      <c r="A242" s="68"/>
      <c r="B242" s="68"/>
      <c r="C242" s="65"/>
      <c r="D242" s="65"/>
      <c r="E242" s="66"/>
      <c r="F242" s="65"/>
      <c r="G242" s="67"/>
      <c r="AA242" s="2" t="str">
        <f t="shared" si="31"/>
        <v/>
      </c>
      <c r="AC242" s="9" t="str">
        <f t="shared" si="35"/>
        <v/>
      </c>
      <c r="AD242" s="9" t="str">
        <f t="shared" si="30"/>
        <v/>
      </c>
      <c r="AG242" s="9" t="str">
        <f t="shared" si="33"/>
        <v/>
      </c>
      <c r="AH242" s="9" t="str">
        <f t="shared" si="34"/>
        <v/>
      </c>
    </row>
    <row r="243" spans="1:34" x14ac:dyDescent="0.25">
      <c r="A243" s="68"/>
      <c r="B243" s="68"/>
      <c r="C243" s="65"/>
      <c r="D243" s="65"/>
      <c r="E243" s="66"/>
      <c r="F243" s="65"/>
      <c r="G243" s="67"/>
      <c r="AA243" s="2" t="str">
        <f t="shared" si="31"/>
        <v/>
      </c>
      <c r="AC243" s="9" t="str">
        <f t="shared" si="35"/>
        <v/>
      </c>
      <c r="AD243" s="9" t="str">
        <f t="shared" si="30"/>
        <v/>
      </c>
      <c r="AG243" s="9" t="str">
        <f t="shared" si="33"/>
        <v/>
      </c>
      <c r="AH243" s="9" t="str">
        <f t="shared" si="34"/>
        <v/>
      </c>
    </row>
    <row r="244" spans="1:34" x14ac:dyDescent="0.25">
      <c r="A244" s="68"/>
      <c r="B244" s="68"/>
      <c r="C244" s="65"/>
      <c r="D244" s="65"/>
      <c r="E244" s="66"/>
      <c r="F244" s="65"/>
      <c r="G244" s="67"/>
      <c r="AA244" s="2" t="str">
        <f t="shared" si="31"/>
        <v/>
      </c>
      <c r="AC244" s="9" t="str">
        <f t="shared" si="35"/>
        <v/>
      </c>
      <c r="AD244" s="9" t="str">
        <f t="shared" si="30"/>
        <v/>
      </c>
      <c r="AG244" s="9" t="str">
        <f t="shared" si="33"/>
        <v/>
      </c>
      <c r="AH244" s="9" t="str">
        <f t="shared" si="34"/>
        <v/>
      </c>
    </row>
    <row r="245" spans="1:34" x14ac:dyDescent="0.25">
      <c r="A245" s="68"/>
      <c r="B245" s="68"/>
      <c r="C245" s="65"/>
      <c r="D245" s="65"/>
      <c r="E245" s="66"/>
      <c r="F245" s="65"/>
      <c r="G245" s="67"/>
      <c r="AA245" s="2" t="str">
        <f t="shared" si="31"/>
        <v/>
      </c>
      <c r="AD245" s="9" t="str">
        <f t="shared" si="30"/>
        <v/>
      </c>
      <c r="AG245" s="9" t="str">
        <f t="shared" si="33"/>
        <v/>
      </c>
      <c r="AH245" s="9" t="str">
        <f t="shared" si="34"/>
        <v/>
      </c>
    </row>
    <row r="246" spans="1:34" x14ac:dyDescent="0.25">
      <c r="A246" s="68"/>
      <c r="B246" s="68"/>
      <c r="C246" s="65"/>
      <c r="D246" s="65"/>
      <c r="E246" s="66"/>
      <c r="F246" s="65"/>
      <c r="G246" s="67"/>
      <c r="AD246" s="9" t="str">
        <f t="shared" si="30"/>
        <v/>
      </c>
      <c r="AG246" s="9" t="str">
        <f t="shared" si="33"/>
        <v/>
      </c>
      <c r="AH246" s="9" t="str">
        <f t="shared" si="34"/>
        <v/>
      </c>
    </row>
    <row r="247" spans="1:34" x14ac:dyDescent="0.25">
      <c r="A247" s="68"/>
      <c r="B247" s="68"/>
      <c r="C247" s="65"/>
      <c r="D247" s="65"/>
      <c r="E247" s="66"/>
      <c r="F247" s="65"/>
      <c r="G247" s="67"/>
      <c r="AD247" s="9" t="str">
        <f t="shared" si="30"/>
        <v/>
      </c>
      <c r="AG247" s="9" t="str">
        <f t="shared" si="33"/>
        <v/>
      </c>
      <c r="AH247" s="9" t="str">
        <f t="shared" si="34"/>
        <v/>
      </c>
    </row>
    <row r="248" spans="1:34" x14ac:dyDescent="0.25">
      <c r="A248" s="68"/>
      <c r="B248" s="68"/>
      <c r="C248" s="65"/>
      <c r="D248" s="65"/>
      <c r="E248" s="66"/>
      <c r="F248" s="65"/>
      <c r="G248" s="67"/>
      <c r="AD248" s="9" t="str">
        <f t="shared" si="30"/>
        <v/>
      </c>
      <c r="AG248" s="9" t="str">
        <f t="shared" si="33"/>
        <v/>
      </c>
      <c r="AH248" s="9" t="str">
        <f t="shared" si="34"/>
        <v/>
      </c>
    </row>
    <row r="249" spans="1:34" x14ac:dyDescent="0.25">
      <c r="A249" s="68"/>
      <c r="B249" s="68"/>
      <c r="C249" s="65"/>
      <c r="D249" s="65"/>
      <c r="E249" s="66"/>
      <c r="F249" s="65"/>
      <c r="G249" s="67"/>
      <c r="AD249" s="9" t="str">
        <f t="shared" si="30"/>
        <v/>
      </c>
      <c r="AG249" s="9" t="str">
        <f t="shared" si="33"/>
        <v/>
      </c>
      <c r="AH249" s="9" t="str">
        <f t="shared" si="34"/>
        <v/>
      </c>
    </row>
    <row r="250" spans="1:34" x14ac:dyDescent="0.25">
      <c r="A250" s="68"/>
      <c r="B250" s="68"/>
      <c r="C250" s="65"/>
      <c r="D250" s="65"/>
      <c r="E250" s="66"/>
      <c r="F250" s="65"/>
      <c r="G250" s="67"/>
      <c r="AD250" s="9" t="str">
        <f t="shared" si="30"/>
        <v/>
      </c>
      <c r="AG250" s="9" t="str">
        <f t="shared" si="33"/>
        <v/>
      </c>
      <c r="AH250" s="9" t="str">
        <f t="shared" si="34"/>
        <v/>
      </c>
    </row>
    <row r="251" spans="1:34" x14ac:dyDescent="0.25">
      <c r="A251" s="68"/>
      <c r="B251" s="68"/>
      <c r="C251" s="65"/>
      <c r="D251" s="65"/>
      <c r="E251" s="66"/>
      <c r="F251" s="65"/>
      <c r="G251" s="67"/>
      <c r="AD251" s="9" t="str">
        <f t="shared" si="30"/>
        <v/>
      </c>
      <c r="AG251" s="9" t="str">
        <f t="shared" si="33"/>
        <v/>
      </c>
      <c r="AH251" s="9" t="str">
        <f t="shared" si="34"/>
        <v/>
      </c>
    </row>
    <row r="252" spans="1:34" x14ac:dyDescent="0.25">
      <c r="A252" s="68"/>
      <c r="B252" s="68"/>
      <c r="C252" s="65"/>
      <c r="D252" s="65"/>
      <c r="E252" s="66"/>
      <c r="F252" s="65"/>
      <c r="G252" s="67"/>
      <c r="AD252" s="9" t="str">
        <f t="shared" si="30"/>
        <v/>
      </c>
      <c r="AG252" s="9" t="str">
        <f t="shared" si="33"/>
        <v/>
      </c>
      <c r="AH252" s="9" t="str">
        <f t="shared" si="34"/>
        <v/>
      </c>
    </row>
    <row r="253" spans="1:34" x14ac:dyDescent="0.25">
      <c r="A253" s="68"/>
      <c r="B253" s="68"/>
      <c r="C253" s="65"/>
      <c r="D253" s="65"/>
      <c r="E253" s="66"/>
      <c r="F253" s="65"/>
      <c r="G253" s="67"/>
      <c r="AD253" s="9" t="str">
        <f t="shared" si="30"/>
        <v/>
      </c>
      <c r="AG253" s="9" t="str">
        <f t="shared" si="33"/>
        <v/>
      </c>
      <c r="AH253" s="9" t="str">
        <f t="shared" si="34"/>
        <v/>
      </c>
    </row>
    <row r="254" spans="1:34" x14ac:dyDescent="0.25">
      <c r="A254" s="68"/>
      <c r="B254" s="68"/>
      <c r="C254" s="65"/>
      <c r="D254" s="65"/>
      <c r="E254" s="66"/>
      <c r="F254" s="65"/>
      <c r="G254" s="67"/>
      <c r="AD254" s="9" t="str">
        <f t="shared" si="30"/>
        <v/>
      </c>
      <c r="AG254" s="9" t="str">
        <f t="shared" si="33"/>
        <v/>
      </c>
      <c r="AH254" s="9" t="str">
        <f t="shared" si="34"/>
        <v/>
      </c>
    </row>
    <row r="255" spans="1:34" x14ac:dyDescent="0.25">
      <c r="A255" s="68"/>
      <c r="B255" s="68"/>
      <c r="C255" s="65"/>
      <c r="D255" s="65"/>
      <c r="E255" s="66"/>
      <c r="F255" s="65"/>
      <c r="G255" s="67"/>
      <c r="AD255" s="9" t="str">
        <f t="shared" si="30"/>
        <v/>
      </c>
      <c r="AG255" s="9" t="str">
        <f t="shared" si="33"/>
        <v/>
      </c>
      <c r="AH255" s="9" t="str">
        <f t="shared" si="34"/>
        <v/>
      </c>
    </row>
    <row r="256" spans="1:34" x14ac:dyDescent="0.25">
      <c r="A256" s="68"/>
      <c r="B256" s="68"/>
      <c r="C256" s="65"/>
      <c r="D256" s="65"/>
      <c r="E256" s="66"/>
      <c r="F256" s="65"/>
      <c r="G256" s="67"/>
      <c r="AD256" s="9" t="str">
        <f t="shared" si="30"/>
        <v/>
      </c>
      <c r="AG256" s="9" t="str">
        <f t="shared" si="33"/>
        <v/>
      </c>
      <c r="AH256" s="9" t="str">
        <f t="shared" si="34"/>
        <v/>
      </c>
    </row>
    <row r="257" spans="1:34" x14ac:dyDescent="0.25">
      <c r="A257" s="68"/>
      <c r="B257" s="68"/>
      <c r="C257" s="65"/>
      <c r="D257" s="65"/>
      <c r="E257" s="66"/>
      <c r="F257" s="65"/>
      <c r="G257" s="67"/>
      <c r="AD257" s="9" t="str">
        <f t="shared" si="30"/>
        <v/>
      </c>
      <c r="AG257" s="9" t="str">
        <f t="shared" si="33"/>
        <v/>
      </c>
      <c r="AH257" s="9" t="str">
        <f t="shared" si="34"/>
        <v/>
      </c>
    </row>
    <row r="258" spans="1:34" x14ac:dyDescent="0.25">
      <c r="A258" s="68"/>
      <c r="B258" s="68"/>
      <c r="C258" s="65"/>
      <c r="D258" s="65"/>
      <c r="E258" s="66"/>
      <c r="F258" s="65"/>
      <c r="G258" s="67"/>
      <c r="AD258" s="9" t="str">
        <f t="shared" ref="AD258:AD321" si="36">IF(AC258="","",C253)</f>
        <v/>
      </c>
      <c r="AG258" s="9" t="str">
        <f t="shared" si="33"/>
        <v/>
      </c>
      <c r="AH258" s="9" t="str">
        <f t="shared" si="34"/>
        <v/>
      </c>
    </row>
    <row r="259" spans="1:34" x14ac:dyDescent="0.25">
      <c r="A259" s="68"/>
      <c r="B259" s="68"/>
      <c r="C259" s="65"/>
      <c r="D259" s="65"/>
      <c r="E259" s="66"/>
      <c r="F259" s="65"/>
      <c r="G259" s="67"/>
      <c r="AD259" s="9" t="str">
        <f t="shared" si="36"/>
        <v/>
      </c>
      <c r="AG259" s="9" t="str">
        <f t="shared" si="33"/>
        <v/>
      </c>
      <c r="AH259" s="9" t="str">
        <f t="shared" si="34"/>
        <v/>
      </c>
    </row>
    <row r="260" spans="1:34" x14ac:dyDescent="0.25">
      <c r="A260" s="68"/>
      <c r="B260" s="68"/>
      <c r="C260" s="65"/>
      <c r="D260" s="65"/>
      <c r="E260" s="66"/>
      <c r="F260" s="65"/>
      <c r="G260" s="67"/>
      <c r="AD260" s="9" t="str">
        <f t="shared" si="36"/>
        <v/>
      </c>
      <c r="AG260" s="9" t="str">
        <f t="shared" si="33"/>
        <v/>
      </c>
      <c r="AH260" s="9" t="str">
        <f t="shared" si="34"/>
        <v/>
      </c>
    </row>
    <row r="261" spans="1:34" x14ac:dyDescent="0.25">
      <c r="A261" s="68"/>
      <c r="B261" s="68"/>
      <c r="C261" s="65"/>
      <c r="D261" s="65"/>
      <c r="E261" s="66"/>
      <c r="F261" s="65"/>
      <c r="G261" s="67"/>
      <c r="AD261" s="9" t="str">
        <f t="shared" si="36"/>
        <v/>
      </c>
      <c r="AG261" s="9" t="str">
        <f t="shared" si="33"/>
        <v/>
      </c>
      <c r="AH261" s="9" t="str">
        <f t="shared" si="34"/>
        <v/>
      </c>
    </row>
    <row r="262" spans="1:34" x14ac:dyDescent="0.25">
      <c r="A262" s="68"/>
      <c r="B262" s="68"/>
      <c r="C262" s="65"/>
      <c r="D262" s="65"/>
      <c r="E262" s="66"/>
      <c r="F262" s="65"/>
      <c r="G262" s="67"/>
      <c r="AD262" s="9" t="str">
        <f t="shared" si="36"/>
        <v/>
      </c>
      <c r="AG262" s="9" t="str">
        <f t="shared" si="33"/>
        <v/>
      </c>
      <c r="AH262" s="9" t="str">
        <f t="shared" si="34"/>
        <v/>
      </c>
    </row>
    <row r="263" spans="1:34" x14ac:dyDescent="0.25">
      <c r="A263" s="68"/>
      <c r="B263" s="68"/>
      <c r="C263" s="65"/>
      <c r="D263" s="65"/>
      <c r="E263" s="66"/>
      <c r="F263" s="65"/>
      <c r="G263" s="67"/>
      <c r="AD263" s="9" t="str">
        <f t="shared" si="36"/>
        <v/>
      </c>
      <c r="AG263" s="9" t="str">
        <f t="shared" si="33"/>
        <v/>
      </c>
      <c r="AH263" s="9" t="str">
        <f t="shared" si="34"/>
        <v/>
      </c>
    </row>
    <row r="264" spans="1:34" x14ac:dyDescent="0.25">
      <c r="A264" s="68"/>
      <c r="B264" s="68"/>
      <c r="C264" s="65"/>
      <c r="D264" s="65"/>
      <c r="E264" s="66"/>
      <c r="F264" s="65"/>
      <c r="G264" s="67"/>
      <c r="AD264" s="9" t="str">
        <f t="shared" si="36"/>
        <v/>
      </c>
      <c r="AG264" s="9" t="str">
        <f t="shared" si="33"/>
        <v/>
      </c>
      <c r="AH264" s="9" t="str">
        <f t="shared" si="34"/>
        <v/>
      </c>
    </row>
    <row r="265" spans="1:34" x14ac:dyDescent="0.25">
      <c r="A265" s="68"/>
      <c r="B265" s="68"/>
      <c r="C265" s="65"/>
      <c r="D265" s="65"/>
      <c r="E265" s="66"/>
      <c r="F265" s="65"/>
      <c r="G265" s="67"/>
      <c r="AD265" s="9" t="str">
        <f t="shared" si="36"/>
        <v/>
      </c>
      <c r="AG265" s="9" t="str">
        <f t="shared" si="33"/>
        <v/>
      </c>
      <c r="AH265" s="9" t="str">
        <f t="shared" si="34"/>
        <v/>
      </c>
    </row>
    <row r="266" spans="1:34" x14ac:dyDescent="0.25">
      <c r="A266" s="68"/>
      <c r="B266" s="68"/>
      <c r="C266" s="65"/>
      <c r="D266" s="65"/>
      <c r="E266" s="66"/>
      <c r="F266" s="65"/>
      <c r="G266" s="67"/>
      <c r="AD266" s="9" t="str">
        <f t="shared" si="36"/>
        <v/>
      </c>
      <c r="AG266" s="9" t="str">
        <f t="shared" si="33"/>
        <v/>
      </c>
      <c r="AH266" s="9" t="str">
        <f t="shared" si="34"/>
        <v/>
      </c>
    </row>
    <row r="267" spans="1:34" x14ac:dyDescent="0.25">
      <c r="A267" s="68"/>
      <c r="B267" s="68"/>
      <c r="C267" s="65"/>
      <c r="D267" s="65"/>
      <c r="E267" s="66"/>
      <c r="F267" s="65"/>
      <c r="G267" s="67"/>
      <c r="AD267" s="9" t="str">
        <f t="shared" si="36"/>
        <v/>
      </c>
      <c r="AG267" s="9" t="str">
        <f t="shared" si="33"/>
        <v/>
      </c>
      <c r="AH267" s="9" t="str">
        <f t="shared" si="34"/>
        <v/>
      </c>
    </row>
    <row r="268" spans="1:34" x14ac:dyDescent="0.25">
      <c r="A268" s="68"/>
      <c r="B268" s="68"/>
      <c r="C268" s="65"/>
      <c r="D268" s="65"/>
      <c r="E268" s="66"/>
      <c r="F268" s="65"/>
      <c r="G268" s="67"/>
      <c r="AD268" s="9" t="str">
        <f t="shared" si="36"/>
        <v/>
      </c>
      <c r="AG268" s="9" t="str">
        <f t="shared" si="33"/>
        <v/>
      </c>
      <c r="AH268" s="9" t="str">
        <f t="shared" si="34"/>
        <v/>
      </c>
    </row>
    <row r="269" spans="1:34" x14ac:dyDescent="0.25">
      <c r="A269" s="68"/>
      <c r="B269" s="68"/>
      <c r="C269" s="65"/>
      <c r="D269" s="65"/>
      <c r="E269" s="66"/>
      <c r="F269" s="65"/>
      <c r="G269" s="67"/>
      <c r="AD269" s="9" t="str">
        <f t="shared" si="36"/>
        <v/>
      </c>
      <c r="AG269" s="9" t="str">
        <f t="shared" si="33"/>
        <v/>
      </c>
      <c r="AH269" s="9" t="str">
        <f t="shared" si="34"/>
        <v/>
      </c>
    </row>
    <row r="270" spans="1:34" x14ac:dyDescent="0.25">
      <c r="A270" s="68"/>
      <c r="B270" s="68"/>
      <c r="C270" s="65"/>
      <c r="D270" s="65"/>
      <c r="E270" s="66"/>
      <c r="F270" s="65"/>
      <c r="G270" s="67"/>
      <c r="AD270" s="9" t="str">
        <f t="shared" si="36"/>
        <v/>
      </c>
      <c r="AG270" s="9" t="str">
        <f t="shared" si="33"/>
        <v/>
      </c>
      <c r="AH270" s="9" t="str">
        <f t="shared" si="34"/>
        <v/>
      </c>
    </row>
    <row r="271" spans="1:34" x14ac:dyDescent="0.25">
      <c r="A271" s="68"/>
      <c r="B271" s="68"/>
      <c r="C271" s="65"/>
      <c r="D271" s="65"/>
      <c r="E271" s="66"/>
      <c r="F271" s="65"/>
      <c r="G271" s="67"/>
      <c r="AD271" s="9" t="str">
        <f t="shared" si="36"/>
        <v/>
      </c>
      <c r="AG271" s="9" t="str">
        <f t="shared" si="33"/>
        <v/>
      </c>
      <c r="AH271" s="9" t="str">
        <f t="shared" si="34"/>
        <v/>
      </c>
    </row>
    <row r="272" spans="1:34" x14ac:dyDescent="0.25">
      <c r="A272" s="68"/>
      <c r="B272" s="68"/>
      <c r="C272" s="65"/>
      <c r="D272" s="65"/>
      <c r="E272" s="66"/>
      <c r="F272" s="65"/>
      <c r="G272" s="67"/>
      <c r="AD272" s="9" t="str">
        <f t="shared" si="36"/>
        <v/>
      </c>
      <c r="AG272" s="9" t="str">
        <f t="shared" si="33"/>
        <v/>
      </c>
      <c r="AH272" s="9" t="str">
        <f t="shared" si="34"/>
        <v/>
      </c>
    </row>
    <row r="273" spans="1:34" x14ac:dyDescent="0.25">
      <c r="A273" s="68"/>
      <c r="B273" s="68"/>
      <c r="C273" s="65"/>
      <c r="D273" s="65"/>
      <c r="E273" s="66"/>
      <c r="F273" s="65"/>
      <c r="G273" s="67"/>
      <c r="AD273" s="9" t="str">
        <f t="shared" si="36"/>
        <v/>
      </c>
      <c r="AG273" s="9" t="str">
        <f t="shared" si="33"/>
        <v/>
      </c>
      <c r="AH273" s="9" t="str">
        <f t="shared" si="34"/>
        <v/>
      </c>
    </row>
    <row r="274" spans="1:34" x14ac:dyDescent="0.25">
      <c r="A274" s="68"/>
      <c r="B274" s="68"/>
      <c r="C274" s="65"/>
      <c r="D274" s="65"/>
      <c r="E274" s="66"/>
      <c r="F274" s="65"/>
      <c r="G274" s="67"/>
      <c r="AD274" s="9" t="str">
        <f t="shared" si="36"/>
        <v/>
      </c>
      <c r="AG274" s="9" t="str">
        <f t="shared" si="33"/>
        <v/>
      </c>
      <c r="AH274" s="9" t="str">
        <f t="shared" si="34"/>
        <v/>
      </c>
    </row>
    <row r="275" spans="1:34" x14ac:dyDescent="0.25">
      <c r="A275" s="68"/>
      <c r="B275" s="68"/>
      <c r="C275" s="65"/>
      <c r="D275" s="65"/>
      <c r="E275" s="66"/>
      <c r="F275" s="65"/>
      <c r="G275" s="67"/>
      <c r="AD275" s="9" t="str">
        <f t="shared" si="36"/>
        <v/>
      </c>
      <c r="AG275" s="9" t="str">
        <f t="shared" si="33"/>
        <v/>
      </c>
      <c r="AH275" s="9" t="str">
        <f t="shared" si="34"/>
        <v/>
      </c>
    </row>
    <row r="276" spans="1:34" x14ac:dyDescent="0.25">
      <c r="A276" s="68"/>
      <c r="B276" s="68"/>
      <c r="C276" s="65"/>
      <c r="D276" s="65"/>
      <c r="E276" s="66"/>
      <c r="F276" s="65"/>
      <c r="G276" s="67"/>
      <c r="AD276" s="9" t="str">
        <f t="shared" si="36"/>
        <v/>
      </c>
      <c r="AG276" s="9" t="str">
        <f t="shared" si="33"/>
        <v/>
      </c>
      <c r="AH276" s="9" t="str">
        <f t="shared" si="34"/>
        <v/>
      </c>
    </row>
    <row r="277" spans="1:34" x14ac:dyDescent="0.25">
      <c r="A277" s="68"/>
      <c r="B277" s="68"/>
      <c r="C277" s="65"/>
      <c r="D277" s="65"/>
      <c r="E277" s="66"/>
      <c r="F277" s="65"/>
      <c r="G277" s="67"/>
      <c r="AD277" s="9" t="str">
        <f t="shared" si="36"/>
        <v/>
      </c>
      <c r="AG277" s="9" t="str">
        <f t="shared" si="33"/>
        <v/>
      </c>
      <c r="AH277" s="9" t="str">
        <f t="shared" si="34"/>
        <v/>
      </c>
    </row>
    <row r="278" spans="1:34" x14ac:dyDescent="0.25">
      <c r="A278" s="68"/>
      <c r="B278" s="68"/>
      <c r="C278" s="65"/>
      <c r="D278" s="65"/>
      <c r="E278" s="66"/>
      <c r="F278" s="65"/>
      <c r="G278" s="67"/>
      <c r="AD278" s="9" t="str">
        <f t="shared" si="36"/>
        <v/>
      </c>
      <c r="AG278" s="9" t="str">
        <f t="shared" si="33"/>
        <v/>
      </c>
      <c r="AH278" s="9" t="str">
        <f t="shared" si="34"/>
        <v/>
      </c>
    </row>
    <row r="279" spans="1:34" x14ac:dyDescent="0.25">
      <c r="A279" s="68"/>
      <c r="B279" s="68"/>
      <c r="C279" s="65"/>
      <c r="D279" s="65"/>
      <c r="E279" s="66"/>
      <c r="F279" s="65"/>
      <c r="G279" s="67"/>
      <c r="AD279" s="9" t="str">
        <f t="shared" si="36"/>
        <v/>
      </c>
      <c r="AG279" s="9" t="str">
        <f t="shared" si="33"/>
        <v/>
      </c>
      <c r="AH279" s="9" t="str">
        <f t="shared" si="34"/>
        <v/>
      </c>
    </row>
    <row r="280" spans="1:34" x14ac:dyDescent="0.25">
      <c r="A280" s="68"/>
      <c r="B280" s="68"/>
      <c r="C280" s="65"/>
      <c r="D280" s="65"/>
      <c r="E280" s="66"/>
      <c r="F280" s="65"/>
      <c r="G280" s="67"/>
      <c r="AD280" s="9" t="str">
        <f t="shared" si="36"/>
        <v/>
      </c>
      <c r="AG280" s="9" t="str">
        <f t="shared" si="33"/>
        <v/>
      </c>
      <c r="AH280" s="9" t="str">
        <f t="shared" si="34"/>
        <v/>
      </c>
    </row>
    <row r="281" spans="1:34" x14ac:dyDescent="0.25">
      <c r="A281" s="68"/>
      <c r="B281" s="68"/>
      <c r="C281" s="65"/>
      <c r="D281" s="65"/>
      <c r="E281" s="66"/>
      <c r="F281" s="65"/>
      <c r="G281" s="67"/>
      <c r="AD281" s="9" t="str">
        <f t="shared" si="36"/>
        <v/>
      </c>
      <c r="AG281" s="9" t="str">
        <f t="shared" si="33"/>
        <v/>
      </c>
      <c r="AH281" s="9" t="str">
        <f t="shared" si="34"/>
        <v/>
      </c>
    </row>
    <row r="282" spans="1:34" x14ac:dyDescent="0.25">
      <c r="A282" s="68"/>
      <c r="B282" s="68"/>
      <c r="C282" s="65"/>
      <c r="D282" s="65"/>
      <c r="E282" s="66"/>
      <c r="F282" s="65"/>
      <c r="G282" s="67"/>
      <c r="AD282" s="9" t="str">
        <f t="shared" si="36"/>
        <v/>
      </c>
      <c r="AG282" s="9" t="str">
        <f t="shared" si="33"/>
        <v/>
      </c>
      <c r="AH282" s="9" t="str">
        <f t="shared" si="34"/>
        <v/>
      </c>
    </row>
    <row r="283" spans="1:34" x14ac:dyDescent="0.25">
      <c r="A283" s="68"/>
      <c r="B283" s="68"/>
      <c r="C283" s="65"/>
      <c r="D283" s="65"/>
      <c r="E283" s="66"/>
      <c r="F283" s="65"/>
      <c r="G283" s="67"/>
      <c r="AD283" s="9" t="str">
        <f t="shared" si="36"/>
        <v/>
      </c>
      <c r="AG283" s="9" t="str">
        <f t="shared" si="33"/>
        <v/>
      </c>
      <c r="AH283" s="9" t="str">
        <f t="shared" si="34"/>
        <v/>
      </c>
    </row>
    <row r="284" spans="1:34" x14ac:dyDescent="0.25">
      <c r="A284" s="68"/>
      <c r="B284" s="68"/>
      <c r="C284" s="65"/>
      <c r="D284" s="65"/>
      <c r="E284" s="66"/>
      <c r="F284" s="65"/>
      <c r="G284" s="67"/>
      <c r="AD284" s="9" t="str">
        <f t="shared" si="36"/>
        <v/>
      </c>
      <c r="AG284" s="9" t="str">
        <f t="shared" si="33"/>
        <v/>
      </c>
      <c r="AH284" s="9" t="str">
        <f t="shared" si="34"/>
        <v/>
      </c>
    </row>
    <row r="285" spans="1:34" x14ac:dyDescent="0.25">
      <c r="A285" s="68"/>
      <c r="B285" s="68"/>
      <c r="C285" s="65"/>
      <c r="D285" s="65"/>
      <c r="E285" s="66"/>
      <c r="F285" s="65"/>
      <c r="G285" s="67"/>
      <c r="AD285" s="9" t="str">
        <f t="shared" si="36"/>
        <v/>
      </c>
      <c r="AG285" s="9" t="str">
        <f t="shared" si="33"/>
        <v/>
      </c>
      <c r="AH285" s="9" t="str">
        <f t="shared" si="34"/>
        <v/>
      </c>
    </row>
    <row r="286" spans="1:34" x14ac:dyDescent="0.25">
      <c r="A286" s="68"/>
      <c r="B286" s="68"/>
      <c r="C286" s="65"/>
      <c r="D286" s="65"/>
      <c r="E286" s="66"/>
      <c r="F286" s="65"/>
      <c r="G286" s="67"/>
      <c r="AD286" s="9" t="str">
        <f t="shared" si="36"/>
        <v/>
      </c>
      <c r="AG286" s="9" t="str">
        <f t="shared" si="33"/>
        <v/>
      </c>
      <c r="AH286" s="9" t="str">
        <f t="shared" si="34"/>
        <v/>
      </c>
    </row>
    <row r="287" spans="1:34" x14ac:dyDescent="0.25">
      <c r="A287" s="68"/>
      <c r="B287" s="68"/>
      <c r="C287" s="65"/>
      <c r="D287" s="65"/>
      <c r="E287" s="66"/>
      <c r="F287" s="65"/>
      <c r="G287" s="67"/>
      <c r="AD287" s="9" t="str">
        <f t="shared" si="36"/>
        <v/>
      </c>
      <c r="AG287" s="9" t="str">
        <f t="shared" ref="AG287:AG350" si="37">IF(AF287="","",IF(AF287&lt;365,AF287*AC$25*AD287,365*AD287*AC$25))</f>
        <v/>
      </c>
      <c r="AH287" s="9" t="str">
        <f t="shared" ref="AH287:AH310" si="38">IF(AF287="","",IF(AF287&lt;365,AF287*AC$26*AD287,365*AD287*AC$26))</f>
        <v/>
      </c>
    </row>
    <row r="288" spans="1:34" x14ac:dyDescent="0.25">
      <c r="A288" s="68"/>
      <c r="B288" s="68"/>
      <c r="C288" s="65"/>
      <c r="D288" s="65"/>
      <c r="E288" s="66"/>
      <c r="F288" s="65"/>
      <c r="G288" s="67"/>
      <c r="AD288" s="9" t="str">
        <f t="shared" si="36"/>
        <v/>
      </c>
      <c r="AG288" s="9" t="str">
        <f t="shared" si="37"/>
        <v/>
      </c>
      <c r="AH288" s="9" t="str">
        <f t="shared" si="38"/>
        <v/>
      </c>
    </row>
    <row r="289" spans="1:34" x14ac:dyDescent="0.25">
      <c r="A289" s="68"/>
      <c r="B289" s="68"/>
      <c r="C289" s="65"/>
      <c r="D289" s="65"/>
      <c r="E289" s="66"/>
      <c r="F289" s="65"/>
      <c r="G289" s="67"/>
      <c r="AD289" s="9" t="str">
        <f t="shared" si="36"/>
        <v/>
      </c>
      <c r="AG289" s="9" t="str">
        <f t="shared" si="37"/>
        <v/>
      </c>
      <c r="AH289" s="9" t="str">
        <f t="shared" si="38"/>
        <v/>
      </c>
    </row>
    <row r="290" spans="1:34" x14ac:dyDescent="0.25">
      <c r="A290" s="68"/>
      <c r="B290" s="68"/>
      <c r="C290" s="65"/>
      <c r="D290" s="65"/>
      <c r="E290" s="66"/>
      <c r="F290" s="65"/>
      <c r="G290" s="67"/>
      <c r="AD290" s="9" t="str">
        <f t="shared" si="36"/>
        <v/>
      </c>
      <c r="AG290" s="9" t="str">
        <f t="shared" si="37"/>
        <v/>
      </c>
      <c r="AH290" s="9" t="str">
        <f t="shared" si="38"/>
        <v/>
      </c>
    </row>
    <row r="291" spans="1:34" x14ac:dyDescent="0.25">
      <c r="A291" s="68"/>
      <c r="B291" s="68"/>
      <c r="C291" s="65"/>
      <c r="D291" s="65"/>
      <c r="E291" s="66"/>
      <c r="F291" s="65"/>
      <c r="G291" s="67"/>
      <c r="AD291" s="9" t="str">
        <f t="shared" si="36"/>
        <v/>
      </c>
      <c r="AG291" s="9" t="str">
        <f t="shared" si="37"/>
        <v/>
      </c>
      <c r="AH291" s="9" t="str">
        <f t="shared" si="38"/>
        <v/>
      </c>
    </row>
    <row r="292" spans="1:34" x14ac:dyDescent="0.25">
      <c r="A292" s="68"/>
      <c r="B292" s="68"/>
      <c r="C292" s="65"/>
      <c r="D292" s="65"/>
      <c r="E292" s="66"/>
      <c r="F292" s="65"/>
      <c r="G292" s="67"/>
      <c r="AD292" s="9" t="str">
        <f t="shared" si="36"/>
        <v/>
      </c>
      <c r="AG292" s="9" t="str">
        <f t="shared" si="37"/>
        <v/>
      </c>
      <c r="AH292" s="9" t="str">
        <f t="shared" si="38"/>
        <v/>
      </c>
    </row>
    <row r="293" spans="1:34" x14ac:dyDescent="0.25">
      <c r="A293" s="68"/>
      <c r="B293" s="68"/>
      <c r="C293" s="65"/>
      <c r="D293" s="65"/>
      <c r="E293" s="66"/>
      <c r="F293" s="65"/>
      <c r="G293" s="67"/>
      <c r="AD293" s="9" t="str">
        <f t="shared" si="36"/>
        <v/>
      </c>
      <c r="AG293" s="9" t="str">
        <f t="shared" si="37"/>
        <v/>
      </c>
      <c r="AH293" s="9" t="str">
        <f t="shared" si="38"/>
        <v/>
      </c>
    </row>
    <row r="294" spans="1:34" x14ac:dyDescent="0.25">
      <c r="A294" s="68"/>
      <c r="B294" s="68"/>
      <c r="C294" s="65"/>
      <c r="D294" s="65"/>
      <c r="E294" s="66"/>
      <c r="F294" s="65"/>
      <c r="G294" s="67"/>
      <c r="AD294" s="9" t="str">
        <f t="shared" si="36"/>
        <v/>
      </c>
      <c r="AG294" s="9" t="str">
        <f t="shared" si="37"/>
        <v/>
      </c>
      <c r="AH294" s="9" t="str">
        <f t="shared" si="38"/>
        <v/>
      </c>
    </row>
    <row r="295" spans="1:34" x14ac:dyDescent="0.25">
      <c r="A295" s="68"/>
      <c r="B295" s="68"/>
      <c r="C295" s="65"/>
      <c r="D295" s="65"/>
      <c r="E295" s="66"/>
      <c r="F295" s="65"/>
      <c r="G295" s="67"/>
      <c r="AD295" s="9" t="str">
        <f t="shared" si="36"/>
        <v/>
      </c>
      <c r="AG295" s="9" t="str">
        <f t="shared" si="37"/>
        <v/>
      </c>
      <c r="AH295" s="9" t="str">
        <f t="shared" si="38"/>
        <v/>
      </c>
    </row>
    <row r="296" spans="1:34" x14ac:dyDescent="0.25">
      <c r="A296" s="68"/>
      <c r="B296" s="68"/>
      <c r="C296" s="65"/>
      <c r="D296" s="65"/>
      <c r="E296" s="66"/>
      <c r="F296" s="65"/>
      <c r="G296" s="67"/>
      <c r="AD296" s="9" t="str">
        <f t="shared" si="36"/>
        <v/>
      </c>
      <c r="AG296" s="9" t="str">
        <f t="shared" si="37"/>
        <v/>
      </c>
      <c r="AH296" s="9" t="str">
        <f t="shared" si="38"/>
        <v/>
      </c>
    </row>
    <row r="297" spans="1:34" x14ac:dyDescent="0.25">
      <c r="A297" s="68"/>
      <c r="B297" s="68"/>
      <c r="C297" s="65"/>
      <c r="D297" s="65"/>
      <c r="E297" s="66"/>
      <c r="F297" s="65"/>
      <c r="G297" s="67"/>
      <c r="AD297" s="9" t="str">
        <f t="shared" si="36"/>
        <v/>
      </c>
      <c r="AG297" s="9" t="str">
        <f t="shared" si="37"/>
        <v/>
      </c>
      <c r="AH297" s="9" t="str">
        <f t="shared" si="38"/>
        <v/>
      </c>
    </row>
    <row r="298" spans="1:34" x14ac:dyDescent="0.25">
      <c r="A298" s="68"/>
      <c r="B298" s="68"/>
      <c r="C298" s="65"/>
      <c r="D298" s="65"/>
      <c r="E298" s="66"/>
      <c r="F298" s="65"/>
      <c r="G298" s="67"/>
      <c r="AD298" s="9" t="str">
        <f t="shared" si="36"/>
        <v/>
      </c>
      <c r="AG298" s="9" t="str">
        <f t="shared" si="37"/>
        <v/>
      </c>
      <c r="AH298" s="9" t="str">
        <f t="shared" si="38"/>
        <v/>
      </c>
    </row>
    <row r="299" spans="1:34" x14ac:dyDescent="0.25">
      <c r="A299" s="68"/>
      <c r="B299" s="68"/>
      <c r="C299" s="65"/>
      <c r="D299" s="65"/>
      <c r="E299" s="66"/>
      <c r="F299" s="65"/>
      <c r="G299" s="67"/>
      <c r="AD299" s="9" t="str">
        <f t="shared" si="36"/>
        <v/>
      </c>
      <c r="AG299" s="9" t="str">
        <f t="shared" si="37"/>
        <v/>
      </c>
      <c r="AH299" s="9" t="str">
        <f t="shared" si="38"/>
        <v/>
      </c>
    </row>
    <row r="300" spans="1:34" x14ac:dyDescent="0.25">
      <c r="A300" s="68"/>
      <c r="B300" s="68"/>
      <c r="C300" s="65"/>
      <c r="D300" s="65"/>
      <c r="E300" s="66"/>
      <c r="F300" s="65"/>
      <c r="G300" s="67"/>
      <c r="AD300" s="9" t="str">
        <f t="shared" si="36"/>
        <v/>
      </c>
      <c r="AG300" s="9" t="str">
        <f t="shared" si="37"/>
        <v/>
      </c>
      <c r="AH300" s="9" t="str">
        <f t="shared" si="38"/>
        <v/>
      </c>
    </row>
    <row r="301" spans="1:34" x14ac:dyDescent="0.25">
      <c r="A301" s="68"/>
      <c r="B301" s="68"/>
      <c r="C301" s="65"/>
      <c r="D301" s="65"/>
      <c r="E301" s="66"/>
      <c r="F301" s="65"/>
      <c r="G301" s="67"/>
      <c r="AD301" s="9" t="str">
        <f t="shared" si="36"/>
        <v/>
      </c>
      <c r="AG301" s="9" t="str">
        <f t="shared" si="37"/>
        <v/>
      </c>
      <c r="AH301" s="9" t="str">
        <f t="shared" si="38"/>
        <v/>
      </c>
    </row>
    <row r="302" spans="1:34" x14ac:dyDescent="0.25">
      <c r="A302" s="68"/>
      <c r="B302" s="68"/>
      <c r="C302" s="65"/>
      <c r="D302" s="65"/>
      <c r="E302" s="66"/>
      <c r="F302" s="65"/>
      <c r="G302" s="67"/>
      <c r="AD302" s="9" t="str">
        <f t="shared" si="36"/>
        <v/>
      </c>
      <c r="AG302" s="9" t="str">
        <f t="shared" si="37"/>
        <v/>
      </c>
      <c r="AH302" s="9" t="str">
        <f t="shared" si="38"/>
        <v/>
      </c>
    </row>
    <row r="303" spans="1:34" x14ac:dyDescent="0.25">
      <c r="A303" s="68"/>
      <c r="B303" s="68"/>
      <c r="C303" s="65"/>
      <c r="D303" s="65"/>
      <c r="E303" s="66"/>
      <c r="F303" s="65"/>
      <c r="G303" s="67"/>
      <c r="AD303" s="9" t="str">
        <f t="shared" si="36"/>
        <v/>
      </c>
      <c r="AG303" s="9" t="str">
        <f t="shared" si="37"/>
        <v/>
      </c>
      <c r="AH303" s="9" t="str">
        <f t="shared" si="38"/>
        <v/>
      </c>
    </row>
    <row r="304" spans="1:34" x14ac:dyDescent="0.25">
      <c r="A304" s="68"/>
      <c r="B304" s="68"/>
      <c r="C304" s="65"/>
      <c r="D304" s="65"/>
      <c r="E304" s="66"/>
      <c r="F304" s="65"/>
      <c r="G304" s="67"/>
      <c r="AD304" s="9" t="str">
        <f t="shared" si="36"/>
        <v/>
      </c>
      <c r="AG304" s="9" t="str">
        <f t="shared" si="37"/>
        <v/>
      </c>
      <c r="AH304" s="9" t="str">
        <f t="shared" si="38"/>
        <v/>
      </c>
    </row>
    <row r="305" spans="1:34" x14ac:dyDescent="0.25">
      <c r="A305" s="68"/>
      <c r="B305" s="68"/>
      <c r="C305" s="65"/>
      <c r="D305" s="65"/>
      <c r="E305" s="66"/>
      <c r="F305" s="65"/>
      <c r="G305" s="67"/>
      <c r="AD305" s="9" t="str">
        <f t="shared" si="36"/>
        <v/>
      </c>
      <c r="AG305" s="9" t="str">
        <f t="shared" si="37"/>
        <v/>
      </c>
      <c r="AH305" s="9" t="str">
        <f t="shared" si="38"/>
        <v/>
      </c>
    </row>
    <row r="306" spans="1:34" x14ac:dyDescent="0.25">
      <c r="A306" s="68"/>
      <c r="B306" s="68"/>
      <c r="C306" s="65"/>
      <c r="D306" s="65"/>
      <c r="E306" s="66"/>
      <c r="F306" s="65"/>
      <c r="G306" s="67"/>
      <c r="AD306" s="9" t="str">
        <f t="shared" si="36"/>
        <v/>
      </c>
      <c r="AG306" s="9" t="str">
        <f t="shared" si="37"/>
        <v/>
      </c>
      <c r="AH306" s="9" t="str">
        <f t="shared" si="38"/>
        <v/>
      </c>
    </row>
    <row r="307" spans="1:34" x14ac:dyDescent="0.25">
      <c r="A307" s="68"/>
      <c r="B307" s="68"/>
      <c r="C307" s="65"/>
      <c r="D307" s="65"/>
      <c r="E307" s="66"/>
      <c r="F307" s="65"/>
      <c r="G307" s="67"/>
      <c r="AD307" s="9" t="str">
        <f t="shared" si="36"/>
        <v/>
      </c>
      <c r="AG307" s="9" t="str">
        <f t="shared" si="37"/>
        <v/>
      </c>
      <c r="AH307" s="9" t="str">
        <f t="shared" si="38"/>
        <v/>
      </c>
    </row>
    <row r="308" spans="1:34" x14ac:dyDescent="0.25">
      <c r="A308" s="68"/>
      <c r="B308" s="68"/>
      <c r="C308" s="65"/>
      <c r="D308" s="65"/>
      <c r="E308" s="66"/>
      <c r="F308" s="65"/>
      <c r="G308" s="67"/>
      <c r="AD308" s="9" t="str">
        <f t="shared" si="36"/>
        <v/>
      </c>
      <c r="AG308" s="9" t="str">
        <f t="shared" si="37"/>
        <v/>
      </c>
      <c r="AH308" s="9" t="str">
        <f t="shared" si="38"/>
        <v/>
      </c>
    </row>
    <row r="309" spans="1:34" x14ac:dyDescent="0.25">
      <c r="A309" s="68"/>
      <c r="B309" s="68"/>
      <c r="C309" s="65"/>
      <c r="D309" s="65"/>
      <c r="E309" s="66"/>
      <c r="F309" s="65"/>
      <c r="G309" s="67"/>
      <c r="AD309" s="9" t="str">
        <f t="shared" si="36"/>
        <v/>
      </c>
      <c r="AG309" s="9" t="str">
        <f t="shared" si="37"/>
        <v/>
      </c>
      <c r="AH309" s="9" t="str">
        <f t="shared" si="38"/>
        <v/>
      </c>
    </row>
    <row r="310" spans="1:34" x14ac:dyDescent="0.25">
      <c r="A310" s="68"/>
      <c r="B310" s="68"/>
      <c r="C310" s="65"/>
      <c r="D310" s="65"/>
      <c r="E310" s="66"/>
      <c r="F310" s="65"/>
      <c r="G310" s="67"/>
      <c r="AD310" s="9" t="str">
        <f t="shared" si="36"/>
        <v/>
      </c>
      <c r="AG310" s="9" t="str">
        <f t="shared" si="37"/>
        <v/>
      </c>
      <c r="AH310" s="9" t="str">
        <f t="shared" si="38"/>
        <v/>
      </c>
    </row>
    <row r="311" spans="1:34" x14ac:dyDescent="0.25">
      <c r="A311" s="68"/>
      <c r="B311" s="68"/>
      <c r="C311" s="65"/>
      <c r="D311" s="65"/>
      <c r="E311" s="66"/>
      <c r="F311" s="65"/>
      <c r="G311" s="67"/>
      <c r="AD311" s="9" t="str">
        <f t="shared" si="36"/>
        <v/>
      </c>
      <c r="AG311" s="9" t="str">
        <f t="shared" si="37"/>
        <v/>
      </c>
    </row>
    <row r="312" spans="1:34" x14ac:dyDescent="0.25">
      <c r="A312" s="68"/>
      <c r="B312" s="68"/>
      <c r="C312" s="65"/>
      <c r="D312" s="65"/>
      <c r="E312" s="66"/>
      <c r="F312" s="65"/>
      <c r="G312" s="67"/>
      <c r="AD312" s="9" t="str">
        <f t="shared" si="36"/>
        <v/>
      </c>
      <c r="AG312" s="9" t="str">
        <f t="shared" si="37"/>
        <v/>
      </c>
    </row>
    <row r="313" spans="1:34" x14ac:dyDescent="0.25">
      <c r="A313" s="68"/>
      <c r="B313" s="68"/>
      <c r="C313" s="65"/>
      <c r="D313" s="65"/>
      <c r="E313" s="66"/>
      <c r="F313" s="65"/>
      <c r="G313" s="67"/>
      <c r="AD313" s="9" t="str">
        <f t="shared" si="36"/>
        <v/>
      </c>
      <c r="AG313" s="9" t="str">
        <f t="shared" si="37"/>
        <v/>
      </c>
    </row>
    <row r="314" spans="1:34" x14ac:dyDescent="0.25">
      <c r="A314" s="68"/>
      <c r="B314" s="68"/>
      <c r="C314" s="65"/>
      <c r="D314" s="65"/>
      <c r="E314" s="66"/>
      <c r="F314" s="65"/>
      <c r="G314" s="67"/>
      <c r="AD314" s="9" t="str">
        <f t="shared" si="36"/>
        <v/>
      </c>
      <c r="AG314" s="9" t="str">
        <f t="shared" si="37"/>
        <v/>
      </c>
    </row>
    <row r="315" spans="1:34" x14ac:dyDescent="0.25">
      <c r="A315" s="68"/>
      <c r="B315" s="68"/>
      <c r="C315" s="65"/>
      <c r="D315" s="65"/>
      <c r="E315" s="66"/>
      <c r="F315" s="65"/>
      <c r="G315" s="67"/>
      <c r="AD315" s="9" t="str">
        <f t="shared" si="36"/>
        <v/>
      </c>
      <c r="AG315" s="9" t="str">
        <f t="shared" si="37"/>
        <v/>
      </c>
    </row>
    <row r="316" spans="1:34" x14ac:dyDescent="0.25">
      <c r="A316" s="68"/>
      <c r="B316" s="68"/>
      <c r="C316" s="65"/>
      <c r="D316" s="65"/>
      <c r="E316" s="66"/>
      <c r="F316" s="65"/>
      <c r="G316" s="67"/>
      <c r="AD316" s="9" t="str">
        <f t="shared" si="36"/>
        <v/>
      </c>
      <c r="AG316" s="9" t="str">
        <f t="shared" si="37"/>
        <v/>
      </c>
    </row>
    <row r="317" spans="1:34" x14ac:dyDescent="0.25">
      <c r="A317" s="68"/>
      <c r="B317" s="68"/>
      <c r="C317" s="65"/>
      <c r="D317" s="65"/>
      <c r="E317" s="66"/>
      <c r="F317" s="65"/>
      <c r="G317" s="67"/>
      <c r="AD317" s="9" t="str">
        <f t="shared" si="36"/>
        <v/>
      </c>
      <c r="AG317" s="9" t="str">
        <f t="shared" si="37"/>
        <v/>
      </c>
    </row>
    <row r="318" spans="1:34" x14ac:dyDescent="0.25">
      <c r="A318" s="68"/>
      <c r="B318" s="68"/>
      <c r="C318" s="65"/>
      <c r="D318" s="65"/>
      <c r="E318" s="66"/>
      <c r="F318" s="65"/>
      <c r="G318" s="67"/>
      <c r="AD318" s="9" t="str">
        <f t="shared" si="36"/>
        <v/>
      </c>
      <c r="AG318" s="9" t="str">
        <f t="shared" si="37"/>
        <v/>
      </c>
    </row>
    <row r="319" spans="1:34" x14ac:dyDescent="0.25">
      <c r="A319" s="68"/>
      <c r="B319" s="68"/>
      <c r="C319" s="65"/>
      <c r="D319" s="65"/>
      <c r="E319" s="66"/>
      <c r="F319" s="65"/>
      <c r="G319" s="67"/>
      <c r="AD319" s="9" t="str">
        <f t="shared" si="36"/>
        <v/>
      </c>
      <c r="AG319" s="9" t="str">
        <f t="shared" si="37"/>
        <v/>
      </c>
    </row>
    <row r="320" spans="1:34" x14ac:dyDescent="0.25">
      <c r="A320" s="68"/>
      <c r="B320" s="68"/>
      <c r="C320" s="65"/>
      <c r="D320" s="65"/>
      <c r="E320" s="66"/>
      <c r="F320" s="65"/>
      <c r="G320" s="67"/>
      <c r="AD320" s="9" t="str">
        <f t="shared" si="36"/>
        <v/>
      </c>
      <c r="AG320" s="9" t="str">
        <f t="shared" si="37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36"/>
        <v/>
      </c>
      <c r="AG321" s="9" t="str">
        <f t="shared" si="37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85" si="39">IF(AC322="","",C317)</f>
        <v/>
      </c>
      <c r="AG322" s="9" t="str">
        <f t="shared" si="37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39"/>
        <v/>
      </c>
      <c r="AG323" s="9" t="str">
        <f t="shared" si="37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39"/>
        <v/>
      </c>
      <c r="AG324" s="9" t="str">
        <f t="shared" si="37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39"/>
        <v/>
      </c>
      <c r="AG325" s="9" t="str">
        <f t="shared" si="37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39"/>
        <v/>
      </c>
      <c r="AG326" s="9" t="str">
        <f t="shared" si="37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39"/>
        <v/>
      </c>
      <c r="AG327" s="9" t="str">
        <f t="shared" si="37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39"/>
        <v/>
      </c>
      <c r="AG328" s="9" t="str">
        <f t="shared" si="37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39"/>
        <v/>
      </c>
      <c r="AG329" s="9" t="str">
        <f t="shared" si="37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39"/>
        <v/>
      </c>
      <c r="AG330" s="9" t="str">
        <f t="shared" si="37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39"/>
        <v/>
      </c>
      <c r="AG331" s="9" t="str">
        <f t="shared" si="37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39"/>
        <v/>
      </c>
      <c r="AG332" s="9" t="str">
        <f t="shared" si="37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39"/>
        <v/>
      </c>
      <c r="AG333" s="9" t="str">
        <f t="shared" si="37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39"/>
        <v/>
      </c>
      <c r="AG334" s="9" t="str">
        <f t="shared" si="37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39"/>
        <v/>
      </c>
      <c r="AG335" s="9" t="str">
        <f t="shared" si="37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39"/>
        <v/>
      </c>
      <c r="AG336" s="9" t="str">
        <f t="shared" si="37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39"/>
        <v/>
      </c>
      <c r="AG337" s="9" t="str">
        <f t="shared" si="37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39"/>
        <v/>
      </c>
      <c r="AG338" s="9" t="str">
        <f t="shared" si="37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39"/>
        <v/>
      </c>
      <c r="AG339" s="9" t="str">
        <f t="shared" si="37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39"/>
        <v/>
      </c>
      <c r="AG340" s="9" t="str">
        <f t="shared" si="37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39"/>
        <v/>
      </c>
      <c r="AG341" s="9" t="str">
        <f t="shared" si="37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39"/>
        <v/>
      </c>
      <c r="AG342" s="9" t="str">
        <f t="shared" si="37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39"/>
        <v/>
      </c>
      <c r="AG343" s="9" t="str">
        <f t="shared" si="37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39"/>
        <v/>
      </c>
      <c r="AG344" s="9" t="str">
        <f t="shared" si="37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39"/>
        <v/>
      </c>
      <c r="AG345" s="9" t="str">
        <f t="shared" si="37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39"/>
        <v/>
      </c>
      <c r="AG346" s="9" t="str">
        <f t="shared" si="37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39"/>
        <v/>
      </c>
      <c r="AG347" s="9" t="str">
        <f t="shared" si="37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39"/>
        <v/>
      </c>
      <c r="AG348" s="9" t="str">
        <f t="shared" si="37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39"/>
        <v/>
      </c>
      <c r="AG349" s="9" t="str">
        <f t="shared" si="37"/>
        <v/>
      </c>
    </row>
    <row r="350" spans="1:33" x14ac:dyDescent="0.25">
      <c r="AD350" s="9" t="str">
        <f t="shared" si="39"/>
        <v/>
      </c>
      <c r="AG350" s="9" t="str">
        <f t="shared" si="37"/>
        <v/>
      </c>
    </row>
    <row r="351" spans="1:33" x14ac:dyDescent="0.25">
      <c r="AD351" s="9" t="str">
        <f t="shared" si="39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39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39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si="39"/>
        <v/>
      </c>
      <c r="AG354" s="9"/>
    </row>
    <row r="355" spans="30:33" x14ac:dyDescent="0.25">
      <c r="AD355" s="9" t="str">
        <f t="shared" si="39"/>
        <v/>
      </c>
      <c r="AG355" s="9"/>
    </row>
    <row r="356" spans="30:33" x14ac:dyDescent="0.25">
      <c r="AD356" s="9" t="str">
        <f t="shared" si="39"/>
        <v/>
      </c>
      <c r="AG356" s="9"/>
    </row>
    <row r="357" spans="30:33" x14ac:dyDescent="0.25">
      <c r="AD357" s="9" t="str">
        <f t="shared" si="39"/>
        <v/>
      </c>
      <c r="AG357" s="9"/>
    </row>
    <row r="358" spans="30:33" x14ac:dyDescent="0.25">
      <c r="AD358" s="9" t="str">
        <f t="shared" si="39"/>
        <v/>
      </c>
      <c r="AG358" s="9"/>
    </row>
    <row r="359" spans="30:33" x14ac:dyDescent="0.25">
      <c r="AD359" s="9" t="str">
        <f t="shared" si="39"/>
        <v/>
      </c>
      <c r="AG359" s="9"/>
    </row>
    <row r="360" spans="30:33" x14ac:dyDescent="0.25">
      <c r="AD360" s="9" t="str">
        <f t="shared" si="39"/>
        <v/>
      </c>
      <c r="AG360" s="9"/>
    </row>
    <row r="361" spans="30:33" x14ac:dyDescent="0.25">
      <c r="AD361" s="9" t="str">
        <f t="shared" si="39"/>
        <v/>
      </c>
      <c r="AG361" s="9"/>
    </row>
    <row r="362" spans="30:33" x14ac:dyDescent="0.25">
      <c r="AD362" s="9" t="str">
        <f t="shared" si="39"/>
        <v/>
      </c>
      <c r="AG362" s="9"/>
    </row>
    <row r="363" spans="30:33" x14ac:dyDescent="0.25">
      <c r="AD363" s="9" t="str">
        <f t="shared" si="39"/>
        <v/>
      </c>
      <c r="AG363" s="9"/>
    </row>
    <row r="364" spans="30:33" x14ac:dyDescent="0.25">
      <c r="AD364" s="9" t="str">
        <f t="shared" si="39"/>
        <v/>
      </c>
      <c r="AG364" s="9"/>
    </row>
    <row r="365" spans="30:33" x14ac:dyDescent="0.25">
      <c r="AD365" s="9" t="str">
        <f t="shared" si="39"/>
        <v/>
      </c>
      <c r="AG365" s="9"/>
    </row>
    <row r="366" spans="30:33" x14ac:dyDescent="0.25">
      <c r="AD366" s="9" t="str">
        <f t="shared" si="39"/>
        <v/>
      </c>
      <c r="AG366" s="9"/>
    </row>
    <row r="367" spans="30:33" x14ac:dyDescent="0.25">
      <c r="AD367" s="9" t="str">
        <f t="shared" si="39"/>
        <v/>
      </c>
      <c r="AG367" s="9"/>
    </row>
    <row r="368" spans="30:33" x14ac:dyDescent="0.25">
      <c r="AD368" s="9" t="str">
        <f t="shared" si="39"/>
        <v/>
      </c>
      <c r="AG368" s="9"/>
    </row>
    <row r="369" spans="30:33" x14ac:dyDescent="0.25">
      <c r="AD369" s="9" t="str">
        <f t="shared" si="39"/>
        <v/>
      </c>
      <c r="AG369" s="9"/>
    </row>
    <row r="370" spans="30:33" x14ac:dyDescent="0.25">
      <c r="AD370" s="9" t="str">
        <f t="shared" si="39"/>
        <v/>
      </c>
      <c r="AG370" s="9"/>
    </row>
    <row r="371" spans="30:33" x14ac:dyDescent="0.25">
      <c r="AD371" s="9" t="str">
        <f t="shared" si="39"/>
        <v/>
      </c>
      <c r="AG371" s="9"/>
    </row>
    <row r="372" spans="30:33" x14ac:dyDescent="0.25">
      <c r="AD372" s="9" t="str">
        <f t="shared" si="39"/>
        <v/>
      </c>
      <c r="AG372" s="9"/>
    </row>
    <row r="373" spans="30:33" x14ac:dyDescent="0.25">
      <c r="AD373" s="9" t="str">
        <f t="shared" si="39"/>
        <v/>
      </c>
      <c r="AG373" s="9"/>
    </row>
    <row r="374" spans="30:33" x14ac:dyDescent="0.25">
      <c r="AD374" s="9" t="str">
        <f t="shared" si="39"/>
        <v/>
      </c>
      <c r="AG374" s="9"/>
    </row>
    <row r="375" spans="30:33" x14ac:dyDescent="0.25">
      <c r="AD375" s="9" t="str">
        <f t="shared" si="39"/>
        <v/>
      </c>
      <c r="AG375" s="9"/>
    </row>
    <row r="376" spans="30:33" x14ac:dyDescent="0.25">
      <c r="AD376" s="9" t="str">
        <f t="shared" si="39"/>
        <v/>
      </c>
      <c r="AG376" s="9"/>
    </row>
    <row r="377" spans="30:33" x14ac:dyDescent="0.25">
      <c r="AD377" s="9" t="str">
        <f t="shared" si="39"/>
        <v/>
      </c>
      <c r="AG377" s="9"/>
    </row>
    <row r="378" spans="30:33" x14ac:dyDescent="0.25">
      <c r="AD378" s="9" t="str">
        <f t="shared" si="39"/>
        <v/>
      </c>
      <c r="AG378" s="9"/>
    </row>
    <row r="379" spans="30:33" x14ac:dyDescent="0.25">
      <c r="AD379" s="9" t="str">
        <f t="shared" si="39"/>
        <v/>
      </c>
      <c r="AG379" s="9"/>
    </row>
    <row r="380" spans="30:33" x14ac:dyDescent="0.25">
      <c r="AD380" s="9" t="str">
        <f t="shared" si="39"/>
        <v/>
      </c>
      <c r="AG380" s="9"/>
    </row>
    <row r="381" spans="30:33" x14ac:dyDescent="0.25">
      <c r="AD381" s="9" t="str">
        <f t="shared" si="39"/>
        <v/>
      </c>
      <c r="AG381" s="9"/>
    </row>
    <row r="382" spans="30:33" x14ac:dyDescent="0.25">
      <c r="AD382" s="9" t="str">
        <f t="shared" si="39"/>
        <v/>
      </c>
      <c r="AG382" s="9"/>
    </row>
    <row r="383" spans="30:33" x14ac:dyDescent="0.25">
      <c r="AD383" s="9" t="str">
        <f t="shared" si="39"/>
        <v/>
      </c>
      <c r="AG383" s="9"/>
    </row>
    <row r="384" spans="30:33" x14ac:dyDescent="0.25">
      <c r="AD384" s="9" t="str">
        <f t="shared" si="39"/>
        <v/>
      </c>
      <c r="AG384" s="9"/>
    </row>
    <row r="385" spans="30:33" x14ac:dyDescent="0.25">
      <c r="AD385" s="9" t="str">
        <f t="shared" si="39"/>
        <v/>
      </c>
      <c r="AG385" s="9"/>
    </row>
    <row r="386" spans="30:33" x14ac:dyDescent="0.25">
      <c r="AD386" s="9" t="str">
        <f t="shared" ref="AD386:AD417" si="40">IF(AC386="","",C381)</f>
        <v/>
      </c>
      <c r="AG386" s="9"/>
    </row>
    <row r="387" spans="30:33" x14ac:dyDescent="0.25">
      <c r="AD387" s="9" t="str">
        <f t="shared" si="40"/>
        <v/>
      </c>
      <c r="AG387" s="9"/>
    </row>
    <row r="388" spans="30:33" x14ac:dyDescent="0.25">
      <c r="AD388" s="9" t="str">
        <f t="shared" si="40"/>
        <v/>
      </c>
      <c r="AG388" s="9"/>
    </row>
    <row r="389" spans="30:33" x14ac:dyDescent="0.25">
      <c r="AD389" s="9" t="str">
        <f t="shared" si="40"/>
        <v/>
      </c>
      <c r="AG389" s="9"/>
    </row>
    <row r="390" spans="30:33" x14ac:dyDescent="0.25">
      <c r="AD390" s="9" t="str">
        <f t="shared" si="40"/>
        <v/>
      </c>
      <c r="AG390" s="9"/>
    </row>
    <row r="391" spans="30:33" x14ac:dyDescent="0.25">
      <c r="AD391" s="9" t="str">
        <f t="shared" si="40"/>
        <v/>
      </c>
      <c r="AG391" s="9"/>
    </row>
    <row r="392" spans="30:33" x14ac:dyDescent="0.25">
      <c r="AD392" s="9" t="str">
        <f t="shared" si="40"/>
        <v/>
      </c>
      <c r="AG392" s="9"/>
    </row>
    <row r="393" spans="30:33" x14ac:dyDescent="0.25">
      <c r="AD393" s="9" t="str">
        <f t="shared" si="40"/>
        <v/>
      </c>
      <c r="AG393" s="9"/>
    </row>
    <row r="394" spans="30:33" x14ac:dyDescent="0.25">
      <c r="AD394" s="9" t="str">
        <f t="shared" si="40"/>
        <v/>
      </c>
      <c r="AG394" s="9"/>
    </row>
    <row r="395" spans="30:33" x14ac:dyDescent="0.25">
      <c r="AD395" s="9" t="str">
        <f t="shared" si="40"/>
        <v/>
      </c>
      <c r="AG395" s="9"/>
    </row>
    <row r="396" spans="30:33" x14ac:dyDescent="0.25">
      <c r="AD396" s="9" t="str">
        <f t="shared" si="40"/>
        <v/>
      </c>
      <c r="AG396" s="9"/>
    </row>
    <row r="397" spans="30:33" x14ac:dyDescent="0.25">
      <c r="AD397" s="9" t="str">
        <f t="shared" si="40"/>
        <v/>
      </c>
      <c r="AG397" s="9"/>
    </row>
    <row r="398" spans="30:33" x14ac:dyDescent="0.25">
      <c r="AD398" s="9" t="str">
        <f t="shared" si="40"/>
        <v/>
      </c>
      <c r="AG398" s="9"/>
    </row>
    <row r="399" spans="30:33" x14ac:dyDescent="0.25">
      <c r="AD399" s="9" t="str">
        <f t="shared" si="40"/>
        <v/>
      </c>
      <c r="AG399" s="9"/>
    </row>
    <row r="400" spans="30:33" x14ac:dyDescent="0.25">
      <c r="AD400" s="9" t="str">
        <f t="shared" si="40"/>
        <v/>
      </c>
      <c r="AG400" s="9"/>
    </row>
    <row r="401" spans="30:33" x14ac:dyDescent="0.25">
      <c r="AD401" s="9" t="str">
        <f t="shared" si="40"/>
        <v/>
      </c>
      <c r="AG401" s="9"/>
    </row>
    <row r="402" spans="30:33" x14ac:dyDescent="0.25">
      <c r="AD402" s="9" t="str">
        <f t="shared" si="40"/>
        <v/>
      </c>
      <c r="AG402" s="9"/>
    </row>
    <row r="403" spans="30:33" x14ac:dyDescent="0.25">
      <c r="AD403" s="9" t="str">
        <f t="shared" si="40"/>
        <v/>
      </c>
      <c r="AG403" s="9"/>
    </row>
    <row r="404" spans="30:33" x14ac:dyDescent="0.25">
      <c r="AD404" s="9" t="str">
        <f t="shared" si="40"/>
        <v/>
      </c>
      <c r="AG404" s="9"/>
    </row>
    <row r="405" spans="30:33" x14ac:dyDescent="0.25">
      <c r="AD405" s="9" t="str">
        <f t="shared" si="40"/>
        <v/>
      </c>
      <c r="AG405" s="9"/>
    </row>
    <row r="406" spans="30:33" x14ac:dyDescent="0.25">
      <c r="AD406" s="9" t="str">
        <f t="shared" si="40"/>
        <v/>
      </c>
      <c r="AG406" s="9"/>
    </row>
    <row r="407" spans="30:33" x14ac:dyDescent="0.25">
      <c r="AD407" s="9" t="str">
        <f t="shared" si="40"/>
        <v/>
      </c>
      <c r="AG407" s="9"/>
    </row>
    <row r="408" spans="30:33" x14ac:dyDescent="0.25">
      <c r="AD408" s="9" t="str">
        <f t="shared" si="40"/>
        <v/>
      </c>
      <c r="AG408" s="9"/>
    </row>
    <row r="409" spans="30:33" x14ac:dyDescent="0.25">
      <c r="AD409" s="9" t="str">
        <f t="shared" si="40"/>
        <v/>
      </c>
      <c r="AG409" s="9"/>
    </row>
    <row r="410" spans="30:33" x14ac:dyDescent="0.25">
      <c r="AD410" s="9" t="str">
        <f t="shared" si="40"/>
        <v/>
      </c>
      <c r="AG410" s="9"/>
    </row>
    <row r="411" spans="30:33" x14ac:dyDescent="0.25">
      <c r="AD411" s="9" t="str">
        <f t="shared" si="40"/>
        <v/>
      </c>
      <c r="AG411" s="9"/>
    </row>
    <row r="412" spans="30:33" x14ac:dyDescent="0.25">
      <c r="AD412" s="9" t="str">
        <f t="shared" si="40"/>
        <v/>
      </c>
      <c r="AG412" s="9"/>
    </row>
    <row r="413" spans="30:33" x14ac:dyDescent="0.25">
      <c r="AD413" s="9" t="str">
        <f t="shared" si="40"/>
        <v/>
      </c>
      <c r="AG413" s="9"/>
    </row>
    <row r="414" spans="30:33" x14ac:dyDescent="0.25">
      <c r="AD414" s="9" t="str">
        <f t="shared" si="40"/>
        <v/>
      </c>
      <c r="AG414" s="9"/>
    </row>
    <row r="415" spans="30:33" x14ac:dyDescent="0.25">
      <c r="AD415" s="9" t="str">
        <f t="shared" si="40"/>
        <v/>
      </c>
      <c r="AG415" s="9"/>
    </row>
    <row r="416" spans="30:33" x14ac:dyDescent="0.25">
      <c r="AD416" s="9" t="str">
        <f t="shared" si="40"/>
        <v/>
      </c>
      <c r="AG416" s="9"/>
    </row>
    <row r="417" spans="30:33" x14ac:dyDescent="0.25">
      <c r="AD417" s="9" t="str">
        <f t="shared" si="40"/>
        <v/>
      </c>
      <c r="AG417" s="9"/>
    </row>
    <row r="418" spans="30:33" x14ac:dyDescent="0.25">
      <c r="AD418" s="9" t="str">
        <f>IF(AC418="","",C413)</f>
        <v/>
      </c>
      <c r="AG418" s="9"/>
    </row>
    <row r="419" spans="30:33" x14ac:dyDescent="0.25">
      <c r="AD419" s="9" t="str">
        <f>IF(AC419="","",C414)</f>
        <v/>
      </c>
      <c r="AG419" s="9"/>
    </row>
    <row r="420" spans="30:33" x14ac:dyDescent="0.25">
      <c r="AD420" s="9" t="str">
        <f>IF(AC420="","",C415)</f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41">IF(AF428="","",AF428*AC$25*AD428)</f>
        <v/>
      </c>
    </row>
    <row r="429" spans="30:33" x14ac:dyDescent="0.25">
      <c r="AG429" s="9" t="str">
        <f t="shared" si="41"/>
        <v/>
      </c>
    </row>
    <row r="430" spans="30:33" x14ac:dyDescent="0.25">
      <c r="AG430" s="9" t="str">
        <f t="shared" si="41"/>
        <v/>
      </c>
    </row>
    <row r="431" spans="30:33" x14ac:dyDescent="0.25">
      <c r="AG431" s="9" t="str">
        <f t="shared" si="41"/>
        <v/>
      </c>
    </row>
    <row r="432" spans="30:33" x14ac:dyDescent="0.25">
      <c r="AG432" s="9" t="str">
        <f t="shared" si="41"/>
        <v/>
      </c>
    </row>
    <row r="433" spans="33:33" x14ac:dyDescent="0.25">
      <c r="AG433" s="9" t="str">
        <f t="shared" si="41"/>
        <v/>
      </c>
    </row>
    <row r="434" spans="33:33" x14ac:dyDescent="0.25">
      <c r="AG434" s="9" t="str">
        <f t="shared" si="41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protectedRanges>
    <protectedRange password="C474" sqref="D19" name="Intervalo1_1"/>
  </protectedRanges>
  <mergeCells count="8">
    <mergeCell ref="AB21:AG23"/>
    <mergeCell ref="A22:B22"/>
    <mergeCell ref="A1:F1"/>
    <mergeCell ref="A2:F2"/>
    <mergeCell ref="A3:F3"/>
    <mergeCell ref="A14:F14"/>
    <mergeCell ref="A20:F20"/>
    <mergeCell ref="E21:E22"/>
  </mergeCells>
  <conditionalFormatting sqref="A23:G349">
    <cfRule type="notContainsBlanks" dxfId="34" priority="3" stopIfTrue="1">
      <formula>LEN(TRIM(A23))&gt;0</formula>
    </cfRule>
  </conditionalFormatting>
  <conditionalFormatting sqref="A24:G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33" priority="2">
      <formula>LEN(TRIM(A24))&gt;0</formula>
    </cfRule>
  </conditionalFormatting>
  <conditionalFormatting sqref="E19">
    <cfRule type="expression" dxfId="32" priority="1">
      <formula>$J$21=FALSE</formula>
    </cfRule>
  </conditionalFormatting>
  <dataValidations count="2">
    <dataValidation type="whole" operator="lessThanOrEqual" allowBlank="1" showInputMessage="1" showErrorMessage="1" sqref="B17" xr:uid="{52DE8A32-7B87-40B0-8A31-76CC10BE88A6}">
      <formula1>36</formula1>
    </dataValidation>
    <dataValidation type="custom" allowBlank="1" showInputMessage="1" showErrorMessage="1" sqref="B15" xr:uid="{BB8D9F38-CDDC-4E56-A2D7-83A6316C1CFA}">
      <formula1>IF(J4=1,B15&lt;=21000,IF(J4&gt;1,B15&lt;=5000))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Drop Down 1">
              <controlPr locked="0" defaultSize="0" autoLine="0" autoPict="0">
                <anchor moveWithCells="1">
                  <from>
                    <xdr:col>1</xdr:col>
                    <xdr:colOff>238125</xdr:colOff>
                    <xdr:row>2</xdr:row>
                    <xdr:rowOff>314325</xdr:rowOff>
                  </from>
                  <to>
                    <xdr:col>5</xdr:col>
                    <xdr:colOff>1104900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Drop Down 2">
              <controlPr locked="0" defaultSize="0" autoLine="0" autoPict="0">
                <anchor moveWithCells="1">
                  <from>
                    <xdr:col>5</xdr:col>
                    <xdr:colOff>104775</xdr:colOff>
                    <xdr:row>14</xdr:row>
                    <xdr:rowOff>57150</xdr:rowOff>
                  </from>
                  <to>
                    <xdr:col>5</xdr:col>
                    <xdr:colOff>1076325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5" r:id="rId6" name="Drop Down 3">
              <controlPr locked="0" defaultSize="0" autoLine="0" autoPict="0">
                <anchor moveWithCells="1">
                  <from>
                    <xdr:col>5</xdr:col>
                    <xdr:colOff>123825</xdr:colOff>
                    <xdr:row>15</xdr:row>
                    <xdr:rowOff>47625</xdr:rowOff>
                  </from>
                  <to>
                    <xdr:col>5</xdr:col>
                    <xdr:colOff>1104900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7" name="Check Box 4">
              <controlPr locked="0" defaultSize="0" autoFill="0" autoLine="0" autoPict="0">
                <anchor moveWithCells="1">
                  <from>
                    <xdr:col>4</xdr:col>
                    <xdr:colOff>219075</xdr:colOff>
                    <xdr:row>15</xdr:row>
                    <xdr:rowOff>228600</xdr:rowOff>
                  </from>
                  <to>
                    <xdr:col>4</xdr:col>
                    <xdr:colOff>1028700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8" name="Drop Down 5">
              <controlPr locked="0" defaultSize="0" autoLine="0" autoPict="0">
                <anchor moveWithCells="1">
                  <from>
                    <xdr:col>5</xdr:col>
                    <xdr:colOff>104775</xdr:colOff>
                    <xdr:row>16</xdr:row>
                    <xdr:rowOff>19050</xdr:rowOff>
                  </from>
                  <to>
                    <xdr:col>5</xdr:col>
                    <xdr:colOff>1085850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8" r:id="rId9" name="Check Box 6">
              <controlPr locked="0" defaultSize="0" autoFill="0" autoLine="0" autoPict="0">
                <anchor moveWithCells="1">
                  <from>
                    <xdr:col>4</xdr:col>
                    <xdr:colOff>200025</xdr:colOff>
                    <xdr:row>15</xdr:row>
                    <xdr:rowOff>38100</xdr:rowOff>
                  </from>
                  <to>
                    <xdr:col>4</xdr:col>
                    <xdr:colOff>1209675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9" r:id="rId10" name="Check Box 7">
              <controlPr locked="0" defaultSize="0" autoFill="0" autoLine="0" autoPict="0">
                <anchor moveWithCells="1">
                  <from>
                    <xdr:col>3</xdr:col>
                    <xdr:colOff>1276350</xdr:colOff>
                    <xdr:row>16</xdr:row>
                    <xdr:rowOff>38100</xdr:rowOff>
                  </from>
                  <to>
                    <xdr:col>4</xdr:col>
                    <xdr:colOff>1181100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B2A4-797B-4B01-A40F-170263684D0D}">
  <sheetPr codeName="Planilha2">
    <pageSetUpPr fitToPage="1"/>
  </sheetPr>
  <dimension ref="A1:AL437"/>
  <sheetViews>
    <sheetView showGridLines="0" zoomScaleNormal="100" workbookViewId="0">
      <selection activeCell="AP14" sqref="AP14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5" width="19.28515625" style="21" customWidth="1"/>
    <col min="6" max="6" width="19" style="21" customWidth="1"/>
    <col min="7" max="7" width="16.7109375" style="21" hidden="1" customWidth="1"/>
    <col min="8" max="9" width="9.1406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1.140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2.5703125" style="2" hidden="1" customWidth="1"/>
    <col min="31" max="31" width="13.42578125" style="2" hidden="1" customWidth="1"/>
    <col min="32" max="32" width="13.855468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6" width="9.140625" style="2" hidden="1" customWidth="1"/>
    <col min="37" max="37" width="18.28515625" style="2" hidden="1" customWidth="1"/>
    <col min="38" max="38" width="9.140625" style="2" hidden="1" customWidth="1"/>
    <col min="39" max="16384" width="9.140625" style="2"/>
  </cols>
  <sheetData>
    <row r="1" spans="1:36" ht="71.25" customHeight="1" x14ac:dyDescent="0.25">
      <c r="A1" s="227" t="s">
        <v>59</v>
      </c>
      <c r="B1" s="227"/>
      <c r="C1" s="227"/>
      <c r="D1" s="227"/>
      <c r="E1" s="227"/>
      <c r="F1" s="228"/>
      <c r="AA1" s="2">
        <v>2</v>
      </c>
      <c r="AB1" s="2">
        <v>2</v>
      </c>
    </row>
    <row r="2" spans="1:36" ht="37.5" customHeight="1" x14ac:dyDescent="0.25">
      <c r="A2" s="225" t="s">
        <v>57</v>
      </c>
      <c r="B2" s="225"/>
      <c r="C2" s="225"/>
      <c r="D2" s="225"/>
      <c r="E2" s="225"/>
      <c r="F2" s="226"/>
      <c r="H2" s="11"/>
    </row>
    <row r="3" spans="1:36" ht="27.75" customHeight="1" x14ac:dyDescent="0.25">
      <c r="A3" s="240" t="s">
        <v>7</v>
      </c>
      <c r="B3" s="240"/>
      <c r="C3" s="240"/>
      <c r="D3" s="240"/>
      <c r="E3" s="240"/>
      <c r="F3" s="241"/>
      <c r="AA3" s="2" t="s">
        <v>37</v>
      </c>
      <c r="AB3" s="2" t="s">
        <v>38</v>
      </c>
    </row>
    <row r="4" spans="1:36" ht="17.25" customHeight="1" x14ac:dyDescent="0.25">
      <c r="A4" s="54" t="s">
        <v>0</v>
      </c>
      <c r="B4" s="38"/>
      <c r="C4" s="55"/>
      <c r="D4" s="31"/>
      <c r="E4" s="54"/>
      <c r="F4" s="56"/>
      <c r="J4" s="2">
        <v>1</v>
      </c>
      <c r="K4" s="2">
        <v>1</v>
      </c>
      <c r="N4" s="78" t="s">
        <v>0</v>
      </c>
      <c r="O4" s="78" t="s">
        <v>1</v>
      </c>
      <c r="P4" s="78" t="s">
        <v>55</v>
      </c>
      <c r="Q4" s="78" t="s">
        <v>2</v>
      </c>
      <c r="R4" s="78" t="s">
        <v>3</v>
      </c>
      <c r="S4" s="78" t="s">
        <v>5</v>
      </c>
      <c r="T4" s="78" t="s">
        <v>9</v>
      </c>
      <c r="U4" s="78" t="s">
        <v>8</v>
      </c>
      <c r="V4" s="78" t="s">
        <v>25</v>
      </c>
      <c r="AA4" s="2" t="s">
        <v>41</v>
      </c>
      <c r="AB4" s="2" t="s">
        <v>41</v>
      </c>
    </row>
    <row r="5" spans="1:36" ht="17.25" hidden="1" customHeight="1" x14ac:dyDescent="0.25">
      <c r="A5" s="31"/>
      <c r="B5" s="38"/>
      <c r="C5" s="31"/>
      <c r="D5" s="31"/>
      <c r="E5" s="31"/>
      <c r="F5" s="57"/>
      <c r="G5" s="58"/>
      <c r="N5" s="79" t="s">
        <v>147</v>
      </c>
      <c r="O5" s="81">
        <v>2.06E-2</v>
      </c>
      <c r="P5" s="81">
        <v>1.6500000000000001E-2</v>
      </c>
      <c r="Q5" s="81">
        <f>P5</f>
        <v>1.6500000000000001E-2</v>
      </c>
      <c r="R5" s="81">
        <f>Q5</f>
        <v>1.6500000000000001E-2</v>
      </c>
      <c r="S5" s="79">
        <v>60</v>
      </c>
      <c r="T5" s="79">
        <v>3</v>
      </c>
      <c r="U5" s="85">
        <v>90000</v>
      </c>
      <c r="V5" s="79" t="s">
        <v>91</v>
      </c>
      <c r="AA5" s="2" t="s">
        <v>42</v>
      </c>
      <c r="AB5" s="2" t="s">
        <v>42</v>
      </c>
    </row>
    <row r="6" spans="1:36" ht="17.25" hidden="1" customHeight="1" x14ac:dyDescent="0.3">
      <c r="A6" s="31"/>
      <c r="B6" s="59"/>
      <c r="C6" s="60">
        <f>IF(AND(J4=1,K4=1),Q5,IF(AND(J4=1,K4=2),R5,IF(AND(J4=1,K4=3),P5,"-")))</f>
        <v>1.6500000000000001E-2</v>
      </c>
      <c r="D6" s="57"/>
      <c r="E6" s="57"/>
      <c r="F6" s="57"/>
      <c r="G6" s="58"/>
      <c r="N6" s="79" t="s">
        <v>117</v>
      </c>
      <c r="O6" s="81">
        <f>O5</f>
        <v>2.06E-2</v>
      </c>
      <c r="P6" s="81">
        <f t="shared" ref="P6:R6" si="0">P5</f>
        <v>1.6500000000000001E-2</v>
      </c>
      <c r="Q6" s="81">
        <f t="shared" si="0"/>
        <v>1.6500000000000001E-2</v>
      </c>
      <c r="R6" s="81">
        <f t="shared" si="0"/>
        <v>1.6500000000000001E-2</v>
      </c>
      <c r="S6" s="79">
        <v>60</v>
      </c>
      <c r="T6" s="79">
        <v>3</v>
      </c>
      <c r="U6" s="86">
        <v>14000</v>
      </c>
      <c r="V6" s="79" t="s">
        <v>92</v>
      </c>
    </row>
    <row r="7" spans="1:36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79" t="s">
        <v>118</v>
      </c>
      <c r="O7" s="81">
        <f t="shared" ref="O7:O9" si="1">O6</f>
        <v>2.06E-2</v>
      </c>
      <c r="P7" s="81">
        <f t="shared" ref="P7:P9" si="2">P6</f>
        <v>1.6500000000000001E-2</v>
      </c>
      <c r="Q7" s="81">
        <f t="shared" ref="Q7:Q9" si="3">Q6</f>
        <v>1.6500000000000001E-2</v>
      </c>
      <c r="R7" s="81">
        <f t="shared" ref="R7:R9" si="4">R6</f>
        <v>1.6500000000000001E-2</v>
      </c>
      <c r="S7" s="79">
        <v>60</v>
      </c>
      <c r="T7" s="79">
        <v>3</v>
      </c>
      <c r="U7" s="86">
        <v>150000</v>
      </c>
      <c r="V7" s="79"/>
    </row>
    <row r="8" spans="1:36" ht="17.25" hidden="1" customHeight="1" x14ac:dyDescent="0.3">
      <c r="A8" s="31"/>
      <c r="B8" s="61"/>
      <c r="C8" s="60" t="str">
        <f>IF(AND(J4=3,K4=1),Q7,IF(AND(J4=3,K4=2),R7,IF(AND(J4=3,K4=3),P7,"-")))</f>
        <v>-</v>
      </c>
      <c r="D8" s="57"/>
      <c r="E8" s="57"/>
      <c r="F8" s="57"/>
      <c r="G8" s="58"/>
      <c r="N8" s="79" t="s">
        <v>148</v>
      </c>
      <c r="O8" s="81">
        <f t="shared" si="1"/>
        <v>2.06E-2</v>
      </c>
      <c r="P8" s="81">
        <f t="shared" si="2"/>
        <v>1.6500000000000001E-2</v>
      </c>
      <c r="Q8" s="81">
        <f t="shared" si="3"/>
        <v>1.6500000000000001E-2</v>
      </c>
      <c r="R8" s="81">
        <f t="shared" si="4"/>
        <v>1.6500000000000001E-2</v>
      </c>
      <c r="S8" s="79">
        <v>60</v>
      </c>
      <c r="T8" s="79">
        <v>3</v>
      </c>
      <c r="U8" s="86">
        <v>40000</v>
      </c>
      <c r="V8" s="79"/>
    </row>
    <row r="9" spans="1:36" ht="17.25" hidden="1" customHeight="1" x14ac:dyDescent="0.3">
      <c r="A9" s="31"/>
      <c r="B9" s="61"/>
      <c r="C9" s="60" t="str">
        <f>IF(AND(J4=4,K4=1),Q8,IF(AND(J4=4,K4=2),R8,IF(AND(J4=4,K4=3),P8,"-")))</f>
        <v>-</v>
      </c>
      <c r="D9" s="57"/>
      <c r="E9" s="57"/>
      <c r="F9" s="57"/>
      <c r="G9" s="58"/>
      <c r="N9" s="79" t="s">
        <v>115</v>
      </c>
      <c r="O9" s="81">
        <f t="shared" si="1"/>
        <v>2.06E-2</v>
      </c>
      <c r="P9" s="81">
        <f t="shared" si="2"/>
        <v>1.6500000000000001E-2</v>
      </c>
      <c r="Q9" s="81">
        <f t="shared" si="3"/>
        <v>1.6500000000000001E-2</v>
      </c>
      <c r="R9" s="81">
        <f t="shared" si="4"/>
        <v>1.6500000000000001E-2</v>
      </c>
      <c r="S9" s="79">
        <v>60</v>
      </c>
      <c r="T9" s="79">
        <v>3</v>
      </c>
      <c r="U9" s="86">
        <v>200000</v>
      </c>
      <c r="V9" s="79"/>
    </row>
    <row r="10" spans="1:36" ht="17.25" hidden="1" customHeight="1" x14ac:dyDescent="0.3">
      <c r="A10" s="31"/>
      <c r="B10" s="61"/>
      <c r="C10" s="60" t="str">
        <f>IF(AND(J4=5,K4=1),Q9,IF(AND(J4=5,K4=2),R9,IF(AND(J4=5,K4=3),P9,"-")))</f>
        <v>-</v>
      </c>
      <c r="D10" s="57"/>
      <c r="E10" s="57"/>
      <c r="F10" s="57"/>
      <c r="G10" s="58"/>
      <c r="N10" s="80"/>
      <c r="O10" s="81">
        <v>1.83E-2</v>
      </c>
      <c r="P10" s="81">
        <v>1.46E-2</v>
      </c>
      <c r="Q10" s="81">
        <f t="shared" ref="Q10:R12" si="5">P10</f>
        <v>1.46E-2</v>
      </c>
      <c r="R10" s="81">
        <f t="shared" si="5"/>
        <v>1.46E-2</v>
      </c>
      <c r="S10" s="79">
        <v>60</v>
      </c>
      <c r="T10" s="79">
        <v>3</v>
      </c>
      <c r="U10" s="86">
        <v>0</v>
      </c>
      <c r="V10" s="79"/>
    </row>
    <row r="11" spans="1:36" ht="17.25" hidden="1" customHeight="1" x14ac:dyDescent="0.3">
      <c r="A11" s="31"/>
      <c r="B11" s="61"/>
      <c r="C11" s="62" t="str">
        <f>IF(AND(J4=6,K4=1),Q10,IF(AND(J4=6,K4=2),R10,IF(AND(J4=6,K4=3),P10,"-")))</f>
        <v>-</v>
      </c>
      <c r="D11" s="57"/>
      <c r="E11" s="57"/>
      <c r="F11" s="57"/>
      <c r="G11" s="58"/>
      <c r="N11" s="80"/>
      <c r="O11" s="81">
        <v>1.83E-2</v>
      </c>
      <c r="P11" s="81">
        <v>1.46E-2</v>
      </c>
      <c r="Q11" s="81">
        <f t="shared" si="5"/>
        <v>1.46E-2</v>
      </c>
      <c r="R11" s="81">
        <f t="shared" si="5"/>
        <v>1.46E-2</v>
      </c>
      <c r="S11" s="80">
        <v>60</v>
      </c>
      <c r="T11" s="80">
        <v>3</v>
      </c>
      <c r="U11" s="87">
        <v>0</v>
      </c>
      <c r="V11" s="79"/>
    </row>
    <row r="12" spans="1:36" ht="17.2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  <c r="O12" s="81">
        <v>1.83E-2</v>
      </c>
      <c r="P12" s="81">
        <v>1.46E-2</v>
      </c>
      <c r="Q12" s="81">
        <f t="shared" si="5"/>
        <v>1.46E-2</v>
      </c>
      <c r="R12" s="81">
        <f t="shared" si="5"/>
        <v>1.46E-2</v>
      </c>
      <c r="S12" s="2">
        <v>60</v>
      </c>
      <c r="T12" s="2">
        <v>3</v>
      </c>
      <c r="U12" s="23">
        <v>21000</v>
      </c>
    </row>
    <row r="13" spans="1:36" ht="17.25" hidden="1" customHeight="1" x14ac:dyDescent="0.3">
      <c r="A13" s="31"/>
      <c r="B13" s="61"/>
      <c r="C13" s="60" t="str">
        <f>IF(AND(J4=8,K4=1),Q12,IF(AND(J4=8,K4=2),R12,IF(AND(J4=8,K4=3),P12,"-")))</f>
        <v>-</v>
      </c>
      <c r="D13" s="57"/>
      <c r="E13" s="57"/>
      <c r="F13" s="57"/>
      <c r="G13" s="58"/>
    </row>
    <row r="14" spans="1:36" ht="28.5" customHeight="1" x14ac:dyDescent="0.35">
      <c r="A14" s="237" t="s">
        <v>17</v>
      </c>
      <c r="B14" s="238"/>
      <c r="C14" s="238"/>
      <c r="D14" s="238"/>
      <c r="E14" s="238"/>
      <c r="F14" s="239"/>
    </row>
    <row r="15" spans="1:36" ht="35.25" customHeight="1" x14ac:dyDescent="0.25">
      <c r="A15" s="34" t="s">
        <v>10</v>
      </c>
      <c r="B15" s="150">
        <v>44000</v>
      </c>
      <c r="C15" s="63" t="s">
        <v>49</v>
      </c>
      <c r="D15" s="152">
        <f>IF(J4=1,O5,IF(J4=2,O6,IF(J4=3,O7,IF(J4=4,O8,IF(J4=5,O9,IF(J4=6,O10,IF(J4=7,O11,IF(J4=8,O12))))))))</f>
        <v>2.06E-2</v>
      </c>
      <c r="E15" s="51"/>
      <c r="F15" s="176">
        <f>IF(B15&lt;=3000,50,IF(B15&lt;=21000,IF(B15*0.03&lt;=420,B15*0.03,420),IF(B15&lt;=100000,B15*0.02,2000+B15*0.005)))</f>
        <v>880</v>
      </c>
      <c r="H15"/>
      <c r="I15"/>
      <c r="J15" s="2">
        <v>4</v>
      </c>
      <c r="K15"/>
      <c r="L15" s="77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ht="35.25" customHeight="1" x14ac:dyDescent="0.25">
      <c r="A16" s="35" t="s">
        <v>6</v>
      </c>
      <c r="B16" s="133">
        <v>0</v>
      </c>
      <c r="C16" s="64" t="s">
        <v>52</v>
      </c>
      <c r="D16" s="152">
        <f>LARGE(C6:C13,1)</f>
        <v>1.6500000000000001E-2</v>
      </c>
      <c r="E16" s="51"/>
      <c r="F16" s="177">
        <f ca="1">AF24</f>
        <v>723.43333333333339</v>
      </c>
      <c r="H16"/>
      <c r="I16"/>
      <c r="J16" s="2">
        <v>2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7" ht="35.25" customHeight="1" x14ac:dyDescent="0.25">
      <c r="A17" s="35" t="s">
        <v>22</v>
      </c>
      <c r="B17" s="133">
        <v>36</v>
      </c>
      <c r="C17" s="34" t="s">
        <v>11</v>
      </c>
      <c r="D17" s="147">
        <f ca="1">TODAY()</f>
        <v>46240</v>
      </c>
      <c r="E17" s="120"/>
      <c r="F17" s="181">
        <f>IF(J21=TRUE,IF(K4=1,(B15*E19*0.001*B17),IF(K4=2,(F19*0.001*B17),IF(K4=3,0,""))),0)</f>
        <v>0</v>
      </c>
      <c r="H17"/>
      <c r="I17"/>
      <c r="J17" s="2" t="s">
        <v>41</v>
      </c>
      <c r="K17"/>
      <c r="L17" t="b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7" ht="23.25" customHeight="1" x14ac:dyDescent="0.25">
      <c r="A18" s="242" t="s">
        <v>65</v>
      </c>
      <c r="B18" s="246"/>
      <c r="C18" s="246"/>
      <c r="D18" s="243"/>
      <c r="E18" s="126"/>
      <c r="F18" s="126"/>
      <c r="H18"/>
      <c r="I18"/>
      <c r="J18" s="2" t="s">
        <v>42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7" ht="34.5" customHeight="1" x14ac:dyDescent="0.25">
      <c r="A19" s="34" t="s">
        <v>63</v>
      </c>
      <c r="B19" s="43">
        <f ca="1">IF(LARGE(F23:F241,1)*3&lt;2424,2424,LARGE(F23:F241,1)*3)</f>
        <v>5924.0366166666663</v>
      </c>
      <c r="C19" s="42" t="s">
        <v>64</v>
      </c>
      <c r="D19" s="43">
        <f>IF(J21=TRUE,(B15-F19)*1.5/0.7,B15*1.5/0.7)</f>
        <v>94285.71428571429</v>
      </c>
      <c r="E19" s="151">
        <v>0.8</v>
      </c>
      <c r="F19" s="165">
        <f>IF(J21=TRUE,IF(K4=1,(B15*E19),IF(K4=2,B15*E19,IF(K4=3,0,""))),0)</f>
        <v>0</v>
      </c>
      <c r="H19"/>
      <c r="I19"/>
      <c r="J19" t="s">
        <v>68</v>
      </c>
      <c r="K19"/>
      <c r="L19" s="2" t="b">
        <v>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5"/>
    </row>
    <row r="20" spans="1:37" s="25" customFormat="1" ht="23.25" x14ac:dyDescent="0.25">
      <c r="A20" s="229" t="s">
        <v>31</v>
      </c>
      <c r="B20" s="230"/>
      <c r="C20" s="230"/>
      <c r="D20" s="230"/>
      <c r="E20" s="230"/>
      <c r="F20" s="231"/>
      <c r="G20" s="21"/>
      <c r="J20" s="25" t="s">
        <v>42</v>
      </c>
      <c r="AK20" s="26"/>
    </row>
    <row r="21" spans="1:37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56</v>
      </c>
      <c r="J21" s="2" t="b">
        <v>0</v>
      </c>
      <c r="AB21" s="232" t="s">
        <v>45</v>
      </c>
      <c r="AC21" s="232"/>
      <c r="AD21" s="232"/>
      <c r="AE21" s="232"/>
      <c r="AF21" s="232"/>
      <c r="AG21" s="232"/>
    </row>
    <row r="22" spans="1:37" ht="18.75" x14ac:dyDescent="0.25">
      <c r="A22" s="235" t="s">
        <v>60</v>
      </c>
      <c r="B22" s="236"/>
      <c r="C22" s="169">
        <f ca="1">SUM(C23:C242)</f>
        <v>14180.621583333343</v>
      </c>
      <c r="D22" s="169">
        <f ca="1">SUM(D23:D242)</f>
        <v>45068.955555555563</v>
      </c>
      <c r="E22" s="234"/>
      <c r="F22" s="169">
        <f ca="1">SUM(F23:F242)</f>
        <v>59249.560638888906</v>
      </c>
      <c r="AB22" s="232"/>
      <c r="AC22" s="232"/>
      <c r="AD22" s="232"/>
      <c r="AE22" s="232"/>
      <c r="AF22" s="232"/>
      <c r="AG22" s="232"/>
    </row>
    <row r="23" spans="1:37" x14ac:dyDescent="0.25">
      <c r="A23" s="68">
        <v>0</v>
      </c>
      <c r="B23" s="68"/>
      <c r="C23" s="161">
        <f>D16</f>
        <v>1.6500000000000001E-2</v>
      </c>
      <c r="D23" s="156"/>
      <c r="E23" s="162">
        <f ca="1">IF(AND(AA1=1,AB1=1,J16=1),B15,IF(AND(AA1=1,AB1=1,J16=2),B15+F17,IF(AND(AA1=1,AB1=2,J16=1),B15+F16,IF(AND(AA1=1,AB1=2,J16=3),B15+F16,IF(AND(AA1=2,AB1=1,J16=1),B15+F15,IF(AND(AA1=2,AB1=1,J16=2),B15+F15+F17,IF(AND(AA1=2,AB1=2,J16=2),B15+F17+F16+F15,IF(AND(AA1=2,AB1=2,J16=3),B15+F15+F16,IF(AND(AA1=2,AB1=2,J16=1),B15+F15+F16,IF(AND(AA1=1,AB1=2,J16=2),B15+F16+F17, IF(AND(AA1=1,AB1=1,J16=3),B15)))))))))))</f>
        <v>45603.433333333334</v>
      </c>
      <c r="F23" s="163"/>
      <c r="G23" s="67"/>
      <c r="AB23" s="232"/>
      <c r="AC23" s="232"/>
      <c r="AD23" s="232"/>
      <c r="AE23" s="232"/>
      <c r="AF23" s="232"/>
      <c r="AG23" s="232"/>
    </row>
    <row r="24" spans="1:37" x14ac:dyDescent="0.25">
      <c r="A24" s="68">
        <f t="shared" ref="A24:A86" si="6">IF(A23&lt;B$17,A23+1,"")</f>
        <v>1</v>
      </c>
      <c r="B24" s="68" t="str">
        <f t="shared" ref="B24:B86" si="7">IF(A24="","",IF(A24&lt;=B$16,"carência","amortização"))</f>
        <v>amortização</v>
      </c>
      <c r="C24" s="156">
        <f ca="1">IF(B24="","",E23*$C$23)</f>
        <v>752.45665000000008</v>
      </c>
      <c r="D24" s="156">
        <f t="shared" ref="D24:D35" ca="1" si="8">IF(C24="","",IF(A24&lt;=B$16,0,B$15/(B$17-B$16)))</f>
        <v>1222.2222222222222</v>
      </c>
      <c r="E24" s="162">
        <f t="shared" ref="E24:E86" ca="1" si="9">IF(F24="","",E23-D24)</f>
        <v>44381.211111111115</v>
      </c>
      <c r="F24" s="156">
        <f t="shared" ref="F24:F86" ca="1" si="10">IF(D24="","",D24+C24)</f>
        <v>1974.6788722222223</v>
      </c>
      <c r="G24" s="67"/>
      <c r="AB24" s="2" t="s">
        <v>38</v>
      </c>
      <c r="AC24" s="6">
        <v>3.8E-3</v>
      </c>
      <c r="AE24" s="13">
        <f>AC27*AC24</f>
        <v>167.2</v>
      </c>
      <c r="AF24" s="13">
        <f ca="1">IF(L19=FALSE,0,IF(AND(AH25=TRUE,B15&lt;=30000),AE24+AE26,AE24+AE25))</f>
        <v>723.43333333333339</v>
      </c>
    </row>
    <row r="25" spans="1:37" x14ac:dyDescent="0.25">
      <c r="A25" s="68">
        <f t="shared" si="6"/>
        <v>2</v>
      </c>
      <c r="B25" s="68" t="str">
        <f t="shared" si="7"/>
        <v>amortização</v>
      </c>
      <c r="C25" s="156">
        <f ca="1">IF(B25="","",E24*$C$23)</f>
        <v>732.28998333333345</v>
      </c>
      <c r="D25" s="156">
        <f t="shared" ca="1" si="8"/>
        <v>1222.2222222222222</v>
      </c>
      <c r="E25" s="162">
        <f t="shared" ca="1" si="9"/>
        <v>43158.988888888896</v>
      </c>
      <c r="F25" s="156">
        <f t="shared" ca="1" si="10"/>
        <v>1954.5122055555557</v>
      </c>
      <c r="G25" s="67"/>
      <c r="AA25" s="3"/>
      <c r="AB25" s="2" t="s">
        <v>46</v>
      </c>
      <c r="AC25" s="6">
        <v>4.1E-5</v>
      </c>
      <c r="AE25" s="5">
        <f ca="1">SUM(AG30:AG83)</f>
        <v>556.23333333333335</v>
      </c>
      <c r="AG25" s="13"/>
      <c r="AH25" s="14" t="b">
        <v>1</v>
      </c>
    </row>
    <row r="26" spans="1:37" x14ac:dyDescent="0.25">
      <c r="A26" s="68">
        <f t="shared" si="6"/>
        <v>3</v>
      </c>
      <c r="B26" s="68" t="str">
        <f t="shared" si="7"/>
        <v>amortização</v>
      </c>
      <c r="C26" s="156">
        <f t="shared" ref="C26:C86" ca="1" si="11">IF(B26="","",E25*$C$23)</f>
        <v>712.12331666666682</v>
      </c>
      <c r="D26" s="156">
        <f t="shared" ca="1" si="8"/>
        <v>1222.2222222222222</v>
      </c>
      <c r="E26" s="162">
        <f t="shared" ca="1" si="9"/>
        <v>41936.766666666677</v>
      </c>
      <c r="F26" s="156">
        <f t="shared" ca="1" si="10"/>
        <v>1934.345538888889</v>
      </c>
      <c r="G26" s="67"/>
      <c r="AB26" s="2" t="s">
        <v>51</v>
      </c>
      <c r="AC26" s="24">
        <f>0.00137/100</f>
        <v>1.3699999999999999E-5</v>
      </c>
      <c r="AE26" s="5">
        <f ca="1">SUM(AH30:AH308)</f>
        <v>185.8633333333334</v>
      </c>
    </row>
    <row r="27" spans="1:37" x14ac:dyDescent="0.25">
      <c r="A27" s="68">
        <f t="shared" si="6"/>
        <v>4</v>
      </c>
      <c r="B27" s="68" t="str">
        <f t="shared" si="7"/>
        <v>amortização</v>
      </c>
      <c r="C27" s="156">
        <f t="shared" ca="1" si="11"/>
        <v>691.9566500000002</v>
      </c>
      <c r="D27" s="156">
        <f t="shared" ca="1" si="8"/>
        <v>1222.2222222222222</v>
      </c>
      <c r="E27" s="162">
        <f t="shared" ca="1" si="9"/>
        <v>40714.544444444458</v>
      </c>
      <c r="F27" s="156">
        <f t="shared" ca="1" si="10"/>
        <v>1914.1788722222223</v>
      </c>
      <c r="G27" s="67"/>
      <c r="AB27" s="2" t="s">
        <v>16</v>
      </c>
      <c r="AC27" s="5">
        <f>B15</f>
        <v>44000</v>
      </c>
      <c r="AG27" s="5"/>
    </row>
    <row r="28" spans="1:37" x14ac:dyDescent="0.25">
      <c r="A28" s="68">
        <f t="shared" si="6"/>
        <v>5</v>
      </c>
      <c r="B28" s="68" t="str">
        <f t="shared" si="7"/>
        <v>amortização</v>
      </c>
      <c r="C28" s="156">
        <f t="shared" ca="1" si="11"/>
        <v>671.78998333333357</v>
      </c>
      <c r="D28" s="156">
        <f t="shared" ca="1" si="8"/>
        <v>1222.2222222222222</v>
      </c>
      <c r="E28" s="162">
        <f t="shared" ca="1" si="9"/>
        <v>39492.322222222239</v>
      </c>
      <c r="F28" s="156">
        <f t="shared" ca="1" si="10"/>
        <v>1894.0122055555557</v>
      </c>
      <c r="G28" s="67"/>
      <c r="AG28" s="2" t="s">
        <v>53</v>
      </c>
      <c r="AH28" s="2" t="s">
        <v>54</v>
      </c>
    </row>
    <row r="29" spans="1:37" x14ac:dyDescent="0.25">
      <c r="A29" s="68">
        <f t="shared" si="6"/>
        <v>6</v>
      </c>
      <c r="B29" s="68" t="str">
        <f t="shared" si="7"/>
        <v>amortização</v>
      </c>
      <c r="C29" s="156">
        <f t="shared" ca="1" si="11"/>
        <v>651.62331666666694</v>
      </c>
      <c r="D29" s="156">
        <f t="shared" ca="1" si="8"/>
        <v>1222.2222222222222</v>
      </c>
      <c r="E29" s="162">
        <f t="shared" ca="1" si="9"/>
        <v>38270.10000000002</v>
      </c>
      <c r="F29" s="156">
        <f t="shared" ca="1" si="10"/>
        <v>1873.8455388888892</v>
      </c>
      <c r="G29" s="67"/>
      <c r="AA29" s="2">
        <v>0</v>
      </c>
      <c r="AB29" s="8">
        <f ca="1">D17</f>
        <v>46240</v>
      </c>
      <c r="AC29" s="9">
        <f ca="1">IF(AB29="","",AC27)</f>
        <v>44000</v>
      </c>
      <c r="AD29" s="9">
        <f>IF(AA29="","",IF(AA29&lt;=B$16,0,B$15/(B$17-B$16)))</f>
        <v>0</v>
      </c>
    </row>
    <row r="30" spans="1:37" x14ac:dyDescent="0.25">
      <c r="A30" s="68">
        <f t="shared" si="6"/>
        <v>7</v>
      </c>
      <c r="B30" s="68" t="str">
        <f t="shared" si="7"/>
        <v>amortização</v>
      </c>
      <c r="C30" s="156">
        <f t="shared" ca="1" si="11"/>
        <v>631.45665000000042</v>
      </c>
      <c r="D30" s="156">
        <f t="shared" ca="1" si="8"/>
        <v>1222.2222222222222</v>
      </c>
      <c r="E30" s="162">
        <f t="shared" ca="1" si="9"/>
        <v>37047.877777777801</v>
      </c>
      <c r="F30" s="156">
        <f t="shared" ca="1" si="10"/>
        <v>1853.6788722222227</v>
      </c>
      <c r="G30" s="67"/>
      <c r="AA30" s="2">
        <f>IF(AA29&lt;B$17,AA29+1,"")</f>
        <v>1</v>
      </c>
      <c r="AB30" s="8">
        <f ca="1">IF(AA30="","",AB29+30)</f>
        <v>46270</v>
      </c>
      <c r="AC30" s="9">
        <f ca="1">IF(AB30="","",IF(AA30&lt;=B$16,AC29,AC29-AD30))</f>
        <v>42777.777777777781</v>
      </c>
      <c r="AD30" s="9">
        <f t="shared" ref="AD30:AD93" si="12">IF(AA30="","",IF(AA30&lt;=B$16,0,B$15/(B$17-B$16)))</f>
        <v>1222.2222222222222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1.5033333333333332</v>
      </c>
      <c r="AH30" s="9">
        <f ca="1">IF(AF30="","",IF(AF30&lt;365,AF30*AC$26*AD30,365*AD30*AC$26))</f>
        <v>0.5023333333333333</v>
      </c>
    </row>
    <row r="31" spans="1:37" x14ac:dyDescent="0.25">
      <c r="A31" s="68">
        <f t="shared" si="6"/>
        <v>8</v>
      </c>
      <c r="B31" s="68" t="str">
        <f t="shared" si="7"/>
        <v>amortização</v>
      </c>
      <c r="C31" s="156">
        <f t="shared" ca="1" si="11"/>
        <v>611.28998333333379</v>
      </c>
      <c r="D31" s="156">
        <f t="shared" ca="1" si="8"/>
        <v>1222.2222222222222</v>
      </c>
      <c r="E31" s="162">
        <f t="shared" ca="1" si="9"/>
        <v>35825.655555555582</v>
      </c>
      <c r="F31" s="156">
        <f t="shared" ca="1" si="10"/>
        <v>1833.512205555556</v>
      </c>
      <c r="G31" s="67"/>
      <c r="AA31" s="2">
        <f t="shared" ref="AA31:AA94" si="13">IF(AA30&lt;B$17,AA30+1,"")</f>
        <v>2</v>
      </c>
      <c r="AB31" s="8">
        <f t="shared" ref="AB31:AB77" ca="1" si="14">IF(AA31="","",AB30+30)</f>
        <v>46300</v>
      </c>
      <c r="AC31" s="9">
        <f t="shared" ref="AC31:AC94" ca="1" si="15">IF(AB31="","",IF(AA31&lt;=B$16,AC30,AC30-AD31))</f>
        <v>41555.555555555562</v>
      </c>
      <c r="AD31" s="9">
        <f t="shared" si="12"/>
        <v>1222.2222222222222</v>
      </c>
      <c r="AE31" s="2">
        <f t="shared" ref="AE31:AE77" ca="1" si="16">IF(AD31="","",AB31-AB30)</f>
        <v>30</v>
      </c>
      <c r="AF31" s="2">
        <f t="shared" ref="AF31:AF94" ca="1" si="17">IF(AE31="","",AB31-AB$29)</f>
        <v>60</v>
      </c>
      <c r="AG31" s="9">
        <f t="shared" ref="AG31:AG94" ca="1" si="18">IF(AF31="","",IF(AF31&lt;365,AF31*AC$25*AD31,365*AD31*AC$25))</f>
        <v>3.0066666666666664</v>
      </c>
      <c r="AH31" s="9">
        <f t="shared" ref="AH31:AH94" ca="1" si="19">IF(AF31="","",IF(AF31&lt;365,AF31*AC$26*AD31,365*AD31*AC$26))</f>
        <v>1.0046666666666666</v>
      </c>
    </row>
    <row r="32" spans="1:37" x14ac:dyDescent="0.25">
      <c r="A32" s="68">
        <f t="shared" si="6"/>
        <v>9</v>
      </c>
      <c r="B32" s="68" t="str">
        <f t="shared" si="7"/>
        <v>amortização</v>
      </c>
      <c r="C32" s="156">
        <f t="shared" ca="1" si="11"/>
        <v>591.12331666666717</v>
      </c>
      <c r="D32" s="156">
        <f t="shared" ca="1" si="8"/>
        <v>1222.2222222222222</v>
      </c>
      <c r="E32" s="162">
        <f t="shared" ca="1" si="9"/>
        <v>34603.433333333363</v>
      </c>
      <c r="F32" s="156">
        <f t="shared" ca="1" si="10"/>
        <v>1813.3455388888892</v>
      </c>
      <c r="G32" s="67"/>
      <c r="AA32" s="2">
        <f t="shared" si="13"/>
        <v>3</v>
      </c>
      <c r="AB32" s="8">
        <f t="shared" ca="1" si="14"/>
        <v>46330</v>
      </c>
      <c r="AC32" s="9">
        <f t="shared" ca="1" si="15"/>
        <v>40333.333333333343</v>
      </c>
      <c r="AD32" s="9">
        <f t="shared" si="12"/>
        <v>1222.2222222222222</v>
      </c>
      <c r="AE32" s="2">
        <f t="shared" ca="1" si="16"/>
        <v>30</v>
      </c>
      <c r="AF32" s="2">
        <f t="shared" ca="1" si="17"/>
        <v>90</v>
      </c>
      <c r="AG32" s="9">
        <f t="shared" ca="1" si="18"/>
        <v>4.51</v>
      </c>
      <c r="AH32" s="9">
        <f t="shared" ca="1" si="19"/>
        <v>1.5069999999999999</v>
      </c>
    </row>
    <row r="33" spans="1:34" x14ac:dyDescent="0.25">
      <c r="A33" s="68">
        <f t="shared" si="6"/>
        <v>10</v>
      </c>
      <c r="B33" s="68" t="str">
        <f t="shared" si="7"/>
        <v>amortização</v>
      </c>
      <c r="C33" s="156">
        <f t="shared" ca="1" si="11"/>
        <v>570.95665000000054</v>
      </c>
      <c r="D33" s="156">
        <f t="shared" ca="1" si="8"/>
        <v>1222.2222222222222</v>
      </c>
      <c r="E33" s="162">
        <f t="shared" ca="1" si="9"/>
        <v>33381.211111111144</v>
      </c>
      <c r="F33" s="156">
        <f t="shared" ca="1" si="10"/>
        <v>1793.1788722222227</v>
      </c>
      <c r="G33" s="67"/>
      <c r="AA33" s="2">
        <f t="shared" si="13"/>
        <v>4</v>
      </c>
      <c r="AB33" s="8">
        <f t="shared" ca="1" si="14"/>
        <v>46360</v>
      </c>
      <c r="AC33" s="9">
        <f t="shared" ca="1" si="15"/>
        <v>39111.111111111124</v>
      </c>
      <c r="AD33" s="9">
        <f t="shared" si="12"/>
        <v>1222.2222222222222</v>
      </c>
      <c r="AE33" s="2">
        <f t="shared" ca="1" si="16"/>
        <v>30</v>
      </c>
      <c r="AF33" s="2">
        <f t="shared" ca="1" si="17"/>
        <v>120</v>
      </c>
      <c r="AG33" s="9">
        <f t="shared" ca="1" si="18"/>
        <v>6.0133333333333328</v>
      </c>
      <c r="AH33" s="9">
        <f t="shared" ca="1" si="19"/>
        <v>2.0093333333333332</v>
      </c>
    </row>
    <row r="34" spans="1:34" x14ac:dyDescent="0.25">
      <c r="A34" s="68">
        <f t="shared" si="6"/>
        <v>11</v>
      </c>
      <c r="B34" s="68" t="str">
        <f t="shared" si="7"/>
        <v>amortização</v>
      </c>
      <c r="C34" s="156">
        <f t="shared" ca="1" si="11"/>
        <v>550.78998333333391</v>
      </c>
      <c r="D34" s="156">
        <f t="shared" ca="1" si="8"/>
        <v>1222.2222222222222</v>
      </c>
      <c r="E34" s="162">
        <f t="shared" ca="1" si="9"/>
        <v>32158.988888888922</v>
      </c>
      <c r="F34" s="156">
        <f t="shared" ca="1" si="10"/>
        <v>1773.0122055555562</v>
      </c>
      <c r="G34" s="67"/>
      <c r="AA34" s="2">
        <f t="shared" si="13"/>
        <v>5</v>
      </c>
      <c r="AB34" s="8">
        <f t="shared" ca="1" si="14"/>
        <v>46390</v>
      </c>
      <c r="AC34" s="9">
        <f t="shared" ca="1" si="15"/>
        <v>37888.888888888905</v>
      </c>
      <c r="AD34" s="9">
        <f t="shared" si="12"/>
        <v>1222.2222222222222</v>
      </c>
      <c r="AE34" s="2">
        <f t="shared" ca="1" si="16"/>
        <v>30</v>
      </c>
      <c r="AF34" s="2">
        <f t="shared" ca="1" si="17"/>
        <v>150</v>
      </c>
      <c r="AG34" s="9">
        <f t="shared" ca="1" si="18"/>
        <v>7.5166666666666666</v>
      </c>
      <c r="AH34" s="9">
        <f t="shared" ca="1" si="19"/>
        <v>2.5116666666666667</v>
      </c>
    </row>
    <row r="35" spans="1:34" x14ac:dyDescent="0.25">
      <c r="A35" s="68">
        <f t="shared" si="6"/>
        <v>12</v>
      </c>
      <c r="B35" s="68" t="str">
        <f t="shared" si="7"/>
        <v>amortização</v>
      </c>
      <c r="C35" s="156">
        <f t="shared" ca="1" si="11"/>
        <v>530.62331666666728</v>
      </c>
      <c r="D35" s="156">
        <f t="shared" ca="1" si="8"/>
        <v>1222.2222222222222</v>
      </c>
      <c r="E35" s="162">
        <f t="shared" ca="1" si="9"/>
        <v>30936.766666666699</v>
      </c>
      <c r="F35" s="156">
        <f t="shared" ca="1" si="10"/>
        <v>1752.8455388888895</v>
      </c>
      <c r="G35" s="67"/>
      <c r="AA35" s="2">
        <f t="shared" si="13"/>
        <v>6</v>
      </c>
      <c r="AB35" s="8">
        <f t="shared" ca="1" si="14"/>
        <v>46420</v>
      </c>
      <c r="AC35" s="9">
        <f t="shared" ca="1" si="15"/>
        <v>36666.666666666686</v>
      </c>
      <c r="AD35" s="9">
        <f t="shared" si="12"/>
        <v>1222.2222222222222</v>
      </c>
      <c r="AE35" s="2">
        <f t="shared" ca="1" si="16"/>
        <v>30</v>
      </c>
      <c r="AF35" s="2">
        <f t="shared" ca="1" si="17"/>
        <v>180</v>
      </c>
      <c r="AG35" s="9">
        <f t="shared" ca="1" si="18"/>
        <v>9.02</v>
      </c>
      <c r="AH35" s="9">
        <f t="shared" ca="1" si="19"/>
        <v>3.0139999999999998</v>
      </c>
    </row>
    <row r="36" spans="1:34" x14ac:dyDescent="0.25">
      <c r="A36" s="68">
        <f t="shared" si="6"/>
        <v>13</v>
      </c>
      <c r="B36" s="68" t="str">
        <f t="shared" si="7"/>
        <v>amortização</v>
      </c>
      <c r="C36" s="156">
        <f t="shared" ca="1" si="11"/>
        <v>510.45665000000054</v>
      </c>
      <c r="D36" s="156">
        <f t="shared" ref="D36:D86" ca="1" si="20">IF(C36="","",IF(A36&lt;=B$16,0,E$23/(B$17-B$16)))</f>
        <v>1266.7620370370371</v>
      </c>
      <c r="E36" s="162">
        <f t="shared" ca="1" si="9"/>
        <v>29670.00462962966</v>
      </c>
      <c r="F36" s="156">
        <f t="shared" ca="1" si="10"/>
        <v>1777.2186870370376</v>
      </c>
      <c r="G36" s="67"/>
      <c r="AA36" s="2">
        <f t="shared" si="13"/>
        <v>7</v>
      </c>
      <c r="AB36" s="8">
        <f t="shared" ca="1" si="14"/>
        <v>46450</v>
      </c>
      <c r="AC36" s="9">
        <f t="shared" ca="1" si="15"/>
        <v>35444.444444444467</v>
      </c>
      <c r="AD36" s="9">
        <f t="shared" si="12"/>
        <v>1222.2222222222222</v>
      </c>
      <c r="AE36" s="2">
        <f t="shared" ca="1" si="16"/>
        <v>30</v>
      </c>
      <c r="AF36" s="2">
        <f t="shared" ca="1" si="17"/>
        <v>210</v>
      </c>
      <c r="AG36" s="9">
        <f t="shared" ca="1" si="18"/>
        <v>10.523333333333332</v>
      </c>
      <c r="AH36" s="9">
        <f t="shared" ca="1" si="19"/>
        <v>3.5163333333333329</v>
      </c>
    </row>
    <row r="37" spans="1:34" x14ac:dyDescent="0.25">
      <c r="A37" s="68">
        <f t="shared" si="6"/>
        <v>14</v>
      </c>
      <c r="B37" s="68" t="str">
        <f t="shared" si="7"/>
        <v>amortização</v>
      </c>
      <c r="C37" s="156">
        <f t="shared" ca="1" si="11"/>
        <v>489.5550763888894</v>
      </c>
      <c r="D37" s="156">
        <f t="shared" ca="1" si="20"/>
        <v>1266.7620370370371</v>
      </c>
      <c r="E37" s="162">
        <f t="shared" ca="1" si="9"/>
        <v>28403.242592592622</v>
      </c>
      <c r="F37" s="156">
        <f t="shared" ca="1" si="10"/>
        <v>1756.3171134259264</v>
      </c>
      <c r="G37" s="67"/>
      <c r="AA37" s="2">
        <f t="shared" si="13"/>
        <v>8</v>
      </c>
      <c r="AB37" s="8">
        <f t="shared" ca="1" si="14"/>
        <v>46480</v>
      </c>
      <c r="AC37" s="9">
        <f t="shared" ca="1" si="15"/>
        <v>34222.222222222248</v>
      </c>
      <c r="AD37" s="9">
        <f t="shared" si="12"/>
        <v>1222.2222222222222</v>
      </c>
      <c r="AE37" s="2">
        <f t="shared" ca="1" si="16"/>
        <v>30</v>
      </c>
      <c r="AF37" s="2">
        <f t="shared" ca="1" si="17"/>
        <v>240</v>
      </c>
      <c r="AG37" s="9">
        <f t="shared" ca="1" si="18"/>
        <v>12.026666666666666</v>
      </c>
      <c r="AH37" s="9">
        <f t="shared" ca="1" si="19"/>
        <v>4.0186666666666664</v>
      </c>
    </row>
    <row r="38" spans="1:34" x14ac:dyDescent="0.25">
      <c r="A38" s="68">
        <f t="shared" si="6"/>
        <v>15</v>
      </c>
      <c r="B38" s="68" t="str">
        <f t="shared" si="7"/>
        <v>amortização</v>
      </c>
      <c r="C38" s="156">
        <f t="shared" ca="1" si="11"/>
        <v>468.65350277777827</v>
      </c>
      <c r="D38" s="156">
        <f t="shared" ca="1" si="20"/>
        <v>1266.7620370370371</v>
      </c>
      <c r="E38" s="162">
        <f t="shared" ca="1" si="9"/>
        <v>27136.480555555583</v>
      </c>
      <c r="F38" s="156">
        <f t="shared" ca="1" si="10"/>
        <v>1735.4155398148155</v>
      </c>
      <c r="G38" s="67"/>
      <c r="AA38" s="2">
        <f t="shared" si="13"/>
        <v>9</v>
      </c>
      <c r="AB38" s="8">
        <f t="shared" ca="1" si="14"/>
        <v>46510</v>
      </c>
      <c r="AC38" s="9">
        <f t="shared" ca="1" si="15"/>
        <v>33000.000000000029</v>
      </c>
      <c r="AD38" s="9">
        <f t="shared" si="12"/>
        <v>1222.2222222222222</v>
      </c>
      <c r="AE38" s="2">
        <f t="shared" ca="1" si="16"/>
        <v>30</v>
      </c>
      <c r="AF38" s="2">
        <f t="shared" ca="1" si="17"/>
        <v>270</v>
      </c>
      <c r="AG38" s="9">
        <f t="shared" ca="1" si="18"/>
        <v>13.53</v>
      </c>
      <c r="AH38" s="9">
        <f t="shared" ca="1" si="19"/>
        <v>4.520999999999999</v>
      </c>
    </row>
    <row r="39" spans="1:34" x14ac:dyDescent="0.25">
      <c r="A39" s="68">
        <f t="shared" si="6"/>
        <v>16</v>
      </c>
      <c r="B39" s="68" t="str">
        <f t="shared" si="7"/>
        <v>amortização</v>
      </c>
      <c r="C39" s="156">
        <f t="shared" ca="1" si="11"/>
        <v>447.75192916666714</v>
      </c>
      <c r="D39" s="156">
        <f t="shared" ca="1" si="20"/>
        <v>1266.7620370370371</v>
      </c>
      <c r="E39" s="162">
        <f t="shared" ca="1" si="9"/>
        <v>25869.718518518544</v>
      </c>
      <c r="F39" s="156">
        <f t="shared" ca="1" si="10"/>
        <v>1714.5139662037043</v>
      </c>
      <c r="G39" s="67"/>
      <c r="AA39" s="2">
        <f t="shared" si="13"/>
        <v>10</v>
      </c>
      <c r="AB39" s="8">
        <f t="shared" ca="1" si="14"/>
        <v>46540</v>
      </c>
      <c r="AC39" s="9">
        <f t="shared" ca="1" si="15"/>
        <v>31777.777777777806</v>
      </c>
      <c r="AD39" s="9">
        <f t="shared" si="12"/>
        <v>1222.2222222222222</v>
      </c>
      <c r="AE39" s="2">
        <f t="shared" ca="1" si="16"/>
        <v>30</v>
      </c>
      <c r="AF39" s="2">
        <f t="shared" ca="1" si="17"/>
        <v>300</v>
      </c>
      <c r="AG39" s="9">
        <f t="shared" ca="1" si="18"/>
        <v>15.033333333333333</v>
      </c>
      <c r="AH39" s="9">
        <f t="shared" ca="1" si="19"/>
        <v>5.0233333333333334</v>
      </c>
    </row>
    <row r="40" spans="1:34" x14ac:dyDescent="0.25">
      <c r="A40" s="68">
        <f t="shared" si="6"/>
        <v>17</v>
      </c>
      <c r="B40" s="68" t="str">
        <f t="shared" si="7"/>
        <v>amortização</v>
      </c>
      <c r="C40" s="156">
        <f t="shared" ca="1" si="11"/>
        <v>426.85035555555601</v>
      </c>
      <c r="D40" s="156">
        <f t="shared" ca="1" si="20"/>
        <v>1266.7620370370371</v>
      </c>
      <c r="E40" s="162">
        <f t="shared" ca="1" si="9"/>
        <v>24602.956481481506</v>
      </c>
      <c r="F40" s="156">
        <f t="shared" ca="1" si="10"/>
        <v>1693.6123925925931</v>
      </c>
      <c r="G40" s="67"/>
      <c r="AA40" s="2">
        <f t="shared" si="13"/>
        <v>11</v>
      </c>
      <c r="AB40" s="8">
        <f t="shared" ca="1" si="14"/>
        <v>46570</v>
      </c>
      <c r="AC40" s="9">
        <f t="shared" ca="1" si="15"/>
        <v>30555.555555555584</v>
      </c>
      <c r="AD40" s="9">
        <f t="shared" si="12"/>
        <v>1222.2222222222222</v>
      </c>
      <c r="AE40" s="2">
        <f t="shared" ca="1" si="16"/>
        <v>30</v>
      </c>
      <c r="AF40" s="2">
        <f t="shared" ca="1" si="17"/>
        <v>330</v>
      </c>
      <c r="AG40" s="9">
        <f t="shared" ca="1" si="18"/>
        <v>16.536666666666665</v>
      </c>
      <c r="AH40" s="9">
        <f t="shared" ca="1" si="19"/>
        <v>5.5256666666666661</v>
      </c>
    </row>
    <row r="41" spans="1:34" x14ac:dyDescent="0.25">
      <c r="A41" s="68">
        <f t="shared" si="6"/>
        <v>18</v>
      </c>
      <c r="B41" s="68" t="str">
        <f t="shared" si="7"/>
        <v>amortização</v>
      </c>
      <c r="C41" s="156">
        <f t="shared" ca="1" si="11"/>
        <v>405.94878194444487</v>
      </c>
      <c r="D41" s="156">
        <f t="shared" ca="1" si="20"/>
        <v>1266.7620370370371</v>
      </c>
      <c r="E41" s="162">
        <f t="shared" ca="1" si="9"/>
        <v>23336.194444444467</v>
      </c>
      <c r="F41" s="156">
        <f t="shared" ca="1" si="10"/>
        <v>1672.7108189814819</v>
      </c>
      <c r="G41" s="67"/>
      <c r="AA41" s="2">
        <f t="shared" si="13"/>
        <v>12</v>
      </c>
      <c r="AB41" s="8">
        <f t="shared" ca="1" si="14"/>
        <v>46600</v>
      </c>
      <c r="AC41" s="9">
        <f t="shared" ca="1" si="15"/>
        <v>29333.333333333361</v>
      </c>
      <c r="AD41" s="9">
        <f t="shared" si="12"/>
        <v>1222.2222222222222</v>
      </c>
      <c r="AE41" s="2">
        <f t="shared" ca="1" si="16"/>
        <v>30</v>
      </c>
      <c r="AF41" s="2">
        <f t="shared" ca="1" si="17"/>
        <v>360</v>
      </c>
      <c r="AG41" s="9">
        <f t="shared" ca="1" si="18"/>
        <v>18.04</v>
      </c>
      <c r="AH41" s="9">
        <f t="shared" ca="1" si="19"/>
        <v>6.0279999999999996</v>
      </c>
    </row>
    <row r="42" spans="1:34" x14ac:dyDescent="0.25">
      <c r="A42" s="68">
        <f t="shared" si="6"/>
        <v>19</v>
      </c>
      <c r="B42" s="68" t="str">
        <f t="shared" si="7"/>
        <v>amortização</v>
      </c>
      <c r="C42" s="156">
        <f t="shared" ca="1" si="11"/>
        <v>385.04720833333374</v>
      </c>
      <c r="D42" s="156">
        <f t="shared" ca="1" si="20"/>
        <v>1266.7620370370371</v>
      </c>
      <c r="E42" s="162">
        <f t="shared" ca="1" si="9"/>
        <v>22069.432407407428</v>
      </c>
      <c r="F42" s="156">
        <f t="shared" ca="1" si="10"/>
        <v>1651.8092453703707</v>
      </c>
      <c r="G42" s="67"/>
      <c r="AA42" s="2">
        <f t="shared" si="13"/>
        <v>13</v>
      </c>
      <c r="AB42" s="8">
        <f t="shared" ca="1" si="14"/>
        <v>46630</v>
      </c>
      <c r="AC42" s="9">
        <f ca="1">IF(AA42="","",IF(AB42&lt;=B$16,AC27,AC41-AD42))</f>
        <v>28111.111111111139</v>
      </c>
      <c r="AD42" s="9">
        <f t="shared" si="12"/>
        <v>1222.2222222222222</v>
      </c>
      <c r="AE42" s="2">
        <f t="shared" ca="1" si="16"/>
        <v>30</v>
      </c>
      <c r="AF42" s="2">
        <f t="shared" ca="1" si="17"/>
        <v>390</v>
      </c>
      <c r="AG42" s="9">
        <f t="shared" ca="1" si="18"/>
        <v>18.290555555555553</v>
      </c>
      <c r="AH42" s="9">
        <f t="shared" ca="1" si="19"/>
        <v>6.1117222222222214</v>
      </c>
    </row>
    <row r="43" spans="1:34" x14ac:dyDescent="0.25">
      <c r="A43" s="68">
        <f t="shared" si="6"/>
        <v>20</v>
      </c>
      <c r="B43" s="68" t="str">
        <f t="shared" si="7"/>
        <v>amortização</v>
      </c>
      <c r="C43" s="156">
        <f t="shared" ca="1" si="11"/>
        <v>364.14563472222261</v>
      </c>
      <c r="D43" s="156">
        <f t="shared" ca="1" si="20"/>
        <v>1266.7620370370371</v>
      </c>
      <c r="E43" s="162">
        <f t="shared" ca="1" si="9"/>
        <v>20802.67037037039</v>
      </c>
      <c r="F43" s="156">
        <f t="shared" ca="1" si="10"/>
        <v>1630.9076717592598</v>
      </c>
      <c r="G43" s="67"/>
      <c r="AA43" s="2">
        <f t="shared" si="13"/>
        <v>14</v>
      </c>
      <c r="AB43" s="8">
        <f t="shared" ca="1" si="14"/>
        <v>46660</v>
      </c>
      <c r="AC43" s="9">
        <f t="shared" ca="1" si="15"/>
        <v>26888.888888888916</v>
      </c>
      <c r="AD43" s="9">
        <f t="shared" si="12"/>
        <v>1222.2222222222222</v>
      </c>
      <c r="AE43" s="2">
        <f t="shared" ca="1" si="16"/>
        <v>30</v>
      </c>
      <c r="AF43" s="2">
        <f t="shared" ca="1" si="17"/>
        <v>420</v>
      </c>
      <c r="AG43" s="9">
        <f t="shared" ca="1" si="18"/>
        <v>18.290555555555553</v>
      </c>
      <c r="AH43" s="9">
        <f t="shared" ca="1" si="19"/>
        <v>6.1117222222222214</v>
      </c>
    </row>
    <row r="44" spans="1:34" x14ac:dyDescent="0.25">
      <c r="A44" s="68">
        <f t="shared" si="6"/>
        <v>21</v>
      </c>
      <c r="B44" s="68" t="str">
        <f t="shared" si="7"/>
        <v>amortização</v>
      </c>
      <c r="C44" s="156">
        <f t="shared" ca="1" si="11"/>
        <v>343.24406111111142</v>
      </c>
      <c r="D44" s="156">
        <f t="shared" ca="1" si="20"/>
        <v>1266.7620370370371</v>
      </c>
      <c r="E44" s="162">
        <f t="shared" ca="1" si="9"/>
        <v>19535.908333333351</v>
      </c>
      <c r="F44" s="156">
        <f t="shared" ca="1" si="10"/>
        <v>1610.0060981481486</v>
      </c>
      <c r="G44" s="67"/>
      <c r="AA44" s="2">
        <f t="shared" si="13"/>
        <v>15</v>
      </c>
      <c r="AB44" s="8">
        <f t="shared" ca="1" si="14"/>
        <v>46690</v>
      </c>
      <c r="AC44" s="9">
        <f t="shared" ca="1" si="15"/>
        <v>25666.666666666693</v>
      </c>
      <c r="AD44" s="9">
        <f t="shared" si="12"/>
        <v>1222.2222222222222</v>
      </c>
      <c r="AE44" s="2">
        <f t="shared" ca="1" si="16"/>
        <v>30</v>
      </c>
      <c r="AF44" s="2">
        <f t="shared" ca="1" si="17"/>
        <v>450</v>
      </c>
      <c r="AG44" s="9">
        <f t="shared" ca="1" si="18"/>
        <v>18.290555555555553</v>
      </c>
      <c r="AH44" s="9">
        <f t="shared" ca="1" si="19"/>
        <v>6.1117222222222214</v>
      </c>
    </row>
    <row r="45" spans="1:34" x14ac:dyDescent="0.25">
      <c r="A45" s="68">
        <f t="shared" si="6"/>
        <v>22</v>
      </c>
      <c r="B45" s="68" t="str">
        <f t="shared" si="7"/>
        <v>amortização</v>
      </c>
      <c r="C45" s="156">
        <f t="shared" ca="1" si="11"/>
        <v>322.34248750000029</v>
      </c>
      <c r="D45" s="156">
        <f t="shared" ca="1" si="20"/>
        <v>1266.7620370370371</v>
      </c>
      <c r="E45" s="162">
        <f t="shared" ca="1" si="9"/>
        <v>18269.146296296312</v>
      </c>
      <c r="F45" s="156">
        <f t="shared" ca="1" si="10"/>
        <v>1589.1045245370374</v>
      </c>
      <c r="G45" s="67"/>
      <c r="AA45" s="2">
        <f t="shared" si="13"/>
        <v>16</v>
      </c>
      <c r="AB45" s="8">
        <f t="shared" ca="1" si="14"/>
        <v>46720</v>
      </c>
      <c r="AC45" s="9">
        <f t="shared" ca="1" si="15"/>
        <v>24444.444444444471</v>
      </c>
      <c r="AD45" s="9">
        <f t="shared" si="12"/>
        <v>1222.2222222222222</v>
      </c>
      <c r="AE45" s="2">
        <f t="shared" ca="1" si="16"/>
        <v>30</v>
      </c>
      <c r="AF45" s="2">
        <f t="shared" ca="1" si="17"/>
        <v>480</v>
      </c>
      <c r="AG45" s="9">
        <f t="shared" ca="1" si="18"/>
        <v>18.290555555555553</v>
      </c>
      <c r="AH45" s="9">
        <f t="shared" ca="1" si="19"/>
        <v>6.1117222222222214</v>
      </c>
    </row>
    <row r="46" spans="1:34" x14ac:dyDescent="0.25">
      <c r="A46" s="68">
        <f t="shared" si="6"/>
        <v>23</v>
      </c>
      <c r="B46" s="68" t="str">
        <f t="shared" si="7"/>
        <v>amortização</v>
      </c>
      <c r="C46" s="156">
        <f t="shared" ca="1" si="11"/>
        <v>301.44091388888916</v>
      </c>
      <c r="D46" s="156">
        <f t="shared" ca="1" si="20"/>
        <v>1266.7620370370371</v>
      </c>
      <c r="E46" s="162">
        <f t="shared" ca="1" si="9"/>
        <v>17002.384259259274</v>
      </c>
      <c r="F46" s="156">
        <f t="shared" ca="1" si="10"/>
        <v>1568.2029509259262</v>
      </c>
      <c r="G46" s="67"/>
      <c r="AA46" s="2">
        <f t="shared" si="13"/>
        <v>17</v>
      </c>
      <c r="AB46" s="8">
        <f t="shared" ca="1" si="14"/>
        <v>46750</v>
      </c>
      <c r="AC46" s="9">
        <f t="shared" ca="1" si="15"/>
        <v>23222.222222222248</v>
      </c>
      <c r="AD46" s="9">
        <f t="shared" si="12"/>
        <v>1222.2222222222222</v>
      </c>
      <c r="AE46" s="2">
        <f t="shared" ca="1" si="16"/>
        <v>30</v>
      </c>
      <c r="AF46" s="2">
        <f t="shared" ca="1" si="17"/>
        <v>510</v>
      </c>
      <c r="AG46" s="9">
        <f t="shared" ca="1" si="18"/>
        <v>18.290555555555553</v>
      </c>
      <c r="AH46" s="9">
        <f t="shared" ca="1" si="19"/>
        <v>6.1117222222222214</v>
      </c>
    </row>
    <row r="47" spans="1:34" x14ac:dyDescent="0.25">
      <c r="A47" s="68">
        <f t="shared" si="6"/>
        <v>24</v>
      </c>
      <c r="B47" s="68" t="str">
        <f t="shared" si="7"/>
        <v>amortização</v>
      </c>
      <c r="C47" s="156">
        <f t="shared" ca="1" si="11"/>
        <v>280.53934027777802</v>
      </c>
      <c r="D47" s="156">
        <f t="shared" ca="1" si="20"/>
        <v>1266.7620370370371</v>
      </c>
      <c r="E47" s="162">
        <f t="shared" ca="1" si="9"/>
        <v>15735.622222222237</v>
      </c>
      <c r="F47" s="156">
        <f t="shared" ca="1" si="10"/>
        <v>1547.301377314815</v>
      </c>
      <c r="G47" s="67"/>
      <c r="AA47" s="2">
        <f t="shared" si="13"/>
        <v>18</v>
      </c>
      <c r="AB47" s="8">
        <f t="shared" ca="1" si="14"/>
        <v>46780</v>
      </c>
      <c r="AC47" s="9">
        <f t="shared" ca="1" si="15"/>
        <v>22000.000000000025</v>
      </c>
      <c r="AD47" s="9">
        <f t="shared" si="12"/>
        <v>1222.2222222222222</v>
      </c>
      <c r="AE47" s="2">
        <f t="shared" ca="1" si="16"/>
        <v>30</v>
      </c>
      <c r="AF47" s="2">
        <f t="shared" ca="1" si="17"/>
        <v>540</v>
      </c>
      <c r="AG47" s="9">
        <f t="shared" ca="1" si="18"/>
        <v>18.290555555555553</v>
      </c>
      <c r="AH47" s="9">
        <f t="shared" ca="1" si="19"/>
        <v>6.1117222222222214</v>
      </c>
    </row>
    <row r="48" spans="1:34" x14ac:dyDescent="0.25">
      <c r="A48" s="68">
        <f t="shared" si="6"/>
        <v>25</v>
      </c>
      <c r="B48" s="68" t="str">
        <f t="shared" si="7"/>
        <v>amortização</v>
      </c>
      <c r="C48" s="156">
        <f t="shared" ca="1" si="11"/>
        <v>259.63776666666689</v>
      </c>
      <c r="D48" s="156">
        <f t="shared" ca="1" si="20"/>
        <v>1266.7620370370371</v>
      </c>
      <c r="E48" s="162">
        <f t="shared" ca="1" si="9"/>
        <v>14468.8601851852</v>
      </c>
      <c r="F48" s="156">
        <f t="shared" ca="1" si="10"/>
        <v>1526.399803703704</v>
      </c>
      <c r="G48" s="67"/>
      <c r="AA48" s="2">
        <f t="shared" si="13"/>
        <v>19</v>
      </c>
      <c r="AB48" s="8">
        <f t="shared" ca="1" si="14"/>
        <v>46810</v>
      </c>
      <c r="AC48" s="9">
        <f t="shared" ca="1" si="15"/>
        <v>20777.777777777803</v>
      </c>
      <c r="AD48" s="9">
        <f t="shared" si="12"/>
        <v>1222.2222222222222</v>
      </c>
      <c r="AE48" s="2">
        <f t="shared" ca="1" si="16"/>
        <v>30</v>
      </c>
      <c r="AF48" s="2">
        <f t="shared" ca="1" si="17"/>
        <v>570</v>
      </c>
      <c r="AG48" s="9">
        <f t="shared" ca="1" si="18"/>
        <v>18.290555555555553</v>
      </c>
      <c r="AH48" s="9">
        <f t="shared" ca="1" si="19"/>
        <v>6.1117222222222214</v>
      </c>
    </row>
    <row r="49" spans="1:34" x14ac:dyDescent="0.25">
      <c r="A49" s="68">
        <f t="shared" si="6"/>
        <v>26</v>
      </c>
      <c r="B49" s="68" t="str">
        <f t="shared" si="7"/>
        <v>amortização</v>
      </c>
      <c r="C49" s="156">
        <f t="shared" ca="1" si="11"/>
        <v>238.73619305555582</v>
      </c>
      <c r="D49" s="156">
        <f t="shared" ca="1" si="20"/>
        <v>1266.7620370370371</v>
      </c>
      <c r="E49" s="162">
        <f t="shared" ca="1" si="9"/>
        <v>13202.098148148163</v>
      </c>
      <c r="F49" s="156">
        <f t="shared" ca="1" si="10"/>
        <v>1505.4982300925928</v>
      </c>
      <c r="G49" s="67"/>
      <c r="AA49" s="2">
        <f t="shared" si="13"/>
        <v>20</v>
      </c>
      <c r="AB49" s="8">
        <f t="shared" ca="1" si="14"/>
        <v>46840</v>
      </c>
      <c r="AC49" s="9">
        <f t="shared" ca="1" si="15"/>
        <v>19555.55555555558</v>
      </c>
      <c r="AD49" s="9">
        <f t="shared" si="12"/>
        <v>1222.2222222222222</v>
      </c>
      <c r="AE49" s="2">
        <f t="shared" ca="1" si="16"/>
        <v>30</v>
      </c>
      <c r="AF49" s="2">
        <f t="shared" ca="1" si="17"/>
        <v>600</v>
      </c>
      <c r="AG49" s="9">
        <f t="shared" ca="1" si="18"/>
        <v>18.290555555555553</v>
      </c>
      <c r="AH49" s="9">
        <f t="shared" ca="1" si="19"/>
        <v>6.1117222222222214</v>
      </c>
    </row>
    <row r="50" spans="1:34" x14ac:dyDescent="0.25">
      <c r="A50" s="68">
        <f t="shared" si="6"/>
        <v>27</v>
      </c>
      <c r="B50" s="68" t="str">
        <f t="shared" si="7"/>
        <v>amortização</v>
      </c>
      <c r="C50" s="156">
        <f t="shared" ca="1" si="11"/>
        <v>217.83461944444471</v>
      </c>
      <c r="D50" s="156">
        <f t="shared" ca="1" si="20"/>
        <v>1266.7620370370371</v>
      </c>
      <c r="E50" s="162">
        <f t="shared" ca="1" si="9"/>
        <v>11935.336111111126</v>
      </c>
      <c r="F50" s="156">
        <f t="shared" ca="1" si="10"/>
        <v>1484.5966564814819</v>
      </c>
      <c r="G50" s="67"/>
      <c r="AA50" s="2">
        <f t="shared" si="13"/>
        <v>21</v>
      </c>
      <c r="AB50" s="8">
        <f t="shared" ca="1" si="14"/>
        <v>46870</v>
      </c>
      <c r="AC50" s="9">
        <f t="shared" ca="1" si="15"/>
        <v>18333.333333333358</v>
      </c>
      <c r="AD50" s="9">
        <f t="shared" si="12"/>
        <v>1222.2222222222222</v>
      </c>
      <c r="AE50" s="2">
        <f t="shared" ca="1" si="16"/>
        <v>30</v>
      </c>
      <c r="AF50" s="2">
        <f t="shared" ca="1" si="17"/>
        <v>630</v>
      </c>
      <c r="AG50" s="9">
        <f t="shared" ca="1" si="18"/>
        <v>18.290555555555553</v>
      </c>
      <c r="AH50" s="9">
        <f t="shared" ca="1" si="19"/>
        <v>6.1117222222222214</v>
      </c>
    </row>
    <row r="51" spans="1:34" x14ac:dyDescent="0.25">
      <c r="A51" s="68">
        <f t="shared" si="6"/>
        <v>28</v>
      </c>
      <c r="B51" s="68" t="str">
        <f t="shared" si="7"/>
        <v>amortização</v>
      </c>
      <c r="C51" s="156">
        <f t="shared" ca="1" si="11"/>
        <v>196.93304583333358</v>
      </c>
      <c r="D51" s="156">
        <f t="shared" ca="1" si="20"/>
        <v>1266.7620370370371</v>
      </c>
      <c r="E51" s="162">
        <f t="shared" ca="1" si="9"/>
        <v>10668.574074074089</v>
      </c>
      <c r="F51" s="156">
        <f t="shared" ca="1" si="10"/>
        <v>1463.6950828703707</v>
      </c>
      <c r="G51" s="67"/>
      <c r="AA51" s="2">
        <f t="shared" si="13"/>
        <v>22</v>
      </c>
      <c r="AB51" s="8">
        <f t="shared" ca="1" si="14"/>
        <v>46900</v>
      </c>
      <c r="AC51" s="9">
        <f t="shared" ca="1" si="15"/>
        <v>17111.111111111135</v>
      </c>
      <c r="AD51" s="9">
        <f t="shared" si="12"/>
        <v>1222.2222222222222</v>
      </c>
      <c r="AE51" s="2">
        <f t="shared" ca="1" si="16"/>
        <v>30</v>
      </c>
      <c r="AF51" s="2">
        <f t="shared" ca="1" si="17"/>
        <v>660</v>
      </c>
      <c r="AG51" s="9">
        <f t="shared" ca="1" si="18"/>
        <v>18.290555555555553</v>
      </c>
      <c r="AH51" s="9">
        <f t="shared" ca="1" si="19"/>
        <v>6.1117222222222214</v>
      </c>
    </row>
    <row r="52" spans="1:34" x14ac:dyDescent="0.25">
      <c r="A52" s="68">
        <f t="shared" si="6"/>
        <v>29</v>
      </c>
      <c r="B52" s="68" t="str">
        <f t="shared" si="7"/>
        <v>amortização</v>
      </c>
      <c r="C52" s="156">
        <f t="shared" ca="1" si="11"/>
        <v>176.03147222222248</v>
      </c>
      <c r="D52" s="156">
        <f t="shared" ca="1" si="20"/>
        <v>1266.7620370370371</v>
      </c>
      <c r="E52" s="162">
        <f t="shared" ca="1" si="9"/>
        <v>9401.8120370370525</v>
      </c>
      <c r="F52" s="156">
        <f t="shared" ca="1" si="10"/>
        <v>1442.7935092592595</v>
      </c>
      <c r="G52" s="67"/>
      <c r="AA52" s="2">
        <f t="shared" si="13"/>
        <v>23</v>
      </c>
      <c r="AB52" s="8">
        <f t="shared" ca="1" si="14"/>
        <v>46930</v>
      </c>
      <c r="AC52" s="9">
        <f t="shared" ca="1" si="15"/>
        <v>15888.888888888912</v>
      </c>
      <c r="AD52" s="9">
        <f t="shared" si="12"/>
        <v>1222.2222222222222</v>
      </c>
      <c r="AE52" s="2">
        <f t="shared" ca="1" si="16"/>
        <v>30</v>
      </c>
      <c r="AF52" s="2">
        <f t="shared" ca="1" si="17"/>
        <v>690</v>
      </c>
      <c r="AG52" s="9">
        <f t="shared" ca="1" si="18"/>
        <v>18.290555555555553</v>
      </c>
      <c r="AH52" s="9">
        <f t="shared" ca="1" si="19"/>
        <v>6.1117222222222214</v>
      </c>
    </row>
    <row r="53" spans="1:34" x14ac:dyDescent="0.25">
      <c r="A53" s="68">
        <f t="shared" si="6"/>
        <v>30</v>
      </c>
      <c r="B53" s="68" t="str">
        <f t="shared" si="7"/>
        <v>amortização</v>
      </c>
      <c r="C53" s="156">
        <f t="shared" ca="1" si="11"/>
        <v>155.12989861111137</v>
      </c>
      <c r="D53" s="156">
        <f t="shared" ca="1" si="20"/>
        <v>1266.7620370370371</v>
      </c>
      <c r="E53" s="162">
        <f t="shared" ca="1" si="9"/>
        <v>8135.0500000000156</v>
      </c>
      <c r="F53" s="156">
        <f t="shared" ca="1" si="10"/>
        <v>1421.8919356481485</v>
      </c>
      <c r="G53" s="67"/>
      <c r="AA53" s="2">
        <f t="shared" si="13"/>
        <v>24</v>
      </c>
      <c r="AB53" s="8">
        <f t="shared" ca="1" si="14"/>
        <v>46960</v>
      </c>
      <c r="AC53" s="9">
        <f t="shared" ca="1" si="15"/>
        <v>14666.66666666669</v>
      </c>
      <c r="AD53" s="9">
        <f t="shared" si="12"/>
        <v>1222.2222222222222</v>
      </c>
      <c r="AE53" s="2">
        <f t="shared" ca="1" si="16"/>
        <v>30</v>
      </c>
      <c r="AF53" s="2">
        <f t="shared" ca="1" si="17"/>
        <v>720</v>
      </c>
      <c r="AG53" s="9">
        <f t="shared" ca="1" si="18"/>
        <v>18.290555555555553</v>
      </c>
      <c r="AH53" s="9">
        <f t="shared" ca="1" si="19"/>
        <v>6.1117222222222214</v>
      </c>
    </row>
    <row r="54" spans="1:34" x14ac:dyDescent="0.25">
      <c r="A54" s="68">
        <f t="shared" si="6"/>
        <v>31</v>
      </c>
      <c r="B54" s="68" t="str">
        <f t="shared" si="7"/>
        <v>amortização</v>
      </c>
      <c r="C54" s="156">
        <f t="shared" ca="1" si="11"/>
        <v>134.22832500000027</v>
      </c>
      <c r="D54" s="156">
        <f t="shared" ca="1" si="20"/>
        <v>1266.7620370370371</v>
      </c>
      <c r="E54" s="162">
        <f t="shared" ca="1" si="9"/>
        <v>6868.2879629629788</v>
      </c>
      <c r="F54" s="156">
        <f t="shared" ca="1" si="10"/>
        <v>1400.9903620370374</v>
      </c>
      <c r="G54" s="67"/>
      <c r="AA54" s="2">
        <f t="shared" si="13"/>
        <v>25</v>
      </c>
      <c r="AB54" s="8">
        <f t="shared" ca="1" si="14"/>
        <v>46990</v>
      </c>
      <c r="AC54" s="9">
        <f t="shared" ca="1" si="15"/>
        <v>13444.444444444467</v>
      </c>
      <c r="AD54" s="9">
        <f t="shared" si="12"/>
        <v>1222.2222222222222</v>
      </c>
      <c r="AE54" s="2">
        <f t="shared" ca="1" si="16"/>
        <v>30</v>
      </c>
      <c r="AF54" s="2">
        <f t="shared" ca="1" si="17"/>
        <v>750</v>
      </c>
      <c r="AG54" s="9">
        <f t="shared" ca="1" si="18"/>
        <v>18.290555555555553</v>
      </c>
      <c r="AH54" s="9">
        <f t="shared" ca="1" si="19"/>
        <v>6.1117222222222214</v>
      </c>
    </row>
    <row r="55" spans="1:34" x14ac:dyDescent="0.25">
      <c r="A55" s="68">
        <f t="shared" si="6"/>
        <v>32</v>
      </c>
      <c r="B55" s="68" t="str">
        <f t="shared" si="7"/>
        <v>amortização</v>
      </c>
      <c r="C55" s="156">
        <f t="shared" ca="1" si="11"/>
        <v>113.32675138888915</v>
      </c>
      <c r="D55" s="156">
        <f t="shared" ca="1" si="20"/>
        <v>1266.7620370370371</v>
      </c>
      <c r="E55" s="162">
        <f t="shared" ca="1" si="9"/>
        <v>5601.5259259259419</v>
      </c>
      <c r="F55" s="156">
        <f t="shared" ca="1" si="10"/>
        <v>1380.0887884259262</v>
      </c>
      <c r="G55" s="67"/>
      <c r="AA55" s="2">
        <f t="shared" si="13"/>
        <v>26</v>
      </c>
      <c r="AB55" s="8">
        <f t="shared" ca="1" si="14"/>
        <v>47020</v>
      </c>
      <c r="AC55" s="9">
        <f t="shared" ca="1" si="15"/>
        <v>12222.222222222244</v>
      </c>
      <c r="AD55" s="9">
        <f t="shared" si="12"/>
        <v>1222.2222222222222</v>
      </c>
      <c r="AE55" s="2">
        <f t="shared" ca="1" si="16"/>
        <v>30</v>
      </c>
      <c r="AF55" s="2">
        <f t="shared" ca="1" si="17"/>
        <v>780</v>
      </c>
      <c r="AG55" s="9">
        <f t="shared" ca="1" si="18"/>
        <v>18.290555555555553</v>
      </c>
      <c r="AH55" s="9">
        <f t="shared" ca="1" si="19"/>
        <v>6.1117222222222214</v>
      </c>
    </row>
    <row r="56" spans="1:34" x14ac:dyDescent="0.25">
      <c r="A56" s="68">
        <f t="shared" si="6"/>
        <v>33</v>
      </c>
      <c r="B56" s="68" t="str">
        <f t="shared" si="7"/>
        <v>amortização</v>
      </c>
      <c r="C56" s="156">
        <f t="shared" ca="1" si="11"/>
        <v>92.425177777778046</v>
      </c>
      <c r="D56" s="156">
        <f t="shared" ca="1" si="20"/>
        <v>1266.7620370370371</v>
      </c>
      <c r="E56" s="162">
        <f t="shared" ca="1" si="9"/>
        <v>4334.7638888889051</v>
      </c>
      <c r="F56" s="156">
        <f t="shared" ca="1" si="10"/>
        <v>1359.1872148148152</v>
      </c>
      <c r="G56" s="67"/>
      <c r="AA56" s="2">
        <f t="shared" si="13"/>
        <v>27</v>
      </c>
      <c r="AB56" s="8">
        <f t="shared" ca="1" si="14"/>
        <v>47050</v>
      </c>
      <c r="AC56" s="9">
        <f t="shared" ca="1" si="15"/>
        <v>11000.000000000022</v>
      </c>
      <c r="AD56" s="9">
        <f t="shared" si="12"/>
        <v>1222.2222222222222</v>
      </c>
      <c r="AE56" s="2">
        <f t="shared" ca="1" si="16"/>
        <v>30</v>
      </c>
      <c r="AF56" s="2">
        <f t="shared" ca="1" si="17"/>
        <v>810</v>
      </c>
      <c r="AG56" s="9">
        <f t="shared" ca="1" si="18"/>
        <v>18.290555555555553</v>
      </c>
      <c r="AH56" s="9">
        <f t="shared" ca="1" si="19"/>
        <v>6.1117222222222214</v>
      </c>
    </row>
    <row r="57" spans="1:34" x14ac:dyDescent="0.25">
      <c r="A57" s="68">
        <f t="shared" si="6"/>
        <v>34</v>
      </c>
      <c r="B57" s="68" t="str">
        <f t="shared" si="7"/>
        <v>amortização</v>
      </c>
      <c r="C57" s="156">
        <f t="shared" ca="1" si="11"/>
        <v>71.523604166666942</v>
      </c>
      <c r="D57" s="156">
        <f t="shared" ca="1" si="20"/>
        <v>1266.7620370370371</v>
      </c>
      <c r="E57" s="162">
        <f t="shared" ca="1" si="9"/>
        <v>3068.0018518518682</v>
      </c>
      <c r="F57" s="156">
        <f t="shared" ca="1" si="10"/>
        <v>1338.285641203704</v>
      </c>
      <c r="G57" s="67"/>
      <c r="AA57" s="2">
        <f t="shared" si="13"/>
        <v>28</v>
      </c>
      <c r="AB57" s="8">
        <f t="shared" ca="1" si="14"/>
        <v>47080</v>
      </c>
      <c r="AC57" s="9">
        <f t="shared" ca="1" si="15"/>
        <v>9777.7777777777992</v>
      </c>
      <c r="AD57" s="9">
        <f t="shared" si="12"/>
        <v>1222.2222222222222</v>
      </c>
      <c r="AE57" s="2">
        <f t="shared" ca="1" si="16"/>
        <v>30</v>
      </c>
      <c r="AF57" s="2">
        <f t="shared" ca="1" si="17"/>
        <v>840</v>
      </c>
      <c r="AG57" s="9">
        <f t="shared" ca="1" si="18"/>
        <v>18.290555555555553</v>
      </c>
      <c r="AH57" s="9">
        <f t="shared" ca="1" si="19"/>
        <v>6.1117222222222214</v>
      </c>
    </row>
    <row r="58" spans="1:34" x14ac:dyDescent="0.25">
      <c r="A58" s="68">
        <f t="shared" si="6"/>
        <v>35</v>
      </c>
      <c r="B58" s="68" t="str">
        <f t="shared" si="7"/>
        <v>amortização</v>
      </c>
      <c r="C58" s="156">
        <f t="shared" ca="1" si="11"/>
        <v>50.622030555555824</v>
      </c>
      <c r="D58" s="156">
        <f t="shared" ca="1" si="20"/>
        <v>1266.7620370370371</v>
      </c>
      <c r="E58" s="162">
        <f t="shared" ca="1" si="9"/>
        <v>1801.2398148148311</v>
      </c>
      <c r="F58" s="156">
        <f t="shared" ca="1" si="10"/>
        <v>1317.3840675925928</v>
      </c>
      <c r="G58" s="67"/>
      <c r="AA58" s="2">
        <f t="shared" si="13"/>
        <v>29</v>
      </c>
      <c r="AB58" s="8">
        <f t="shared" ca="1" si="14"/>
        <v>47110</v>
      </c>
      <c r="AC58" s="9">
        <f t="shared" ca="1" si="15"/>
        <v>8555.5555555555766</v>
      </c>
      <c r="AD58" s="9">
        <f t="shared" si="12"/>
        <v>1222.2222222222222</v>
      </c>
      <c r="AE58" s="2">
        <f t="shared" ca="1" si="16"/>
        <v>30</v>
      </c>
      <c r="AF58" s="2">
        <f t="shared" ca="1" si="17"/>
        <v>870</v>
      </c>
      <c r="AG58" s="9">
        <f t="shared" ca="1" si="18"/>
        <v>18.290555555555553</v>
      </c>
      <c r="AH58" s="9">
        <f t="shared" ca="1" si="19"/>
        <v>6.1117222222222214</v>
      </c>
    </row>
    <row r="59" spans="1:34" x14ac:dyDescent="0.25">
      <c r="A59" s="68">
        <f t="shared" si="6"/>
        <v>36</v>
      </c>
      <c r="B59" s="68" t="str">
        <f t="shared" si="7"/>
        <v>amortização</v>
      </c>
      <c r="C59" s="156">
        <f t="shared" ca="1" si="11"/>
        <v>29.720456944444713</v>
      </c>
      <c r="D59" s="156">
        <f t="shared" ca="1" si="20"/>
        <v>1266.7620370370371</v>
      </c>
      <c r="E59" s="162">
        <f t="shared" ca="1" si="9"/>
        <v>534.47777777779402</v>
      </c>
      <c r="F59" s="156">
        <f t="shared" ca="1" si="10"/>
        <v>1296.4824939814819</v>
      </c>
      <c r="G59" s="67"/>
      <c r="AA59" s="2">
        <f t="shared" si="13"/>
        <v>30</v>
      </c>
      <c r="AB59" s="8">
        <f t="shared" ca="1" si="14"/>
        <v>47140</v>
      </c>
      <c r="AC59" s="9">
        <f t="shared" ca="1" si="15"/>
        <v>7333.3333333333539</v>
      </c>
      <c r="AD59" s="9">
        <f t="shared" si="12"/>
        <v>1222.2222222222222</v>
      </c>
      <c r="AE59" s="2">
        <f t="shared" ca="1" si="16"/>
        <v>30</v>
      </c>
      <c r="AF59" s="2">
        <f t="shared" ca="1" si="17"/>
        <v>900</v>
      </c>
      <c r="AG59" s="9">
        <f t="shared" ca="1" si="18"/>
        <v>18.290555555555553</v>
      </c>
      <c r="AH59" s="9">
        <f t="shared" ca="1" si="19"/>
        <v>6.1117222222222214</v>
      </c>
    </row>
    <row r="60" spans="1:34" x14ac:dyDescent="0.25">
      <c r="A60" s="68" t="str">
        <f t="shared" si="6"/>
        <v/>
      </c>
      <c r="B60" s="68" t="str">
        <f t="shared" si="7"/>
        <v/>
      </c>
      <c r="C60" s="156" t="str">
        <f t="shared" si="11"/>
        <v/>
      </c>
      <c r="D60" s="156" t="str">
        <f t="shared" si="20"/>
        <v/>
      </c>
      <c r="E60" s="162" t="str">
        <f t="shared" si="9"/>
        <v/>
      </c>
      <c r="F60" s="156" t="str">
        <f t="shared" si="10"/>
        <v/>
      </c>
      <c r="G60" s="67"/>
      <c r="AA60" s="2">
        <f t="shared" si="13"/>
        <v>31</v>
      </c>
      <c r="AB60" s="8">
        <f t="shared" ca="1" si="14"/>
        <v>47170</v>
      </c>
      <c r="AC60" s="9">
        <f t="shared" ca="1" si="15"/>
        <v>6111.1111111111313</v>
      </c>
      <c r="AD60" s="9">
        <f t="shared" si="12"/>
        <v>1222.2222222222222</v>
      </c>
      <c r="AE60" s="2">
        <f t="shared" ca="1" si="16"/>
        <v>30</v>
      </c>
      <c r="AF60" s="2">
        <f t="shared" ca="1" si="17"/>
        <v>930</v>
      </c>
      <c r="AG60" s="9">
        <f t="shared" ca="1" si="18"/>
        <v>18.290555555555553</v>
      </c>
      <c r="AH60" s="9">
        <f t="shared" ca="1" si="19"/>
        <v>6.1117222222222214</v>
      </c>
    </row>
    <row r="61" spans="1:34" x14ac:dyDescent="0.25">
      <c r="A61" s="68" t="str">
        <f t="shared" si="6"/>
        <v/>
      </c>
      <c r="B61" s="68" t="str">
        <f t="shared" si="7"/>
        <v/>
      </c>
      <c r="C61" s="156" t="str">
        <f t="shared" si="11"/>
        <v/>
      </c>
      <c r="D61" s="156" t="str">
        <f t="shared" si="20"/>
        <v/>
      </c>
      <c r="E61" s="162" t="str">
        <f t="shared" si="9"/>
        <v/>
      </c>
      <c r="F61" s="156" t="str">
        <f t="shared" si="10"/>
        <v/>
      </c>
      <c r="G61" s="67"/>
      <c r="AA61" s="2">
        <f t="shared" si="13"/>
        <v>32</v>
      </c>
      <c r="AB61" s="8">
        <f t="shared" ca="1" si="14"/>
        <v>47200</v>
      </c>
      <c r="AC61" s="9">
        <f t="shared" ca="1" si="15"/>
        <v>4888.8888888889087</v>
      </c>
      <c r="AD61" s="9">
        <f t="shared" si="12"/>
        <v>1222.2222222222222</v>
      </c>
      <c r="AE61" s="2">
        <f t="shared" ca="1" si="16"/>
        <v>30</v>
      </c>
      <c r="AF61" s="2">
        <f t="shared" ca="1" si="17"/>
        <v>960</v>
      </c>
      <c r="AG61" s="9">
        <f t="shared" ca="1" si="18"/>
        <v>18.290555555555553</v>
      </c>
      <c r="AH61" s="9">
        <f t="shared" ca="1" si="19"/>
        <v>6.1117222222222214</v>
      </c>
    </row>
    <row r="62" spans="1:34" x14ac:dyDescent="0.25">
      <c r="A62" s="68" t="str">
        <f t="shared" si="6"/>
        <v/>
      </c>
      <c r="B62" s="68" t="str">
        <f t="shared" si="7"/>
        <v/>
      </c>
      <c r="C62" s="156" t="str">
        <f t="shared" si="11"/>
        <v/>
      </c>
      <c r="D62" s="156" t="str">
        <f t="shared" si="20"/>
        <v/>
      </c>
      <c r="E62" s="162" t="str">
        <f t="shared" si="9"/>
        <v/>
      </c>
      <c r="F62" s="156" t="str">
        <f t="shared" si="10"/>
        <v/>
      </c>
      <c r="G62" s="67"/>
      <c r="AA62" s="2">
        <f t="shared" si="13"/>
        <v>33</v>
      </c>
      <c r="AB62" s="8">
        <f t="shared" ca="1" si="14"/>
        <v>47230</v>
      </c>
      <c r="AC62" s="9">
        <f t="shared" ca="1" si="15"/>
        <v>3666.6666666666865</v>
      </c>
      <c r="AD62" s="9">
        <f t="shared" si="12"/>
        <v>1222.2222222222222</v>
      </c>
      <c r="AE62" s="2">
        <f t="shared" ca="1" si="16"/>
        <v>30</v>
      </c>
      <c r="AF62" s="2">
        <f t="shared" ca="1" si="17"/>
        <v>990</v>
      </c>
      <c r="AG62" s="9">
        <f t="shared" ca="1" si="18"/>
        <v>18.290555555555553</v>
      </c>
      <c r="AH62" s="9">
        <f t="shared" ca="1" si="19"/>
        <v>6.1117222222222214</v>
      </c>
    </row>
    <row r="63" spans="1:34" x14ac:dyDescent="0.25">
      <c r="A63" s="68" t="str">
        <f t="shared" si="6"/>
        <v/>
      </c>
      <c r="B63" s="68" t="str">
        <f t="shared" si="7"/>
        <v/>
      </c>
      <c r="C63" s="156" t="str">
        <f t="shared" si="11"/>
        <v/>
      </c>
      <c r="D63" s="156" t="str">
        <f t="shared" si="20"/>
        <v/>
      </c>
      <c r="E63" s="162" t="str">
        <f t="shared" si="9"/>
        <v/>
      </c>
      <c r="F63" s="156" t="str">
        <f t="shared" si="10"/>
        <v/>
      </c>
      <c r="G63" s="67"/>
      <c r="AA63" s="2">
        <f t="shared" si="13"/>
        <v>34</v>
      </c>
      <c r="AB63" s="8">
        <f t="shared" ca="1" si="14"/>
        <v>47260</v>
      </c>
      <c r="AC63" s="9">
        <f t="shared" ca="1" si="15"/>
        <v>2444.4444444444644</v>
      </c>
      <c r="AD63" s="9">
        <f t="shared" si="12"/>
        <v>1222.2222222222222</v>
      </c>
      <c r="AE63" s="2">
        <f t="shared" ca="1" si="16"/>
        <v>30</v>
      </c>
      <c r="AF63" s="2">
        <f t="shared" ca="1" si="17"/>
        <v>1020</v>
      </c>
      <c r="AG63" s="9">
        <f t="shared" ca="1" si="18"/>
        <v>18.290555555555553</v>
      </c>
      <c r="AH63" s="9">
        <f t="shared" ca="1" si="19"/>
        <v>6.1117222222222214</v>
      </c>
    </row>
    <row r="64" spans="1:34" x14ac:dyDescent="0.25">
      <c r="A64" s="68" t="str">
        <f t="shared" si="6"/>
        <v/>
      </c>
      <c r="B64" s="68" t="str">
        <f t="shared" si="7"/>
        <v/>
      </c>
      <c r="C64" s="156" t="str">
        <f t="shared" si="11"/>
        <v/>
      </c>
      <c r="D64" s="156" t="str">
        <f t="shared" si="20"/>
        <v/>
      </c>
      <c r="E64" s="162" t="str">
        <f t="shared" si="9"/>
        <v/>
      </c>
      <c r="F64" s="156" t="str">
        <f t="shared" si="10"/>
        <v/>
      </c>
      <c r="G64" s="67"/>
      <c r="AA64" s="2">
        <f t="shared" si="13"/>
        <v>35</v>
      </c>
      <c r="AB64" s="8">
        <f t="shared" ca="1" si="14"/>
        <v>47290</v>
      </c>
      <c r="AC64" s="9">
        <f t="shared" ca="1" si="15"/>
        <v>1222.2222222222422</v>
      </c>
      <c r="AD64" s="9">
        <f t="shared" si="12"/>
        <v>1222.2222222222222</v>
      </c>
      <c r="AE64" s="2">
        <f t="shared" ca="1" si="16"/>
        <v>30</v>
      </c>
      <c r="AF64" s="2">
        <f t="shared" ca="1" si="17"/>
        <v>1050</v>
      </c>
      <c r="AG64" s="9">
        <f t="shared" ca="1" si="18"/>
        <v>18.290555555555553</v>
      </c>
      <c r="AH64" s="9">
        <f t="shared" ca="1" si="19"/>
        <v>6.1117222222222214</v>
      </c>
    </row>
    <row r="65" spans="1:34" x14ac:dyDescent="0.25">
      <c r="A65" s="68" t="str">
        <f t="shared" si="6"/>
        <v/>
      </c>
      <c r="B65" s="68" t="str">
        <f t="shared" si="7"/>
        <v/>
      </c>
      <c r="C65" s="156" t="str">
        <f t="shared" si="11"/>
        <v/>
      </c>
      <c r="D65" s="156" t="str">
        <f t="shared" si="20"/>
        <v/>
      </c>
      <c r="E65" s="162" t="str">
        <f t="shared" si="9"/>
        <v/>
      </c>
      <c r="F65" s="156" t="str">
        <f t="shared" si="10"/>
        <v/>
      </c>
      <c r="G65" s="67"/>
      <c r="AA65" s="2">
        <f t="shared" si="13"/>
        <v>36</v>
      </c>
      <c r="AB65" s="8">
        <f t="shared" ca="1" si="14"/>
        <v>47320</v>
      </c>
      <c r="AC65" s="9">
        <f t="shared" ca="1" si="15"/>
        <v>2.0008883439004421E-11</v>
      </c>
      <c r="AD65" s="9">
        <f t="shared" si="12"/>
        <v>1222.2222222222222</v>
      </c>
      <c r="AE65" s="2">
        <f t="shared" ca="1" si="16"/>
        <v>30</v>
      </c>
      <c r="AF65" s="2">
        <f t="shared" ca="1" si="17"/>
        <v>1080</v>
      </c>
      <c r="AG65" s="9">
        <f t="shared" ca="1" si="18"/>
        <v>18.290555555555553</v>
      </c>
      <c r="AH65" s="9">
        <f t="shared" ca="1" si="19"/>
        <v>6.1117222222222214</v>
      </c>
    </row>
    <row r="66" spans="1:34" x14ac:dyDescent="0.25">
      <c r="A66" s="68" t="str">
        <f t="shared" si="6"/>
        <v/>
      </c>
      <c r="B66" s="68" t="str">
        <f t="shared" si="7"/>
        <v/>
      </c>
      <c r="C66" s="156" t="str">
        <f t="shared" si="11"/>
        <v/>
      </c>
      <c r="D66" s="156" t="str">
        <f t="shared" si="20"/>
        <v/>
      </c>
      <c r="E66" s="162" t="str">
        <f t="shared" si="9"/>
        <v/>
      </c>
      <c r="F66" s="156" t="str">
        <f t="shared" si="10"/>
        <v/>
      </c>
      <c r="G66" s="67"/>
      <c r="AA66" s="2" t="str">
        <f t="shared" si="13"/>
        <v/>
      </c>
      <c r="AB66" s="8" t="str">
        <f t="shared" si="14"/>
        <v/>
      </c>
      <c r="AC66" s="9" t="str">
        <f t="shared" si="15"/>
        <v/>
      </c>
      <c r="AD66" s="9" t="str">
        <f t="shared" si="12"/>
        <v/>
      </c>
      <c r="AE66" s="2" t="str">
        <f t="shared" si="16"/>
        <v/>
      </c>
      <c r="AF66" s="2" t="str">
        <f t="shared" si="17"/>
        <v/>
      </c>
      <c r="AG66" s="9" t="str">
        <f t="shared" si="18"/>
        <v/>
      </c>
      <c r="AH66" s="9" t="str">
        <f t="shared" si="19"/>
        <v/>
      </c>
    </row>
    <row r="67" spans="1:34" x14ac:dyDescent="0.25">
      <c r="A67" s="68" t="str">
        <f t="shared" si="6"/>
        <v/>
      </c>
      <c r="B67" s="68" t="str">
        <f t="shared" si="7"/>
        <v/>
      </c>
      <c r="C67" s="156" t="str">
        <f t="shared" si="11"/>
        <v/>
      </c>
      <c r="D67" s="156" t="str">
        <f t="shared" si="20"/>
        <v/>
      </c>
      <c r="E67" s="162" t="str">
        <f t="shared" si="9"/>
        <v/>
      </c>
      <c r="F67" s="156" t="str">
        <f t="shared" si="10"/>
        <v/>
      </c>
      <c r="G67" s="67"/>
      <c r="AA67" s="2" t="str">
        <f t="shared" si="13"/>
        <v/>
      </c>
      <c r="AB67" s="8" t="str">
        <f t="shared" si="14"/>
        <v/>
      </c>
      <c r="AC67" s="9" t="str">
        <f t="shared" si="15"/>
        <v/>
      </c>
      <c r="AD67" s="9" t="str">
        <f t="shared" si="12"/>
        <v/>
      </c>
      <c r="AE67" s="2" t="str">
        <f t="shared" si="16"/>
        <v/>
      </c>
      <c r="AF67" s="2" t="str">
        <f t="shared" si="17"/>
        <v/>
      </c>
      <c r="AG67" s="9" t="str">
        <f t="shared" si="18"/>
        <v/>
      </c>
      <c r="AH67" s="9" t="str">
        <f t="shared" si="19"/>
        <v/>
      </c>
    </row>
    <row r="68" spans="1:34" x14ac:dyDescent="0.25">
      <c r="A68" s="68" t="str">
        <f t="shared" si="6"/>
        <v/>
      </c>
      <c r="B68" s="68" t="str">
        <f t="shared" si="7"/>
        <v/>
      </c>
      <c r="C68" s="156" t="str">
        <f t="shared" si="11"/>
        <v/>
      </c>
      <c r="D68" s="156" t="str">
        <f t="shared" si="20"/>
        <v/>
      </c>
      <c r="E68" s="162" t="str">
        <f t="shared" si="9"/>
        <v/>
      </c>
      <c r="F68" s="156" t="str">
        <f t="shared" si="10"/>
        <v/>
      </c>
      <c r="G68" s="67"/>
      <c r="AA68" s="2" t="str">
        <f t="shared" si="13"/>
        <v/>
      </c>
      <c r="AB68" s="8" t="str">
        <f t="shared" si="14"/>
        <v/>
      </c>
      <c r="AC68" s="9" t="str">
        <f t="shared" si="15"/>
        <v/>
      </c>
      <c r="AD68" s="9" t="str">
        <f t="shared" si="12"/>
        <v/>
      </c>
      <c r="AE68" s="2" t="str">
        <f t="shared" si="16"/>
        <v/>
      </c>
      <c r="AF68" s="2" t="str">
        <f t="shared" si="17"/>
        <v/>
      </c>
      <c r="AG68" s="9" t="str">
        <f t="shared" si="18"/>
        <v/>
      </c>
      <c r="AH68" s="9" t="str">
        <f t="shared" si="19"/>
        <v/>
      </c>
    </row>
    <row r="69" spans="1:34" x14ac:dyDescent="0.25">
      <c r="A69" s="68" t="str">
        <f t="shared" si="6"/>
        <v/>
      </c>
      <c r="B69" s="68" t="str">
        <f t="shared" si="7"/>
        <v/>
      </c>
      <c r="C69" s="156" t="str">
        <f t="shared" si="11"/>
        <v/>
      </c>
      <c r="D69" s="156" t="str">
        <f t="shared" si="20"/>
        <v/>
      </c>
      <c r="E69" s="162" t="str">
        <f t="shared" si="9"/>
        <v/>
      </c>
      <c r="F69" s="156" t="str">
        <f t="shared" si="10"/>
        <v/>
      </c>
      <c r="G69" s="67"/>
      <c r="AA69" s="2" t="str">
        <f t="shared" si="13"/>
        <v/>
      </c>
      <c r="AB69" s="8" t="str">
        <f t="shared" si="14"/>
        <v/>
      </c>
      <c r="AC69" s="9" t="str">
        <f t="shared" si="15"/>
        <v/>
      </c>
      <c r="AD69" s="9" t="str">
        <f t="shared" si="12"/>
        <v/>
      </c>
      <c r="AE69" s="2" t="str">
        <f t="shared" si="16"/>
        <v/>
      </c>
      <c r="AF69" s="2" t="str">
        <f t="shared" si="17"/>
        <v/>
      </c>
      <c r="AG69" s="9" t="str">
        <f t="shared" si="18"/>
        <v/>
      </c>
      <c r="AH69" s="9" t="str">
        <f t="shared" si="19"/>
        <v/>
      </c>
    </row>
    <row r="70" spans="1:34" x14ac:dyDescent="0.25">
      <c r="A70" s="68" t="str">
        <f t="shared" si="6"/>
        <v/>
      </c>
      <c r="B70" s="68" t="str">
        <f t="shared" si="7"/>
        <v/>
      </c>
      <c r="C70" s="156" t="str">
        <f t="shared" si="11"/>
        <v/>
      </c>
      <c r="D70" s="156" t="str">
        <f t="shared" si="20"/>
        <v/>
      </c>
      <c r="E70" s="162" t="str">
        <f t="shared" si="9"/>
        <v/>
      </c>
      <c r="F70" s="156" t="str">
        <f t="shared" si="10"/>
        <v/>
      </c>
      <c r="G70" s="67"/>
      <c r="AA70" s="2" t="str">
        <f t="shared" si="13"/>
        <v/>
      </c>
      <c r="AB70" s="8" t="str">
        <f t="shared" si="14"/>
        <v/>
      </c>
      <c r="AC70" s="9" t="str">
        <f t="shared" si="15"/>
        <v/>
      </c>
      <c r="AD70" s="9" t="str">
        <f t="shared" si="12"/>
        <v/>
      </c>
      <c r="AE70" s="2" t="str">
        <f t="shared" si="16"/>
        <v/>
      </c>
      <c r="AF70" s="2" t="str">
        <f t="shared" si="17"/>
        <v/>
      </c>
      <c r="AG70" s="9" t="str">
        <f t="shared" si="18"/>
        <v/>
      </c>
      <c r="AH70" s="9" t="str">
        <f t="shared" si="19"/>
        <v/>
      </c>
    </row>
    <row r="71" spans="1:34" x14ac:dyDescent="0.25">
      <c r="A71" s="68" t="str">
        <f t="shared" si="6"/>
        <v/>
      </c>
      <c r="B71" s="68" t="str">
        <f t="shared" si="7"/>
        <v/>
      </c>
      <c r="C71" s="156" t="str">
        <f t="shared" si="11"/>
        <v/>
      </c>
      <c r="D71" s="156" t="str">
        <f t="shared" si="20"/>
        <v/>
      </c>
      <c r="E71" s="162" t="str">
        <f t="shared" si="9"/>
        <v/>
      </c>
      <c r="F71" s="156" t="str">
        <f t="shared" si="10"/>
        <v/>
      </c>
      <c r="G71" s="67"/>
      <c r="AA71" s="2" t="str">
        <f t="shared" si="13"/>
        <v/>
      </c>
      <c r="AB71" s="8" t="str">
        <f t="shared" si="14"/>
        <v/>
      </c>
      <c r="AC71" s="9" t="str">
        <f t="shared" si="15"/>
        <v/>
      </c>
      <c r="AD71" s="9" t="str">
        <f t="shared" si="12"/>
        <v/>
      </c>
      <c r="AE71" s="2" t="str">
        <f t="shared" si="16"/>
        <v/>
      </c>
      <c r="AF71" s="2" t="str">
        <f t="shared" si="17"/>
        <v/>
      </c>
      <c r="AG71" s="9" t="str">
        <f t="shared" si="18"/>
        <v/>
      </c>
      <c r="AH71" s="9" t="str">
        <f t="shared" si="19"/>
        <v/>
      </c>
    </row>
    <row r="72" spans="1:34" x14ac:dyDescent="0.25">
      <c r="A72" s="68" t="str">
        <f t="shared" si="6"/>
        <v/>
      </c>
      <c r="B72" s="68" t="str">
        <f t="shared" si="7"/>
        <v/>
      </c>
      <c r="C72" s="156" t="str">
        <f t="shared" si="11"/>
        <v/>
      </c>
      <c r="D72" s="156" t="str">
        <f t="shared" si="20"/>
        <v/>
      </c>
      <c r="E72" s="162" t="str">
        <f t="shared" si="9"/>
        <v/>
      </c>
      <c r="F72" s="156" t="str">
        <f t="shared" si="10"/>
        <v/>
      </c>
      <c r="G72" s="67"/>
      <c r="AA72" s="2" t="str">
        <f t="shared" si="13"/>
        <v/>
      </c>
      <c r="AB72" s="8" t="str">
        <f t="shared" si="14"/>
        <v/>
      </c>
      <c r="AC72" s="9" t="str">
        <f t="shared" si="15"/>
        <v/>
      </c>
      <c r="AD72" s="9" t="str">
        <f t="shared" si="12"/>
        <v/>
      </c>
      <c r="AE72" s="2" t="str">
        <f t="shared" si="16"/>
        <v/>
      </c>
      <c r="AF72" s="2" t="str">
        <f t="shared" si="17"/>
        <v/>
      </c>
      <c r="AG72" s="9" t="str">
        <f t="shared" si="18"/>
        <v/>
      </c>
      <c r="AH72" s="9" t="str">
        <f t="shared" si="19"/>
        <v/>
      </c>
    </row>
    <row r="73" spans="1:34" x14ac:dyDescent="0.25">
      <c r="A73" s="68" t="str">
        <f t="shared" si="6"/>
        <v/>
      </c>
      <c r="B73" s="68" t="str">
        <f t="shared" si="7"/>
        <v/>
      </c>
      <c r="C73" s="156" t="str">
        <f t="shared" si="11"/>
        <v/>
      </c>
      <c r="D73" s="156" t="str">
        <f t="shared" si="20"/>
        <v/>
      </c>
      <c r="E73" s="162" t="str">
        <f t="shared" si="9"/>
        <v/>
      </c>
      <c r="F73" s="156" t="str">
        <f t="shared" si="10"/>
        <v/>
      </c>
      <c r="G73" s="67"/>
      <c r="AA73" s="2" t="str">
        <f t="shared" si="13"/>
        <v/>
      </c>
      <c r="AB73" s="8" t="str">
        <f t="shared" si="14"/>
        <v/>
      </c>
      <c r="AC73" s="9" t="str">
        <f t="shared" si="15"/>
        <v/>
      </c>
      <c r="AD73" s="9" t="str">
        <f t="shared" si="12"/>
        <v/>
      </c>
      <c r="AE73" s="2" t="str">
        <f t="shared" si="16"/>
        <v/>
      </c>
      <c r="AF73" s="2" t="str">
        <f t="shared" si="17"/>
        <v/>
      </c>
      <c r="AG73" s="9" t="str">
        <f t="shared" si="18"/>
        <v/>
      </c>
      <c r="AH73" s="9" t="str">
        <f t="shared" si="19"/>
        <v/>
      </c>
    </row>
    <row r="74" spans="1:34" x14ac:dyDescent="0.25">
      <c r="A74" s="68" t="str">
        <f t="shared" si="6"/>
        <v/>
      </c>
      <c r="B74" s="68" t="str">
        <f t="shared" si="7"/>
        <v/>
      </c>
      <c r="C74" s="156" t="str">
        <f t="shared" si="11"/>
        <v/>
      </c>
      <c r="D74" s="156" t="str">
        <f t="shared" si="20"/>
        <v/>
      </c>
      <c r="E74" s="162" t="str">
        <f t="shared" si="9"/>
        <v/>
      </c>
      <c r="F74" s="156" t="str">
        <f t="shared" si="10"/>
        <v/>
      </c>
      <c r="G74" s="67"/>
      <c r="AA74" s="2" t="str">
        <f t="shared" si="13"/>
        <v/>
      </c>
      <c r="AB74" s="8" t="str">
        <f t="shared" si="14"/>
        <v/>
      </c>
      <c r="AC74" s="9" t="str">
        <f t="shared" si="15"/>
        <v/>
      </c>
      <c r="AD74" s="9" t="str">
        <f t="shared" si="12"/>
        <v/>
      </c>
      <c r="AE74" s="2" t="str">
        <f t="shared" si="16"/>
        <v/>
      </c>
      <c r="AF74" s="2" t="str">
        <f t="shared" si="17"/>
        <v/>
      </c>
      <c r="AG74" s="9" t="str">
        <f t="shared" si="18"/>
        <v/>
      </c>
      <c r="AH74" s="9" t="str">
        <f t="shared" si="19"/>
        <v/>
      </c>
    </row>
    <row r="75" spans="1:34" x14ac:dyDescent="0.25">
      <c r="A75" s="68" t="str">
        <f t="shared" si="6"/>
        <v/>
      </c>
      <c r="B75" s="68" t="str">
        <f t="shared" si="7"/>
        <v/>
      </c>
      <c r="C75" s="156" t="str">
        <f t="shared" si="11"/>
        <v/>
      </c>
      <c r="D75" s="156" t="str">
        <f t="shared" si="20"/>
        <v/>
      </c>
      <c r="E75" s="162" t="str">
        <f t="shared" si="9"/>
        <v/>
      </c>
      <c r="F75" s="156" t="str">
        <f t="shared" si="10"/>
        <v/>
      </c>
      <c r="G75" s="67"/>
      <c r="AA75" s="2" t="str">
        <f t="shared" si="13"/>
        <v/>
      </c>
      <c r="AB75" s="8" t="str">
        <f t="shared" si="14"/>
        <v/>
      </c>
      <c r="AC75" s="9" t="str">
        <f t="shared" si="15"/>
        <v/>
      </c>
      <c r="AD75" s="9" t="str">
        <f t="shared" si="12"/>
        <v/>
      </c>
      <c r="AE75" s="2" t="str">
        <f t="shared" si="16"/>
        <v/>
      </c>
      <c r="AF75" s="2" t="str">
        <f t="shared" si="17"/>
        <v/>
      </c>
      <c r="AG75" s="9" t="str">
        <f t="shared" si="18"/>
        <v/>
      </c>
      <c r="AH75" s="9" t="str">
        <f t="shared" si="19"/>
        <v/>
      </c>
    </row>
    <row r="76" spans="1:34" x14ac:dyDescent="0.25">
      <c r="A76" s="68" t="str">
        <f t="shared" si="6"/>
        <v/>
      </c>
      <c r="B76" s="68" t="str">
        <f t="shared" si="7"/>
        <v/>
      </c>
      <c r="C76" s="156" t="str">
        <f t="shared" si="11"/>
        <v/>
      </c>
      <c r="D76" s="156" t="str">
        <f t="shared" si="20"/>
        <v/>
      </c>
      <c r="E76" s="162" t="str">
        <f t="shared" si="9"/>
        <v/>
      </c>
      <c r="F76" s="156" t="str">
        <f t="shared" si="10"/>
        <v/>
      </c>
      <c r="G76" s="67"/>
      <c r="AA76" s="2" t="str">
        <f t="shared" si="13"/>
        <v/>
      </c>
      <c r="AB76" s="8" t="str">
        <f t="shared" si="14"/>
        <v/>
      </c>
      <c r="AC76" s="9" t="str">
        <f t="shared" si="15"/>
        <v/>
      </c>
      <c r="AD76" s="9" t="str">
        <f t="shared" si="12"/>
        <v/>
      </c>
      <c r="AE76" s="2" t="str">
        <f t="shared" si="16"/>
        <v/>
      </c>
      <c r="AF76" s="2" t="str">
        <f t="shared" si="17"/>
        <v/>
      </c>
      <c r="AG76" s="9" t="str">
        <f t="shared" si="18"/>
        <v/>
      </c>
      <c r="AH76" s="9" t="str">
        <f t="shared" si="19"/>
        <v/>
      </c>
    </row>
    <row r="77" spans="1:34" x14ac:dyDescent="0.25">
      <c r="A77" s="68" t="str">
        <f t="shared" si="6"/>
        <v/>
      </c>
      <c r="B77" s="68" t="str">
        <f t="shared" si="7"/>
        <v/>
      </c>
      <c r="C77" s="156" t="str">
        <f t="shared" si="11"/>
        <v/>
      </c>
      <c r="D77" s="156" t="str">
        <f t="shared" si="20"/>
        <v/>
      </c>
      <c r="E77" s="162" t="str">
        <f t="shared" si="9"/>
        <v/>
      </c>
      <c r="F77" s="156" t="str">
        <f t="shared" si="10"/>
        <v/>
      </c>
      <c r="G77" s="67"/>
      <c r="AA77" s="2" t="str">
        <f t="shared" si="13"/>
        <v/>
      </c>
      <c r="AB77" s="8" t="str">
        <f t="shared" si="14"/>
        <v/>
      </c>
      <c r="AC77" s="9" t="str">
        <f t="shared" si="15"/>
        <v/>
      </c>
      <c r="AD77" s="9" t="str">
        <f t="shared" si="12"/>
        <v/>
      </c>
      <c r="AE77" s="2" t="str">
        <f t="shared" si="16"/>
        <v/>
      </c>
      <c r="AF77" s="2" t="str">
        <f t="shared" si="17"/>
        <v/>
      </c>
      <c r="AG77" s="9" t="str">
        <f t="shared" si="18"/>
        <v/>
      </c>
      <c r="AH77" s="9" t="str">
        <f t="shared" si="19"/>
        <v/>
      </c>
    </row>
    <row r="78" spans="1:34" x14ac:dyDescent="0.25">
      <c r="A78" s="68" t="str">
        <f t="shared" si="6"/>
        <v/>
      </c>
      <c r="B78" s="68" t="str">
        <f t="shared" si="7"/>
        <v/>
      </c>
      <c r="C78" s="156" t="str">
        <f t="shared" si="11"/>
        <v/>
      </c>
      <c r="D78" s="156" t="str">
        <f t="shared" si="20"/>
        <v/>
      </c>
      <c r="E78" s="162" t="str">
        <f t="shared" si="9"/>
        <v/>
      </c>
      <c r="F78" s="156" t="str">
        <f t="shared" si="10"/>
        <v/>
      </c>
      <c r="G78" s="67"/>
      <c r="AA78" s="2" t="str">
        <f t="shared" si="13"/>
        <v/>
      </c>
      <c r="AC78" s="9" t="str">
        <f t="shared" si="15"/>
        <v/>
      </c>
      <c r="AD78" s="9" t="str">
        <f t="shared" si="12"/>
        <v/>
      </c>
      <c r="AF78" s="2" t="str">
        <f t="shared" si="17"/>
        <v/>
      </c>
      <c r="AG78" s="9" t="str">
        <f t="shared" si="18"/>
        <v/>
      </c>
      <c r="AH78" s="9" t="str">
        <f t="shared" si="19"/>
        <v/>
      </c>
    </row>
    <row r="79" spans="1:34" x14ac:dyDescent="0.25">
      <c r="A79" s="68" t="str">
        <f t="shared" si="6"/>
        <v/>
      </c>
      <c r="B79" s="68" t="str">
        <f t="shared" si="7"/>
        <v/>
      </c>
      <c r="C79" s="156" t="str">
        <f t="shared" si="11"/>
        <v/>
      </c>
      <c r="D79" s="156" t="str">
        <f t="shared" si="20"/>
        <v/>
      </c>
      <c r="E79" s="162" t="str">
        <f t="shared" si="9"/>
        <v/>
      </c>
      <c r="F79" s="156" t="str">
        <f t="shared" si="10"/>
        <v/>
      </c>
      <c r="G79" s="67"/>
      <c r="AA79" s="2" t="str">
        <f t="shared" si="13"/>
        <v/>
      </c>
      <c r="AC79" s="9" t="str">
        <f t="shared" si="15"/>
        <v/>
      </c>
      <c r="AD79" s="9" t="str">
        <f t="shared" si="12"/>
        <v/>
      </c>
      <c r="AF79" s="2" t="str">
        <f t="shared" si="17"/>
        <v/>
      </c>
      <c r="AG79" s="9" t="str">
        <f t="shared" si="18"/>
        <v/>
      </c>
      <c r="AH79" s="9" t="str">
        <f t="shared" si="19"/>
        <v/>
      </c>
    </row>
    <row r="80" spans="1:34" x14ac:dyDescent="0.25">
      <c r="A80" s="68" t="str">
        <f t="shared" si="6"/>
        <v/>
      </c>
      <c r="B80" s="68" t="str">
        <f t="shared" si="7"/>
        <v/>
      </c>
      <c r="C80" s="156" t="str">
        <f t="shared" si="11"/>
        <v/>
      </c>
      <c r="D80" s="156" t="str">
        <f t="shared" si="20"/>
        <v/>
      </c>
      <c r="E80" s="162" t="str">
        <f t="shared" si="9"/>
        <v/>
      </c>
      <c r="F80" s="156" t="str">
        <f t="shared" si="10"/>
        <v/>
      </c>
      <c r="G80" s="67"/>
      <c r="AA80" s="2" t="str">
        <f t="shared" si="13"/>
        <v/>
      </c>
      <c r="AC80" s="9" t="str">
        <f t="shared" si="15"/>
        <v/>
      </c>
      <c r="AD80" s="9" t="str">
        <f t="shared" si="12"/>
        <v/>
      </c>
      <c r="AF80" s="2" t="str">
        <f t="shared" si="17"/>
        <v/>
      </c>
      <c r="AG80" s="9" t="str">
        <f t="shared" si="18"/>
        <v/>
      </c>
      <c r="AH80" s="9" t="str">
        <f t="shared" si="19"/>
        <v/>
      </c>
    </row>
    <row r="81" spans="1:34" x14ac:dyDescent="0.25">
      <c r="A81" s="68" t="str">
        <f t="shared" si="6"/>
        <v/>
      </c>
      <c r="B81" s="68" t="str">
        <f t="shared" si="7"/>
        <v/>
      </c>
      <c r="C81" s="156" t="str">
        <f t="shared" si="11"/>
        <v/>
      </c>
      <c r="D81" s="156" t="str">
        <f t="shared" si="20"/>
        <v/>
      </c>
      <c r="E81" s="162" t="str">
        <f t="shared" si="9"/>
        <v/>
      </c>
      <c r="F81" s="156" t="str">
        <f t="shared" si="10"/>
        <v/>
      </c>
      <c r="G81" s="67"/>
      <c r="AA81" s="2" t="str">
        <f t="shared" si="13"/>
        <v/>
      </c>
      <c r="AC81" s="9" t="str">
        <f t="shared" si="15"/>
        <v/>
      </c>
      <c r="AD81" s="9" t="str">
        <f t="shared" si="12"/>
        <v/>
      </c>
      <c r="AF81" s="2" t="str">
        <f t="shared" si="17"/>
        <v/>
      </c>
      <c r="AG81" s="9" t="str">
        <f t="shared" si="18"/>
        <v/>
      </c>
      <c r="AH81" s="9" t="str">
        <f t="shared" si="19"/>
        <v/>
      </c>
    </row>
    <row r="82" spans="1:34" x14ac:dyDescent="0.25">
      <c r="A82" s="68" t="str">
        <f t="shared" si="6"/>
        <v/>
      </c>
      <c r="B82" s="68" t="str">
        <f t="shared" si="7"/>
        <v/>
      </c>
      <c r="C82" s="156" t="str">
        <f t="shared" si="11"/>
        <v/>
      </c>
      <c r="D82" s="156" t="str">
        <f t="shared" si="20"/>
        <v/>
      </c>
      <c r="E82" s="162" t="str">
        <f t="shared" si="9"/>
        <v/>
      </c>
      <c r="F82" s="156" t="str">
        <f t="shared" si="10"/>
        <v/>
      </c>
      <c r="G82" s="67"/>
      <c r="AA82" s="2" t="str">
        <f t="shared" si="13"/>
        <v/>
      </c>
      <c r="AC82" s="9" t="str">
        <f t="shared" si="15"/>
        <v/>
      </c>
      <c r="AD82" s="9" t="str">
        <f t="shared" si="12"/>
        <v/>
      </c>
      <c r="AF82" s="2" t="str">
        <f t="shared" si="17"/>
        <v/>
      </c>
      <c r="AG82" s="9" t="str">
        <f t="shared" si="18"/>
        <v/>
      </c>
      <c r="AH82" s="9" t="str">
        <f t="shared" si="19"/>
        <v/>
      </c>
    </row>
    <row r="83" spans="1:34" x14ac:dyDescent="0.25">
      <c r="A83" s="68" t="str">
        <f t="shared" si="6"/>
        <v/>
      </c>
      <c r="B83" s="68" t="str">
        <f t="shared" si="7"/>
        <v/>
      </c>
      <c r="C83" s="156" t="str">
        <f t="shared" si="11"/>
        <v/>
      </c>
      <c r="D83" s="156" t="str">
        <f t="shared" si="20"/>
        <v/>
      </c>
      <c r="E83" s="162" t="str">
        <f t="shared" si="9"/>
        <v/>
      </c>
      <c r="F83" s="156" t="str">
        <f t="shared" si="10"/>
        <v/>
      </c>
      <c r="G83" s="67"/>
      <c r="AA83" s="2" t="str">
        <f t="shared" si="13"/>
        <v/>
      </c>
      <c r="AC83" s="9" t="str">
        <f t="shared" si="15"/>
        <v/>
      </c>
      <c r="AD83" s="9" t="str">
        <f t="shared" si="12"/>
        <v/>
      </c>
      <c r="AF83" s="2" t="str">
        <f t="shared" si="17"/>
        <v/>
      </c>
      <c r="AG83" s="9" t="str">
        <f t="shared" si="18"/>
        <v/>
      </c>
      <c r="AH83" s="9" t="str">
        <f t="shared" si="19"/>
        <v/>
      </c>
    </row>
    <row r="84" spans="1:34" x14ac:dyDescent="0.25">
      <c r="A84" s="68" t="str">
        <f t="shared" si="6"/>
        <v/>
      </c>
      <c r="B84" s="68" t="str">
        <f t="shared" si="7"/>
        <v/>
      </c>
      <c r="C84" s="156" t="str">
        <f t="shared" si="11"/>
        <v/>
      </c>
      <c r="D84" s="156" t="str">
        <f t="shared" si="20"/>
        <v/>
      </c>
      <c r="E84" s="162" t="str">
        <f t="shared" si="9"/>
        <v/>
      </c>
      <c r="F84" s="156" t="str">
        <f t="shared" si="10"/>
        <v/>
      </c>
      <c r="G84" s="67"/>
      <c r="AA84" s="2" t="str">
        <f t="shared" si="13"/>
        <v/>
      </c>
      <c r="AC84" s="9" t="str">
        <f t="shared" si="15"/>
        <v/>
      </c>
      <c r="AD84" s="9" t="str">
        <f t="shared" si="12"/>
        <v/>
      </c>
      <c r="AF84" s="2" t="str">
        <f t="shared" si="17"/>
        <v/>
      </c>
      <c r="AG84" s="9" t="str">
        <f t="shared" si="18"/>
        <v/>
      </c>
      <c r="AH84" s="9" t="str">
        <f t="shared" si="19"/>
        <v/>
      </c>
    </row>
    <row r="85" spans="1:34" x14ac:dyDescent="0.25">
      <c r="A85" s="68" t="str">
        <f t="shared" si="6"/>
        <v/>
      </c>
      <c r="B85" s="68" t="str">
        <f t="shared" si="7"/>
        <v/>
      </c>
      <c r="C85" s="156" t="str">
        <f t="shared" si="11"/>
        <v/>
      </c>
      <c r="D85" s="156" t="str">
        <f t="shared" si="20"/>
        <v/>
      </c>
      <c r="E85" s="162" t="str">
        <f t="shared" si="9"/>
        <v/>
      </c>
      <c r="F85" s="156" t="str">
        <f t="shared" si="10"/>
        <v/>
      </c>
      <c r="G85" s="67"/>
      <c r="AA85" s="2" t="str">
        <f t="shared" si="13"/>
        <v/>
      </c>
      <c r="AC85" s="9" t="str">
        <f t="shared" si="15"/>
        <v/>
      </c>
      <c r="AD85" s="9" t="str">
        <f t="shared" si="12"/>
        <v/>
      </c>
      <c r="AF85" s="2" t="str">
        <f t="shared" si="17"/>
        <v/>
      </c>
      <c r="AG85" s="9" t="str">
        <f t="shared" si="18"/>
        <v/>
      </c>
      <c r="AH85" s="9" t="str">
        <f t="shared" si="19"/>
        <v/>
      </c>
    </row>
    <row r="86" spans="1:34" x14ac:dyDescent="0.25">
      <c r="A86" s="68" t="str">
        <f t="shared" si="6"/>
        <v/>
      </c>
      <c r="B86" s="68" t="str">
        <f t="shared" si="7"/>
        <v/>
      </c>
      <c r="C86" s="156" t="str">
        <f t="shared" si="11"/>
        <v/>
      </c>
      <c r="D86" s="156" t="str">
        <f t="shared" si="20"/>
        <v/>
      </c>
      <c r="E86" s="162" t="str">
        <f t="shared" si="9"/>
        <v/>
      </c>
      <c r="F86" s="156" t="str">
        <f t="shared" si="10"/>
        <v/>
      </c>
      <c r="G86" s="67"/>
      <c r="AA86" s="2" t="str">
        <f t="shared" si="13"/>
        <v/>
      </c>
      <c r="AC86" s="9" t="str">
        <f t="shared" si="15"/>
        <v/>
      </c>
      <c r="AD86" s="9" t="str">
        <f t="shared" si="12"/>
        <v/>
      </c>
      <c r="AF86" s="2" t="str">
        <f t="shared" si="17"/>
        <v/>
      </c>
      <c r="AG86" s="9" t="str">
        <f t="shared" si="18"/>
        <v/>
      </c>
      <c r="AH86" s="9" t="str">
        <f t="shared" si="19"/>
        <v/>
      </c>
    </row>
    <row r="87" spans="1:34" x14ac:dyDescent="0.25">
      <c r="A87" s="68"/>
      <c r="B87" s="68"/>
      <c r="C87" s="156"/>
      <c r="D87" s="156"/>
      <c r="E87" s="162"/>
      <c r="F87" s="156"/>
      <c r="G87" s="67"/>
      <c r="AA87" s="2" t="str">
        <f t="shared" si="13"/>
        <v/>
      </c>
      <c r="AC87" s="9" t="str">
        <f t="shared" si="15"/>
        <v/>
      </c>
      <c r="AD87" s="9" t="str">
        <f t="shared" si="12"/>
        <v/>
      </c>
      <c r="AF87" s="2" t="str">
        <f t="shared" si="17"/>
        <v/>
      </c>
      <c r="AG87" s="9" t="str">
        <f t="shared" si="18"/>
        <v/>
      </c>
      <c r="AH87" s="9" t="str">
        <f t="shared" si="19"/>
        <v/>
      </c>
    </row>
    <row r="88" spans="1:34" x14ac:dyDescent="0.25">
      <c r="A88" s="68"/>
      <c r="B88" s="68"/>
      <c r="C88" s="156"/>
      <c r="D88" s="156"/>
      <c r="E88" s="162"/>
      <c r="F88" s="156"/>
      <c r="G88" s="67"/>
      <c r="AA88" s="2" t="str">
        <f t="shared" si="13"/>
        <v/>
      </c>
      <c r="AC88" s="9" t="str">
        <f t="shared" si="15"/>
        <v/>
      </c>
      <c r="AD88" s="9" t="str">
        <f t="shared" si="12"/>
        <v/>
      </c>
      <c r="AF88" s="2" t="str">
        <f t="shared" si="17"/>
        <v/>
      </c>
      <c r="AG88" s="9" t="str">
        <f t="shared" si="18"/>
        <v/>
      </c>
      <c r="AH88" s="9" t="str">
        <f t="shared" si="19"/>
        <v/>
      </c>
    </row>
    <row r="89" spans="1:34" x14ac:dyDescent="0.25">
      <c r="A89" s="68"/>
      <c r="B89" s="68"/>
      <c r="C89" s="156"/>
      <c r="D89" s="156"/>
      <c r="E89" s="162"/>
      <c r="F89" s="156"/>
      <c r="G89" s="67"/>
      <c r="AA89" s="2" t="str">
        <f t="shared" si="13"/>
        <v/>
      </c>
      <c r="AC89" s="9" t="str">
        <f t="shared" si="15"/>
        <v/>
      </c>
      <c r="AD89" s="9" t="str">
        <f t="shared" si="12"/>
        <v/>
      </c>
      <c r="AF89" s="2" t="str">
        <f t="shared" si="17"/>
        <v/>
      </c>
      <c r="AG89" s="9" t="str">
        <f t="shared" si="18"/>
        <v/>
      </c>
      <c r="AH89" s="9" t="str">
        <f t="shared" si="19"/>
        <v/>
      </c>
    </row>
    <row r="90" spans="1:34" x14ac:dyDescent="0.25">
      <c r="A90" s="68"/>
      <c r="B90" s="68"/>
      <c r="C90" s="156"/>
      <c r="D90" s="156"/>
      <c r="E90" s="162"/>
      <c r="F90" s="156"/>
      <c r="G90" s="67"/>
      <c r="AA90" s="2" t="str">
        <f t="shared" si="13"/>
        <v/>
      </c>
      <c r="AC90" s="9" t="str">
        <f t="shared" si="15"/>
        <v/>
      </c>
      <c r="AD90" s="9" t="str">
        <f t="shared" si="12"/>
        <v/>
      </c>
      <c r="AF90" s="2" t="str">
        <f t="shared" si="17"/>
        <v/>
      </c>
      <c r="AG90" s="9" t="str">
        <f t="shared" si="18"/>
        <v/>
      </c>
      <c r="AH90" s="9" t="str">
        <f t="shared" si="19"/>
        <v/>
      </c>
    </row>
    <row r="91" spans="1:34" x14ac:dyDescent="0.25">
      <c r="A91" s="68"/>
      <c r="B91" s="68"/>
      <c r="C91" s="156"/>
      <c r="D91" s="156"/>
      <c r="E91" s="162"/>
      <c r="F91" s="156"/>
      <c r="G91" s="67"/>
      <c r="AA91" s="2" t="str">
        <f t="shared" si="13"/>
        <v/>
      </c>
      <c r="AC91" s="9" t="str">
        <f t="shared" si="15"/>
        <v/>
      </c>
      <c r="AD91" s="9" t="str">
        <f t="shared" si="12"/>
        <v/>
      </c>
      <c r="AF91" s="2" t="str">
        <f t="shared" si="17"/>
        <v/>
      </c>
      <c r="AG91" s="9" t="str">
        <f t="shared" si="18"/>
        <v/>
      </c>
      <c r="AH91" s="9" t="str">
        <f t="shared" si="19"/>
        <v/>
      </c>
    </row>
    <row r="92" spans="1:34" x14ac:dyDescent="0.25">
      <c r="A92" s="68"/>
      <c r="B92" s="68"/>
      <c r="C92" s="156"/>
      <c r="D92" s="156"/>
      <c r="E92" s="162"/>
      <c r="F92" s="156"/>
      <c r="G92" s="67"/>
      <c r="AA92" s="2" t="str">
        <f t="shared" si="13"/>
        <v/>
      </c>
      <c r="AC92" s="9" t="str">
        <f t="shared" si="15"/>
        <v/>
      </c>
      <c r="AD92" s="9" t="str">
        <f t="shared" si="12"/>
        <v/>
      </c>
      <c r="AF92" s="2" t="str">
        <f t="shared" si="17"/>
        <v/>
      </c>
      <c r="AG92" s="9" t="str">
        <f t="shared" si="18"/>
        <v/>
      </c>
      <c r="AH92" s="9" t="str">
        <f t="shared" si="19"/>
        <v/>
      </c>
    </row>
    <row r="93" spans="1:34" x14ac:dyDescent="0.25">
      <c r="A93" s="68"/>
      <c r="B93" s="68"/>
      <c r="C93" s="156"/>
      <c r="D93" s="156"/>
      <c r="E93" s="162"/>
      <c r="F93" s="156"/>
      <c r="G93" s="67"/>
      <c r="AA93" s="2" t="str">
        <f t="shared" si="13"/>
        <v/>
      </c>
      <c r="AC93" s="9" t="str">
        <f t="shared" si="15"/>
        <v/>
      </c>
      <c r="AD93" s="9" t="str">
        <f t="shared" si="12"/>
        <v/>
      </c>
      <c r="AF93" s="2" t="str">
        <f t="shared" si="17"/>
        <v/>
      </c>
      <c r="AG93" s="9" t="str">
        <f t="shared" si="18"/>
        <v/>
      </c>
      <c r="AH93" s="9" t="str">
        <f t="shared" si="19"/>
        <v/>
      </c>
    </row>
    <row r="94" spans="1:34" x14ac:dyDescent="0.25">
      <c r="A94" s="68"/>
      <c r="B94" s="68"/>
      <c r="C94" s="156"/>
      <c r="D94" s="156"/>
      <c r="E94" s="162"/>
      <c r="F94" s="156"/>
      <c r="G94" s="67"/>
      <c r="AA94" s="2" t="str">
        <f t="shared" si="13"/>
        <v/>
      </c>
      <c r="AC94" s="9" t="str">
        <f t="shared" si="15"/>
        <v/>
      </c>
      <c r="AD94" s="9" t="str">
        <f t="shared" ref="AD94:AD157" si="21">IF(AA94="","",IF(AA94&lt;=B$16,0,B$15/(B$17-B$16)))</f>
        <v/>
      </c>
      <c r="AF94" s="2" t="str">
        <f t="shared" si="17"/>
        <v/>
      </c>
      <c r="AG94" s="9" t="str">
        <f t="shared" si="18"/>
        <v/>
      </c>
      <c r="AH94" s="9" t="str">
        <f t="shared" si="19"/>
        <v/>
      </c>
    </row>
    <row r="95" spans="1:34" x14ac:dyDescent="0.25">
      <c r="A95" s="68"/>
      <c r="B95" s="68"/>
      <c r="C95" s="156"/>
      <c r="D95" s="156"/>
      <c r="E95" s="162"/>
      <c r="F95" s="156"/>
      <c r="G95" s="67"/>
      <c r="AA95" s="2" t="str">
        <f t="shared" ref="AA95:AA158" si="22">IF(AA94&lt;B$17,AA94+1,"")</f>
        <v/>
      </c>
      <c r="AC95" s="9" t="str">
        <f t="shared" ref="AC95:AC158" si="23">IF(AB95="","",IF(AA95&lt;=B$16,AC94,AC94-AD95))</f>
        <v/>
      </c>
      <c r="AD95" s="9" t="str">
        <f t="shared" si="21"/>
        <v/>
      </c>
      <c r="AF95" s="2" t="str">
        <f t="shared" ref="AF95:AF158" si="24">IF(AE95="","",AB95-AB$29)</f>
        <v/>
      </c>
      <c r="AG95" s="9" t="str">
        <f t="shared" ref="AG95:AG158" si="25">IF(AF95="","",IF(AF95&lt;365,AF95*AC$25*AD95,365*AD95*AC$25))</f>
        <v/>
      </c>
      <c r="AH95" s="9" t="str">
        <f t="shared" ref="AH95:AH158" si="26">IF(AF95="","",IF(AF95&lt;365,AF95*AC$26*AD95,365*AD95*AC$26))</f>
        <v/>
      </c>
    </row>
    <row r="96" spans="1:34" x14ac:dyDescent="0.25">
      <c r="A96" s="68"/>
      <c r="B96" s="68"/>
      <c r="C96" s="156"/>
      <c r="D96" s="156"/>
      <c r="E96" s="162"/>
      <c r="F96" s="156"/>
      <c r="G96" s="67"/>
      <c r="AA96" s="2" t="str">
        <f t="shared" si="22"/>
        <v/>
      </c>
      <c r="AC96" s="9" t="str">
        <f t="shared" si="23"/>
        <v/>
      </c>
      <c r="AD96" s="9" t="str">
        <f t="shared" si="21"/>
        <v/>
      </c>
      <c r="AF96" s="2" t="str">
        <f t="shared" si="24"/>
        <v/>
      </c>
      <c r="AG96" s="9" t="str">
        <f t="shared" si="25"/>
        <v/>
      </c>
      <c r="AH96" s="9" t="str">
        <f t="shared" si="26"/>
        <v/>
      </c>
    </row>
    <row r="97" spans="1:34" x14ac:dyDescent="0.25">
      <c r="A97" s="68"/>
      <c r="B97" s="68"/>
      <c r="C97" s="156"/>
      <c r="D97" s="156"/>
      <c r="E97" s="162"/>
      <c r="F97" s="156"/>
      <c r="G97" s="67"/>
      <c r="AA97" s="2" t="str">
        <f t="shared" si="22"/>
        <v/>
      </c>
      <c r="AC97" s="9" t="str">
        <f t="shared" si="23"/>
        <v/>
      </c>
      <c r="AD97" s="9" t="str">
        <f t="shared" si="21"/>
        <v/>
      </c>
      <c r="AF97" s="2" t="str">
        <f t="shared" si="24"/>
        <v/>
      </c>
      <c r="AG97" s="9" t="str">
        <f t="shared" si="25"/>
        <v/>
      </c>
      <c r="AH97" s="9" t="str">
        <f t="shared" si="26"/>
        <v/>
      </c>
    </row>
    <row r="98" spans="1:34" x14ac:dyDescent="0.25">
      <c r="A98" s="68"/>
      <c r="B98" s="68"/>
      <c r="C98" s="156"/>
      <c r="D98" s="156"/>
      <c r="E98" s="162"/>
      <c r="F98" s="156"/>
      <c r="G98" s="67"/>
      <c r="AA98" s="2" t="str">
        <f t="shared" si="22"/>
        <v/>
      </c>
      <c r="AC98" s="9" t="str">
        <f t="shared" si="23"/>
        <v/>
      </c>
      <c r="AD98" s="9" t="str">
        <f t="shared" si="21"/>
        <v/>
      </c>
      <c r="AF98" s="2" t="str">
        <f t="shared" si="24"/>
        <v/>
      </c>
      <c r="AG98" s="9" t="str">
        <f t="shared" si="25"/>
        <v/>
      </c>
      <c r="AH98" s="9" t="str">
        <f t="shared" si="26"/>
        <v/>
      </c>
    </row>
    <row r="99" spans="1:34" x14ac:dyDescent="0.25">
      <c r="A99" s="68"/>
      <c r="B99" s="68"/>
      <c r="C99" s="156"/>
      <c r="D99" s="156"/>
      <c r="E99" s="162"/>
      <c r="F99" s="156"/>
      <c r="G99" s="67"/>
      <c r="AA99" s="2" t="str">
        <f t="shared" si="22"/>
        <v/>
      </c>
      <c r="AC99" s="9" t="str">
        <f t="shared" si="23"/>
        <v/>
      </c>
      <c r="AD99" s="9" t="str">
        <f t="shared" si="21"/>
        <v/>
      </c>
      <c r="AF99" s="2" t="str">
        <f t="shared" si="24"/>
        <v/>
      </c>
      <c r="AG99" s="9" t="str">
        <f t="shared" si="25"/>
        <v/>
      </c>
      <c r="AH99" s="9" t="str">
        <f t="shared" si="26"/>
        <v/>
      </c>
    </row>
    <row r="100" spans="1:34" x14ac:dyDescent="0.25">
      <c r="A100" s="68"/>
      <c r="B100" s="68"/>
      <c r="C100" s="156"/>
      <c r="D100" s="156"/>
      <c r="E100" s="162"/>
      <c r="F100" s="156"/>
      <c r="G100" s="67"/>
      <c r="AA100" s="2" t="str">
        <f t="shared" si="22"/>
        <v/>
      </c>
      <c r="AC100" s="9" t="str">
        <f t="shared" si="23"/>
        <v/>
      </c>
      <c r="AD100" s="9" t="str">
        <f t="shared" si="21"/>
        <v/>
      </c>
      <c r="AF100" s="2" t="str">
        <f t="shared" si="24"/>
        <v/>
      </c>
      <c r="AG100" s="9" t="str">
        <f t="shared" si="25"/>
        <v/>
      </c>
      <c r="AH100" s="9" t="str">
        <f t="shared" si="26"/>
        <v/>
      </c>
    </row>
    <row r="101" spans="1:34" x14ac:dyDescent="0.25">
      <c r="A101" s="68"/>
      <c r="B101" s="68"/>
      <c r="C101" s="156"/>
      <c r="D101" s="156"/>
      <c r="E101" s="162"/>
      <c r="F101" s="156"/>
      <c r="G101" s="67"/>
      <c r="AA101" s="2" t="str">
        <f t="shared" si="22"/>
        <v/>
      </c>
      <c r="AC101" s="9" t="str">
        <f t="shared" si="23"/>
        <v/>
      </c>
      <c r="AD101" s="9" t="str">
        <f t="shared" si="21"/>
        <v/>
      </c>
      <c r="AF101" s="2" t="str">
        <f t="shared" si="24"/>
        <v/>
      </c>
      <c r="AG101" s="9" t="str">
        <f t="shared" si="25"/>
        <v/>
      </c>
      <c r="AH101" s="9" t="str">
        <f t="shared" si="26"/>
        <v/>
      </c>
    </row>
    <row r="102" spans="1:34" x14ac:dyDescent="0.25">
      <c r="A102" s="68"/>
      <c r="B102" s="68"/>
      <c r="C102" s="156"/>
      <c r="D102" s="156"/>
      <c r="E102" s="162"/>
      <c r="F102" s="156"/>
      <c r="G102" s="67"/>
      <c r="AA102" s="2" t="str">
        <f t="shared" si="22"/>
        <v/>
      </c>
      <c r="AC102" s="9" t="str">
        <f t="shared" si="23"/>
        <v/>
      </c>
      <c r="AD102" s="9" t="str">
        <f t="shared" si="21"/>
        <v/>
      </c>
      <c r="AF102" s="2" t="str">
        <f t="shared" si="24"/>
        <v/>
      </c>
      <c r="AG102" s="9" t="str">
        <f t="shared" si="25"/>
        <v/>
      </c>
      <c r="AH102" s="9" t="str">
        <f t="shared" si="26"/>
        <v/>
      </c>
    </row>
    <row r="103" spans="1:34" x14ac:dyDescent="0.25">
      <c r="A103" s="68"/>
      <c r="B103" s="68"/>
      <c r="C103" s="156"/>
      <c r="D103" s="156"/>
      <c r="E103" s="162"/>
      <c r="F103" s="156"/>
      <c r="G103" s="67"/>
      <c r="AA103" s="2" t="str">
        <f t="shared" si="22"/>
        <v/>
      </c>
      <c r="AC103" s="9" t="str">
        <f t="shared" si="23"/>
        <v/>
      </c>
      <c r="AD103" s="9" t="str">
        <f t="shared" si="21"/>
        <v/>
      </c>
      <c r="AF103" s="2" t="str">
        <f t="shared" si="24"/>
        <v/>
      </c>
      <c r="AG103" s="9" t="str">
        <f t="shared" si="25"/>
        <v/>
      </c>
      <c r="AH103" s="9" t="str">
        <f t="shared" si="26"/>
        <v/>
      </c>
    </row>
    <row r="104" spans="1:34" x14ac:dyDescent="0.25">
      <c r="A104" s="68"/>
      <c r="B104" s="68"/>
      <c r="C104" s="156"/>
      <c r="D104" s="156"/>
      <c r="E104" s="162"/>
      <c r="F104" s="156"/>
      <c r="G104" s="67"/>
      <c r="AA104" s="2" t="str">
        <f t="shared" si="22"/>
        <v/>
      </c>
      <c r="AC104" s="9" t="str">
        <f t="shared" si="23"/>
        <v/>
      </c>
      <c r="AD104" s="9" t="str">
        <f t="shared" si="21"/>
        <v/>
      </c>
      <c r="AF104" s="2" t="str">
        <f t="shared" si="24"/>
        <v/>
      </c>
      <c r="AG104" s="9" t="str">
        <f t="shared" si="25"/>
        <v/>
      </c>
      <c r="AH104" s="9" t="str">
        <f t="shared" si="26"/>
        <v/>
      </c>
    </row>
    <row r="105" spans="1:34" x14ac:dyDescent="0.25">
      <c r="A105" s="68"/>
      <c r="B105" s="68"/>
      <c r="C105" s="156"/>
      <c r="D105" s="156"/>
      <c r="E105" s="162"/>
      <c r="F105" s="156"/>
      <c r="G105" s="67"/>
      <c r="AA105" s="2" t="str">
        <f t="shared" si="22"/>
        <v/>
      </c>
      <c r="AC105" s="9" t="str">
        <f t="shared" si="23"/>
        <v/>
      </c>
      <c r="AD105" s="9" t="str">
        <f t="shared" si="21"/>
        <v/>
      </c>
      <c r="AF105" s="2" t="str">
        <f t="shared" si="24"/>
        <v/>
      </c>
      <c r="AG105" s="9" t="str">
        <f t="shared" si="25"/>
        <v/>
      </c>
      <c r="AH105" s="9" t="str">
        <f t="shared" si="26"/>
        <v/>
      </c>
    </row>
    <row r="106" spans="1:34" x14ac:dyDescent="0.25">
      <c r="A106" s="68"/>
      <c r="B106" s="68"/>
      <c r="C106" s="156"/>
      <c r="D106" s="156"/>
      <c r="E106" s="162"/>
      <c r="F106" s="156"/>
      <c r="G106" s="67"/>
      <c r="AA106" s="2" t="str">
        <f t="shared" si="22"/>
        <v/>
      </c>
      <c r="AC106" s="9" t="str">
        <f t="shared" si="23"/>
        <v/>
      </c>
      <c r="AD106" s="9" t="str">
        <f t="shared" si="21"/>
        <v/>
      </c>
      <c r="AF106" s="2" t="str">
        <f t="shared" si="24"/>
        <v/>
      </c>
      <c r="AG106" s="9" t="str">
        <f t="shared" si="25"/>
        <v/>
      </c>
      <c r="AH106" s="9" t="str">
        <f t="shared" si="26"/>
        <v/>
      </c>
    </row>
    <row r="107" spans="1:34" x14ac:dyDescent="0.25">
      <c r="A107" s="68"/>
      <c r="B107" s="68"/>
      <c r="C107" s="156"/>
      <c r="D107" s="156"/>
      <c r="E107" s="162"/>
      <c r="F107" s="156"/>
      <c r="G107" s="67"/>
      <c r="AA107" s="2" t="str">
        <f t="shared" si="22"/>
        <v/>
      </c>
      <c r="AC107" s="9" t="str">
        <f t="shared" si="23"/>
        <v/>
      </c>
      <c r="AD107" s="9" t="str">
        <f t="shared" si="21"/>
        <v/>
      </c>
      <c r="AF107" s="2" t="str">
        <f t="shared" si="24"/>
        <v/>
      </c>
      <c r="AG107" s="9" t="str">
        <f t="shared" si="25"/>
        <v/>
      </c>
      <c r="AH107" s="9" t="str">
        <f t="shared" si="26"/>
        <v/>
      </c>
    </row>
    <row r="108" spans="1:34" x14ac:dyDescent="0.25">
      <c r="A108" s="68"/>
      <c r="B108" s="68"/>
      <c r="C108" s="156"/>
      <c r="D108" s="156"/>
      <c r="E108" s="162"/>
      <c r="F108" s="156"/>
      <c r="G108" s="67"/>
      <c r="AA108" s="2" t="str">
        <f t="shared" si="22"/>
        <v/>
      </c>
      <c r="AC108" s="9" t="str">
        <f t="shared" si="23"/>
        <v/>
      </c>
      <c r="AD108" s="9" t="str">
        <f t="shared" si="21"/>
        <v/>
      </c>
      <c r="AF108" s="2" t="str">
        <f t="shared" si="24"/>
        <v/>
      </c>
      <c r="AG108" s="9" t="str">
        <f t="shared" si="25"/>
        <v/>
      </c>
      <c r="AH108" s="9" t="str">
        <f t="shared" si="26"/>
        <v/>
      </c>
    </row>
    <row r="109" spans="1:34" x14ac:dyDescent="0.25">
      <c r="A109" s="68"/>
      <c r="B109" s="68"/>
      <c r="C109" s="156"/>
      <c r="D109" s="156"/>
      <c r="E109" s="162"/>
      <c r="F109" s="156"/>
      <c r="G109" s="67"/>
      <c r="AA109" s="2" t="str">
        <f t="shared" si="22"/>
        <v/>
      </c>
      <c r="AC109" s="9" t="str">
        <f t="shared" si="23"/>
        <v/>
      </c>
      <c r="AD109" s="9" t="str">
        <f t="shared" si="21"/>
        <v/>
      </c>
      <c r="AF109" s="2" t="str">
        <f t="shared" si="24"/>
        <v/>
      </c>
      <c r="AG109" s="9" t="str">
        <f t="shared" si="25"/>
        <v/>
      </c>
      <c r="AH109" s="9" t="str">
        <f t="shared" si="26"/>
        <v/>
      </c>
    </row>
    <row r="110" spans="1:34" x14ac:dyDescent="0.25">
      <c r="A110" s="68"/>
      <c r="B110" s="68"/>
      <c r="C110" s="156"/>
      <c r="D110" s="156"/>
      <c r="E110" s="162"/>
      <c r="F110" s="156"/>
      <c r="G110" s="67"/>
      <c r="AA110" s="2" t="str">
        <f t="shared" si="22"/>
        <v/>
      </c>
      <c r="AC110" s="9" t="str">
        <f t="shared" si="23"/>
        <v/>
      </c>
      <c r="AD110" s="9" t="str">
        <f t="shared" si="21"/>
        <v/>
      </c>
      <c r="AF110" s="2" t="str">
        <f t="shared" si="24"/>
        <v/>
      </c>
      <c r="AG110" s="9" t="str">
        <f t="shared" si="25"/>
        <v/>
      </c>
      <c r="AH110" s="9" t="str">
        <f t="shared" si="26"/>
        <v/>
      </c>
    </row>
    <row r="111" spans="1:34" x14ac:dyDescent="0.25">
      <c r="A111" s="68"/>
      <c r="B111" s="68"/>
      <c r="C111" s="156"/>
      <c r="D111" s="156"/>
      <c r="E111" s="162"/>
      <c r="F111" s="156"/>
      <c r="G111" s="67"/>
      <c r="AA111" s="2" t="str">
        <f t="shared" si="22"/>
        <v/>
      </c>
      <c r="AC111" s="9" t="str">
        <f t="shared" si="23"/>
        <v/>
      </c>
      <c r="AD111" s="9" t="str">
        <f t="shared" si="21"/>
        <v/>
      </c>
      <c r="AF111" s="2" t="str">
        <f t="shared" si="24"/>
        <v/>
      </c>
      <c r="AG111" s="9" t="str">
        <f t="shared" si="25"/>
        <v/>
      </c>
      <c r="AH111" s="9" t="str">
        <f t="shared" si="26"/>
        <v/>
      </c>
    </row>
    <row r="112" spans="1:34" x14ac:dyDescent="0.25">
      <c r="A112" s="68"/>
      <c r="B112" s="68"/>
      <c r="C112" s="156"/>
      <c r="D112" s="156"/>
      <c r="E112" s="162"/>
      <c r="F112" s="156"/>
      <c r="G112" s="67"/>
      <c r="AA112" s="2" t="str">
        <f t="shared" si="22"/>
        <v/>
      </c>
      <c r="AC112" s="9" t="str">
        <f t="shared" si="23"/>
        <v/>
      </c>
      <c r="AD112" s="9" t="str">
        <f t="shared" si="21"/>
        <v/>
      </c>
      <c r="AF112" s="2" t="str">
        <f t="shared" si="24"/>
        <v/>
      </c>
      <c r="AG112" s="9" t="str">
        <f t="shared" si="25"/>
        <v/>
      </c>
      <c r="AH112" s="9" t="str">
        <f t="shared" si="26"/>
        <v/>
      </c>
    </row>
    <row r="113" spans="1:34" x14ac:dyDescent="0.25">
      <c r="A113" s="68"/>
      <c r="B113" s="68"/>
      <c r="C113" s="156"/>
      <c r="D113" s="156"/>
      <c r="E113" s="162"/>
      <c r="F113" s="156"/>
      <c r="G113" s="67"/>
      <c r="AA113" s="2" t="str">
        <f t="shared" si="22"/>
        <v/>
      </c>
      <c r="AC113" s="9" t="str">
        <f t="shared" si="23"/>
        <v/>
      </c>
      <c r="AD113" s="9" t="str">
        <f t="shared" si="21"/>
        <v/>
      </c>
      <c r="AF113" s="2" t="str">
        <f t="shared" si="24"/>
        <v/>
      </c>
      <c r="AG113" s="9" t="str">
        <f t="shared" si="25"/>
        <v/>
      </c>
      <c r="AH113" s="9" t="str">
        <f t="shared" si="26"/>
        <v/>
      </c>
    </row>
    <row r="114" spans="1:34" x14ac:dyDescent="0.25">
      <c r="A114" s="68"/>
      <c r="B114" s="68"/>
      <c r="C114" s="156"/>
      <c r="D114" s="156"/>
      <c r="E114" s="162"/>
      <c r="F114" s="156"/>
      <c r="G114" s="67"/>
      <c r="AA114" s="2" t="str">
        <f t="shared" si="22"/>
        <v/>
      </c>
      <c r="AC114" s="9" t="str">
        <f t="shared" si="23"/>
        <v/>
      </c>
      <c r="AD114" s="9" t="str">
        <f t="shared" si="21"/>
        <v/>
      </c>
      <c r="AF114" s="2" t="str">
        <f t="shared" si="24"/>
        <v/>
      </c>
      <c r="AG114" s="9" t="str">
        <f t="shared" si="25"/>
        <v/>
      </c>
      <c r="AH114" s="9" t="str">
        <f t="shared" si="26"/>
        <v/>
      </c>
    </row>
    <row r="115" spans="1:34" x14ac:dyDescent="0.25">
      <c r="A115" s="68"/>
      <c r="B115" s="68"/>
      <c r="C115" s="156"/>
      <c r="D115" s="156"/>
      <c r="E115" s="162"/>
      <c r="F115" s="156"/>
      <c r="G115" s="67"/>
      <c r="AA115" s="2" t="str">
        <f t="shared" si="22"/>
        <v/>
      </c>
      <c r="AC115" s="9" t="str">
        <f t="shared" si="23"/>
        <v/>
      </c>
      <c r="AD115" s="9" t="str">
        <f t="shared" si="21"/>
        <v/>
      </c>
      <c r="AF115" s="2" t="str">
        <f t="shared" si="24"/>
        <v/>
      </c>
      <c r="AG115" s="9" t="str">
        <f t="shared" si="25"/>
        <v/>
      </c>
      <c r="AH115" s="9" t="str">
        <f t="shared" si="26"/>
        <v/>
      </c>
    </row>
    <row r="116" spans="1:34" x14ac:dyDescent="0.25">
      <c r="A116" s="68"/>
      <c r="B116" s="68"/>
      <c r="C116" s="156"/>
      <c r="D116" s="156"/>
      <c r="E116" s="162"/>
      <c r="F116" s="156"/>
      <c r="G116" s="67"/>
      <c r="AA116" s="2" t="str">
        <f t="shared" si="22"/>
        <v/>
      </c>
      <c r="AC116" s="9" t="str">
        <f t="shared" si="23"/>
        <v/>
      </c>
      <c r="AD116" s="9" t="str">
        <f t="shared" si="21"/>
        <v/>
      </c>
      <c r="AF116" s="2" t="str">
        <f t="shared" si="24"/>
        <v/>
      </c>
      <c r="AG116" s="9" t="str">
        <f t="shared" si="25"/>
        <v/>
      </c>
      <c r="AH116" s="9" t="str">
        <f t="shared" si="26"/>
        <v/>
      </c>
    </row>
    <row r="117" spans="1:34" x14ac:dyDescent="0.25">
      <c r="A117" s="68"/>
      <c r="B117" s="68"/>
      <c r="C117" s="156"/>
      <c r="D117" s="156"/>
      <c r="E117" s="162"/>
      <c r="F117" s="156"/>
      <c r="G117" s="67"/>
      <c r="AA117" s="2" t="str">
        <f t="shared" si="22"/>
        <v/>
      </c>
      <c r="AC117" s="9" t="str">
        <f t="shared" si="23"/>
        <v/>
      </c>
      <c r="AD117" s="9" t="str">
        <f t="shared" si="21"/>
        <v/>
      </c>
      <c r="AF117" s="2" t="str">
        <f t="shared" si="24"/>
        <v/>
      </c>
      <c r="AG117" s="9" t="str">
        <f t="shared" si="25"/>
        <v/>
      </c>
      <c r="AH117" s="9" t="str">
        <f t="shared" si="26"/>
        <v/>
      </c>
    </row>
    <row r="118" spans="1:34" x14ac:dyDescent="0.25">
      <c r="A118" s="68"/>
      <c r="B118" s="68"/>
      <c r="C118" s="156"/>
      <c r="D118" s="156"/>
      <c r="E118" s="162"/>
      <c r="F118" s="156"/>
      <c r="G118" s="67"/>
      <c r="AA118" s="2" t="str">
        <f t="shared" si="22"/>
        <v/>
      </c>
      <c r="AC118" s="9" t="str">
        <f t="shared" si="23"/>
        <v/>
      </c>
      <c r="AD118" s="9" t="str">
        <f t="shared" si="21"/>
        <v/>
      </c>
      <c r="AF118" s="2" t="str">
        <f t="shared" si="24"/>
        <v/>
      </c>
      <c r="AG118" s="9" t="str">
        <f t="shared" si="25"/>
        <v/>
      </c>
      <c r="AH118" s="9" t="str">
        <f t="shared" si="26"/>
        <v/>
      </c>
    </row>
    <row r="119" spans="1:34" x14ac:dyDescent="0.25">
      <c r="A119" s="68"/>
      <c r="B119" s="68"/>
      <c r="C119" s="156"/>
      <c r="D119" s="156"/>
      <c r="E119" s="162"/>
      <c r="F119" s="156"/>
      <c r="G119" s="67"/>
      <c r="AA119" s="2" t="str">
        <f t="shared" si="22"/>
        <v/>
      </c>
      <c r="AC119" s="9" t="str">
        <f t="shared" si="23"/>
        <v/>
      </c>
      <c r="AD119" s="9" t="str">
        <f t="shared" si="21"/>
        <v/>
      </c>
      <c r="AF119" s="2" t="str">
        <f t="shared" si="24"/>
        <v/>
      </c>
      <c r="AG119" s="9" t="str">
        <f t="shared" si="25"/>
        <v/>
      </c>
      <c r="AH119" s="9" t="str">
        <f t="shared" si="26"/>
        <v/>
      </c>
    </row>
    <row r="120" spans="1:34" x14ac:dyDescent="0.25">
      <c r="A120" s="68"/>
      <c r="B120" s="68"/>
      <c r="C120" s="156"/>
      <c r="D120" s="156"/>
      <c r="E120" s="162"/>
      <c r="F120" s="156"/>
      <c r="G120" s="67"/>
      <c r="AA120" s="2" t="str">
        <f t="shared" si="22"/>
        <v/>
      </c>
      <c r="AC120" s="9" t="str">
        <f t="shared" si="23"/>
        <v/>
      </c>
      <c r="AD120" s="9" t="str">
        <f t="shared" si="21"/>
        <v/>
      </c>
      <c r="AF120" s="2" t="str">
        <f t="shared" si="24"/>
        <v/>
      </c>
      <c r="AG120" s="9" t="str">
        <f t="shared" si="25"/>
        <v/>
      </c>
      <c r="AH120" s="9" t="str">
        <f t="shared" si="26"/>
        <v/>
      </c>
    </row>
    <row r="121" spans="1:34" x14ac:dyDescent="0.25">
      <c r="A121" s="68"/>
      <c r="B121" s="68"/>
      <c r="C121" s="156"/>
      <c r="D121" s="156"/>
      <c r="E121" s="162"/>
      <c r="F121" s="156"/>
      <c r="G121" s="67"/>
      <c r="AA121" s="2" t="str">
        <f t="shared" si="22"/>
        <v/>
      </c>
      <c r="AC121" s="9" t="str">
        <f t="shared" si="23"/>
        <v/>
      </c>
      <c r="AD121" s="9" t="str">
        <f t="shared" si="21"/>
        <v/>
      </c>
      <c r="AF121" s="2" t="str">
        <f t="shared" si="24"/>
        <v/>
      </c>
      <c r="AG121" s="9" t="str">
        <f t="shared" si="25"/>
        <v/>
      </c>
      <c r="AH121" s="9" t="str">
        <f t="shared" si="26"/>
        <v/>
      </c>
    </row>
    <row r="122" spans="1:34" x14ac:dyDescent="0.25">
      <c r="A122" s="68"/>
      <c r="B122" s="68"/>
      <c r="C122" s="156"/>
      <c r="D122" s="156"/>
      <c r="E122" s="162"/>
      <c r="F122" s="156"/>
      <c r="G122" s="67"/>
      <c r="AA122" s="2" t="str">
        <f t="shared" si="22"/>
        <v/>
      </c>
      <c r="AC122" s="9" t="str">
        <f t="shared" si="23"/>
        <v/>
      </c>
      <c r="AD122" s="9" t="str">
        <f t="shared" si="21"/>
        <v/>
      </c>
      <c r="AF122" s="2" t="str">
        <f t="shared" si="24"/>
        <v/>
      </c>
      <c r="AG122" s="9" t="str">
        <f t="shared" si="25"/>
        <v/>
      </c>
      <c r="AH122" s="9" t="str">
        <f t="shared" si="26"/>
        <v/>
      </c>
    </row>
    <row r="123" spans="1:34" x14ac:dyDescent="0.25">
      <c r="A123" s="68"/>
      <c r="B123" s="68"/>
      <c r="C123" s="156"/>
      <c r="D123" s="156"/>
      <c r="E123" s="162"/>
      <c r="F123" s="156"/>
      <c r="G123" s="67"/>
      <c r="AA123" s="2" t="str">
        <f t="shared" si="22"/>
        <v/>
      </c>
      <c r="AC123" s="9" t="str">
        <f t="shared" si="23"/>
        <v/>
      </c>
      <c r="AD123" s="9" t="str">
        <f t="shared" si="21"/>
        <v/>
      </c>
      <c r="AF123" s="2" t="str">
        <f t="shared" si="24"/>
        <v/>
      </c>
      <c r="AG123" s="9" t="str">
        <f t="shared" si="25"/>
        <v/>
      </c>
      <c r="AH123" s="9" t="str">
        <f t="shared" si="26"/>
        <v/>
      </c>
    </row>
    <row r="124" spans="1:34" x14ac:dyDescent="0.25">
      <c r="A124" s="68"/>
      <c r="B124" s="68"/>
      <c r="C124" s="156"/>
      <c r="D124" s="156"/>
      <c r="E124" s="162"/>
      <c r="F124" s="156"/>
      <c r="G124" s="67"/>
      <c r="AA124" s="2" t="str">
        <f t="shared" si="22"/>
        <v/>
      </c>
      <c r="AC124" s="9" t="str">
        <f t="shared" si="23"/>
        <v/>
      </c>
      <c r="AD124" s="9" t="str">
        <f t="shared" si="21"/>
        <v/>
      </c>
      <c r="AF124" s="2" t="str">
        <f t="shared" si="24"/>
        <v/>
      </c>
      <c r="AG124" s="9" t="str">
        <f t="shared" si="25"/>
        <v/>
      </c>
      <c r="AH124" s="9" t="str">
        <f t="shared" si="26"/>
        <v/>
      </c>
    </row>
    <row r="125" spans="1:34" x14ac:dyDescent="0.25">
      <c r="A125" s="68"/>
      <c r="B125" s="68"/>
      <c r="C125" s="156"/>
      <c r="D125" s="156"/>
      <c r="E125" s="162"/>
      <c r="F125" s="156"/>
      <c r="G125" s="67"/>
      <c r="AA125" s="2" t="str">
        <f t="shared" si="22"/>
        <v/>
      </c>
      <c r="AC125" s="9" t="str">
        <f t="shared" si="23"/>
        <v/>
      </c>
      <c r="AD125" s="9" t="str">
        <f t="shared" si="21"/>
        <v/>
      </c>
      <c r="AF125" s="2" t="str">
        <f t="shared" si="24"/>
        <v/>
      </c>
      <c r="AG125" s="9" t="str">
        <f t="shared" si="25"/>
        <v/>
      </c>
      <c r="AH125" s="9" t="str">
        <f t="shared" si="26"/>
        <v/>
      </c>
    </row>
    <row r="126" spans="1:34" x14ac:dyDescent="0.25">
      <c r="A126" s="68"/>
      <c r="B126" s="68"/>
      <c r="C126" s="156"/>
      <c r="D126" s="156"/>
      <c r="E126" s="162"/>
      <c r="F126" s="156"/>
      <c r="G126" s="67"/>
      <c r="AA126" s="2" t="str">
        <f t="shared" si="22"/>
        <v/>
      </c>
      <c r="AC126" s="9" t="str">
        <f t="shared" si="23"/>
        <v/>
      </c>
      <c r="AD126" s="9" t="str">
        <f t="shared" si="21"/>
        <v/>
      </c>
      <c r="AF126" s="2" t="str">
        <f t="shared" si="24"/>
        <v/>
      </c>
      <c r="AG126" s="9" t="str">
        <f t="shared" si="25"/>
        <v/>
      </c>
      <c r="AH126" s="9" t="str">
        <f t="shared" si="26"/>
        <v/>
      </c>
    </row>
    <row r="127" spans="1:34" x14ac:dyDescent="0.25">
      <c r="A127" s="68"/>
      <c r="B127" s="68"/>
      <c r="C127" s="156"/>
      <c r="D127" s="156"/>
      <c r="E127" s="162"/>
      <c r="F127" s="156"/>
      <c r="G127" s="67"/>
      <c r="AA127" s="2" t="str">
        <f t="shared" si="22"/>
        <v/>
      </c>
      <c r="AC127" s="9" t="str">
        <f t="shared" si="23"/>
        <v/>
      </c>
      <c r="AD127" s="9" t="str">
        <f t="shared" si="21"/>
        <v/>
      </c>
      <c r="AF127" s="2" t="str">
        <f t="shared" si="24"/>
        <v/>
      </c>
      <c r="AG127" s="9" t="str">
        <f t="shared" si="25"/>
        <v/>
      </c>
      <c r="AH127" s="9" t="str">
        <f t="shared" si="26"/>
        <v/>
      </c>
    </row>
    <row r="128" spans="1:34" x14ac:dyDescent="0.25">
      <c r="A128" s="68"/>
      <c r="B128" s="68"/>
      <c r="C128" s="156"/>
      <c r="D128" s="156"/>
      <c r="E128" s="162"/>
      <c r="F128" s="156"/>
      <c r="G128" s="67"/>
      <c r="AA128" s="2" t="str">
        <f t="shared" si="22"/>
        <v/>
      </c>
      <c r="AC128" s="9" t="str">
        <f t="shared" si="23"/>
        <v/>
      </c>
      <c r="AD128" s="9" t="str">
        <f t="shared" si="21"/>
        <v/>
      </c>
      <c r="AF128" s="2" t="str">
        <f t="shared" si="24"/>
        <v/>
      </c>
      <c r="AG128" s="9" t="str">
        <f t="shared" si="25"/>
        <v/>
      </c>
      <c r="AH128" s="9" t="str">
        <f t="shared" si="26"/>
        <v/>
      </c>
    </row>
    <row r="129" spans="1:34" x14ac:dyDescent="0.25">
      <c r="A129" s="68"/>
      <c r="B129" s="68"/>
      <c r="C129" s="156"/>
      <c r="D129" s="156"/>
      <c r="E129" s="162"/>
      <c r="F129" s="156"/>
      <c r="G129" s="67"/>
      <c r="AA129" s="2" t="str">
        <f t="shared" si="22"/>
        <v/>
      </c>
      <c r="AC129" s="9" t="str">
        <f t="shared" si="23"/>
        <v/>
      </c>
      <c r="AD129" s="9" t="str">
        <f t="shared" si="21"/>
        <v/>
      </c>
      <c r="AF129" s="2" t="str">
        <f t="shared" si="24"/>
        <v/>
      </c>
      <c r="AG129" s="9" t="str">
        <f t="shared" si="25"/>
        <v/>
      </c>
      <c r="AH129" s="9" t="str">
        <f t="shared" si="26"/>
        <v/>
      </c>
    </row>
    <row r="130" spans="1:34" x14ac:dyDescent="0.25">
      <c r="A130" s="68"/>
      <c r="B130" s="68"/>
      <c r="C130" s="156"/>
      <c r="D130" s="156"/>
      <c r="E130" s="162"/>
      <c r="F130" s="156"/>
      <c r="G130" s="67"/>
      <c r="AA130" s="2" t="str">
        <f t="shared" si="22"/>
        <v/>
      </c>
      <c r="AC130" s="9" t="str">
        <f t="shared" si="23"/>
        <v/>
      </c>
      <c r="AD130" s="9" t="str">
        <f t="shared" si="21"/>
        <v/>
      </c>
      <c r="AF130" s="2" t="str">
        <f t="shared" si="24"/>
        <v/>
      </c>
      <c r="AG130" s="9" t="str">
        <f t="shared" si="25"/>
        <v/>
      </c>
      <c r="AH130" s="9" t="str">
        <f t="shared" si="26"/>
        <v/>
      </c>
    </row>
    <row r="131" spans="1:34" x14ac:dyDescent="0.25">
      <c r="A131" s="68"/>
      <c r="B131" s="68"/>
      <c r="C131" s="156"/>
      <c r="D131" s="156"/>
      <c r="E131" s="162"/>
      <c r="F131" s="156"/>
      <c r="G131" s="67"/>
      <c r="AA131" s="2" t="str">
        <f t="shared" si="22"/>
        <v/>
      </c>
      <c r="AC131" s="9" t="str">
        <f t="shared" si="23"/>
        <v/>
      </c>
      <c r="AD131" s="9" t="str">
        <f t="shared" si="21"/>
        <v/>
      </c>
      <c r="AF131" s="2" t="str">
        <f t="shared" si="24"/>
        <v/>
      </c>
      <c r="AG131" s="9" t="str">
        <f t="shared" si="25"/>
        <v/>
      </c>
      <c r="AH131" s="9" t="str">
        <f t="shared" si="26"/>
        <v/>
      </c>
    </row>
    <row r="132" spans="1:34" x14ac:dyDescent="0.25">
      <c r="A132" s="68"/>
      <c r="B132" s="68"/>
      <c r="C132" s="156"/>
      <c r="D132" s="156"/>
      <c r="E132" s="162"/>
      <c r="F132" s="156"/>
      <c r="G132" s="67"/>
      <c r="AA132" s="2" t="str">
        <f t="shared" si="22"/>
        <v/>
      </c>
      <c r="AC132" s="9" t="str">
        <f t="shared" si="23"/>
        <v/>
      </c>
      <c r="AD132" s="9" t="str">
        <f t="shared" si="21"/>
        <v/>
      </c>
      <c r="AF132" s="2" t="str">
        <f t="shared" si="24"/>
        <v/>
      </c>
      <c r="AG132" s="9" t="str">
        <f t="shared" si="25"/>
        <v/>
      </c>
      <c r="AH132" s="9" t="str">
        <f t="shared" si="26"/>
        <v/>
      </c>
    </row>
    <row r="133" spans="1:34" x14ac:dyDescent="0.25">
      <c r="A133" s="68"/>
      <c r="B133" s="68"/>
      <c r="C133" s="156"/>
      <c r="D133" s="156"/>
      <c r="E133" s="162"/>
      <c r="F133" s="156"/>
      <c r="G133" s="67"/>
      <c r="AA133" s="2" t="str">
        <f t="shared" si="22"/>
        <v/>
      </c>
      <c r="AC133" s="9" t="str">
        <f t="shared" si="23"/>
        <v/>
      </c>
      <c r="AD133" s="9" t="str">
        <f t="shared" si="21"/>
        <v/>
      </c>
      <c r="AF133" s="2" t="str">
        <f t="shared" si="24"/>
        <v/>
      </c>
      <c r="AG133" s="9" t="str">
        <f t="shared" si="25"/>
        <v/>
      </c>
      <c r="AH133" s="9" t="str">
        <f t="shared" si="26"/>
        <v/>
      </c>
    </row>
    <row r="134" spans="1:34" x14ac:dyDescent="0.25">
      <c r="A134" s="68"/>
      <c r="B134" s="68"/>
      <c r="C134" s="156"/>
      <c r="D134" s="156"/>
      <c r="E134" s="162"/>
      <c r="F134" s="156"/>
      <c r="G134" s="67"/>
      <c r="AA134" s="2" t="str">
        <f t="shared" si="22"/>
        <v/>
      </c>
      <c r="AC134" s="9" t="str">
        <f t="shared" si="23"/>
        <v/>
      </c>
      <c r="AD134" s="9" t="str">
        <f t="shared" si="21"/>
        <v/>
      </c>
      <c r="AF134" s="2" t="str">
        <f t="shared" si="24"/>
        <v/>
      </c>
      <c r="AG134" s="9" t="str">
        <f t="shared" si="25"/>
        <v/>
      </c>
      <c r="AH134" s="9" t="str">
        <f t="shared" si="26"/>
        <v/>
      </c>
    </row>
    <row r="135" spans="1:34" x14ac:dyDescent="0.25">
      <c r="A135" s="68"/>
      <c r="B135" s="68"/>
      <c r="C135" s="156"/>
      <c r="D135" s="156"/>
      <c r="E135" s="162"/>
      <c r="F135" s="156"/>
      <c r="G135" s="67"/>
      <c r="AA135" s="2" t="str">
        <f t="shared" si="22"/>
        <v/>
      </c>
      <c r="AC135" s="9" t="str">
        <f t="shared" si="23"/>
        <v/>
      </c>
      <c r="AD135" s="9" t="str">
        <f t="shared" si="21"/>
        <v/>
      </c>
      <c r="AF135" s="2" t="str">
        <f t="shared" si="24"/>
        <v/>
      </c>
      <c r="AG135" s="9" t="str">
        <f t="shared" si="25"/>
        <v/>
      </c>
      <c r="AH135" s="9" t="str">
        <f t="shared" si="26"/>
        <v/>
      </c>
    </row>
    <row r="136" spans="1:34" x14ac:dyDescent="0.25">
      <c r="A136" s="68"/>
      <c r="B136" s="68"/>
      <c r="C136" s="156"/>
      <c r="D136" s="156"/>
      <c r="E136" s="162"/>
      <c r="F136" s="156"/>
      <c r="G136" s="67"/>
      <c r="AA136" s="2" t="str">
        <f t="shared" si="22"/>
        <v/>
      </c>
      <c r="AC136" s="9" t="str">
        <f t="shared" si="23"/>
        <v/>
      </c>
      <c r="AD136" s="9" t="str">
        <f t="shared" si="21"/>
        <v/>
      </c>
      <c r="AF136" s="2" t="str">
        <f t="shared" si="24"/>
        <v/>
      </c>
      <c r="AG136" s="9" t="str">
        <f t="shared" si="25"/>
        <v/>
      </c>
      <c r="AH136" s="9" t="str">
        <f t="shared" si="26"/>
        <v/>
      </c>
    </row>
    <row r="137" spans="1:34" x14ac:dyDescent="0.25">
      <c r="A137" s="68"/>
      <c r="B137" s="68"/>
      <c r="C137" s="156"/>
      <c r="D137" s="156"/>
      <c r="E137" s="162"/>
      <c r="F137" s="156"/>
      <c r="G137" s="67"/>
      <c r="AA137" s="2" t="str">
        <f t="shared" si="22"/>
        <v/>
      </c>
      <c r="AC137" s="9" t="str">
        <f t="shared" si="23"/>
        <v/>
      </c>
      <c r="AD137" s="9" t="str">
        <f t="shared" si="21"/>
        <v/>
      </c>
      <c r="AF137" s="2" t="str">
        <f t="shared" si="24"/>
        <v/>
      </c>
      <c r="AG137" s="9" t="str">
        <f t="shared" si="25"/>
        <v/>
      </c>
      <c r="AH137" s="9" t="str">
        <f t="shared" si="26"/>
        <v/>
      </c>
    </row>
    <row r="138" spans="1:34" x14ac:dyDescent="0.25">
      <c r="A138" s="68"/>
      <c r="B138" s="68"/>
      <c r="C138" s="156"/>
      <c r="D138" s="156"/>
      <c r="E138" s="162"/>
      <c r="F138" s="156"/>
      <c r="G138" s="67"/>
      <c r="AA138" s="2" t="str">
        <f t="shared" si="22"/>
        <v/>
      </c>
      <c r="AC138" s="9" t="str">
        <f t="shared" si="23"/>
        <v/>
      </c>
      <c r="AD138" s="9" t="str">
        <f t="shared" si="21"/>
        <v/>
      </c>
      <c r="AF138" s="2" t="str">
        <f t="shared" si="24"/>
        <v/>
      </c>
      <c r="AG138" s="9" t="str">
        <f t="shared" si="25"/>
        <v/>
      </c>
      <c r="AH138" s="9" t="str">
        <f t="shared" si="26"/>
        <v/>
      </c>
    </row>
    <row r="139" spans="1:34" x14ac:dyDescent="0.25">
      <c r="A139" s="68"/>
      <c r="B139" s="68"/>
      <c r="C139" s="156"/>
      <c r="D139" s="156"/>
      <c r="E139" s="162"/>
      <c r="F139" s="156"/>
      <c r="G139" s="67"/>
      <c r="AA139" s="2" t="str">
        <f t="shared" si="22"/>
        <v/>
      </c>
      <c r="AC139" s="9" t="str">
        <f t="shared" si="23"/>
        <v/>
      </c>
      <c r="AD139" s="9" t="str">
        <f t="shared" si="21"/>
        <v/>
      </c>
      <c r="AF139" s="2" t="str">
        <f t="shared" si="24"/>
        <v/>
      </c>
      <c r="AG139" s="9" t="str">
        <f t="shared" si="25"/>
        <v/>
      </c>
      <c r="AH139" s="9" t="str">
        <f t="shared" si="26"/>
        <v/>
      </c>
    </row>
    <row r="140" spans="1:34" x14ac:dyDescent="0.25">
      <c r="A140" s="68"/>
      <c r="B140" s="68"/>
      <c r="C140" s="156"/>
      <c r="D140" s="156"/>
      <c r="E140" s="162"/>
      <c r="F140" s="156"/>
      <c r="G140" s="67"/>
      <c r="AA140" s="2" t="str">
        <f t="shared" si="22"/>
        <v/>
      </c>
      <c r="AC140" s="9" t="str">
        <f t="shared" si="23"/>
        <v/>
      </c>
      <c r="AD140" s="9" t="str">
        <f t="shared" si="21"/>
        <v/>
      </c>
      <c r="AF140" s="2" t="str">
        <f t="shared" si="24"/>
        <v/>
      </c>
      <c r="AG140" s="9" t="str">
        <f t="shared" si="25"/>
        <v/>
      </c>
      <c r="AH140" s="9" t="str">
        <f t="shared" si="26"/>
        <v/>
      </c>
    </row>
    <row r="141" spans="1:34" x14ac:dyDescent="0.25">
      <c r="A141" s="68"/>
      <c r="B141" s="68"/>
      <c r="C141" s="156"/>
      <c r="D141" s="156"/>
      <c r="E141" s="162"/>
      <c r="F141" s="156"/>
      <c r="G141" s="67"/>
      <c r="AA141" s="2" t="str">
        <f t="shared" si="22"/>
        <v/>
      </c>
      <c r="AC141" s="9" t="str">
        <f t="shared" si="23"/>
        <v/>
      </c>
      <c r="AD141" s="9" t="str">
        <f t="shared" si="21"/>
        <v/>
      </c>
      <c r="AF141" s="2" t="str">
        <f t="shared" si="24"/>
        <v/>
      </c>
      <c r="AG141" s="9" t="str">
        <f t="shared" si="25"/>
        <v/>
      </c>
      <c r="AH141" s="9" t="str">
        <f t="shared" si="26"/>
        <v/>
      </c>
    </row>
    <row r="142" spans="1:34" x14ac:dyDescent="0.25">
      <c r="A142" s="68"/>
      <c r="B142" s="68"/>
      <c r="C142" s="156"/>
      <c r="D142" s="156"/>
      <c r="E142" s="162"/>
      <c r="F142" s="156"/>
      <c r="G142" s="67"/>
      <c r="AA142" s="2" t="str">
        <f t="shared" si="22"/>
        <v/>
      </c>
      <c r="AC142" s="9" t="str">
        <f t="shared" si="23"/>
        <v/>
      </c>
      <c r="AD142" s="9" t="str">
        <f t="shared" si="21"/>
        <v/>
      </c>
      <c r="AF142" s="2" t="str">
        <f t="shared" si="24"/>
        <v/>
      </c>
      <c r="AG142" s="9" t="str">
        <f t="shared" si="25"/>
        <v/>
      </c>
      <c r="AH142" s="9" t="str">
        <f t="shared" si="26"/>
        <v/>
      </c>
    </row>
    <row r="143" spans="1:34" x14ac:dyDescent="0.25">
      <c r="A143" s="68"/>
      <c r="B143" s="68"/>
      <c r="C143" s="156"/>
      <c r="D143" s="156"/>
      <c r="E143" s="162"/>
      <c r="F143" s="156"/>
      <c r="G143" s="67"/>
      <c r="AA143" s="2" t="str">
        <f t="shared" si="22"/>
        <v/>
      </c>
      <c r="AC143" s="9" t="str">
        <f t="shared" si="23"/>
        <v/>
      </c>
      <c r="AD143" s="9" t="str">
        <f t="shared" si="21"/>
        <v/>
      </c>
      <c r="AF143" s="2" t="str">
        <f t="shared" si="24"/>
        <v/>
      </c>
      <c r="AG143" s="9" t="str">
        <f t="shared" si="25"/>
        <v/>
      </c>
      <c r="AH143" s="9" t="str">
        <f t="shared" si="26"/>
        <v/>
      </c>
    </row>
    <row r="144" spans="1:34" x14ac:dyDescent="0.25">
      <c r="A144" s="68"/>
      <c r="B144" s="68"/>
      <c r="C144" s="156"/>
      <c r="D144" s="156"/>
      <c r="E144" s="162"/>
      <c r="F144" s="156"/>
      <c r="G144" s="67"/>
      <c r="AA144" s="2" t="str">
        <f t="shared" si="22"/>
        <v/>
      </c>
      <c r="AC144" s="9" t="str">
        <f t="shared" si="23"/>
        <v/>
      </c>
      <c r="AD144" s="9" t="str">
        <f t="shared" si="21"/>
        <v/>
      </c>
      <c r="AF144" s="2" t="str">
        <f t="shared" si="24"/>
        <v/>
      </c>
      <c r="AG144" s="9" t="str">
        <f t="shared" si="25"/>
        <v/>
      </c>
      <c r="AH144" s="9" t="str">
        <f t="shared" si="26"/>
        <v/>
      </c>
    </row>
    <row r="145" spans="1:34" x14ac:dyDescent="0.25">
      <c r="A145" s="68"/>
      <c r="B145" s="68"/>
      <c r="C145" s="156"/>
      <c r="D145" s="156"/>
      <c r="E145" s="162"/>
      <c r="F145" s="156"/>
      <c r="G145" s="67"/>
      <c r="AA145" s="2" t="str">
        <f t="shared" si="22"/>
        <v/>
      </c>
      <c r="AC145" s="9" t="str">
        <f t="shared" si="23"/>
        <v/>
      </c>
      <c r="AD145" s="9" t="str">
        <f t="shared" si="21"/>
        <v/>
      </c>
      <c r="AF145" s="2" t="str">
        <f t="shared" si="24"/>
        <v/>
      </c>
      <c r="AG145" s="9" t="str">
        <f t="shared" si="25"/>
        <v/>
      </c>
      <c r="AH145" s="9" t="str">
        <f t="shared" si="26"/>
        <v/>
      </c>
    </row>
    <row r="146" spans="1:34" x14ac:dyDescent="0.25">
      <c r="A146" s="68"/>
      <c r="B146" s="68"/>
      <c r="C146" s="156"/>
      <c r="D146" s="156"/>
      <c r="E146" s="162"/>
      <c r="F146" s="156"/>
      <c r="G146" s="67"/>
      <c r="AA146" s="2" t="str">
        <f t="shared" si="22"/>
        <v/>
      </c>
      <c r="AC146" s="9" t="str">
        <f t="shared" si="23"/>
        <v/>
      </c>
      <c r="AD146" s="9" t="str">
        <f t="shared" si="21"/>
        <v/>
      </c>
      <c r="AF146" s="2" t="str">
        <f t="shared" si="24"/>
        <v/>
      </c>
      <c r="AG146" s="9" t="str">
        <f t="shared" si="25"/>
        <v/>
      </c>
      <c r="AH146" s="9" t="str">
        <f t="shared" si="26"/>
        <v/>
      </c>
    </row>
    <row r="147" spans="1:34" x14ac:dyDescent="0.25">
      <c r="A147" s="68"/>
      <c r="B147" s="68"/>
      <c r="C147" s="156"/>
      <c r="D147" s="156"/>
      <c r="E147" s="162"/>
      <c r="F147" s="156"/>
      <c r="G147" s="67"/>
      <c r="AA147" s="2" t="str">
        <f t="shared" si="22"/>
        <v/>
      </c>
      <c r="AC147" s="9" t="str">
        <f t="shared" si="23"/>
        <v/>
      </c>
      <c r="AD147" s="9" t="str">
        <f t="shared" si="21"/>
        <v/>
      </c>
      <c r="AF147" s="2" t="str">
        <f t="shared" si="24"/>
        <v/>
      </c>
      <c r="AG147" s="9" t="str">
        <f t="shared" si="25"/>
        <v/>
      </c>
      <c r="AH147" s="9" t="str">
        <f t="shared" si="26"/>
        <v/>
      </c>
    </row>
    <row r="148" spans="1:34" x14ac:dyDescent="0.25">
      <c r="A148" s="68"/>
      <c r="B148" s="68"/>
      <c r="C148" s="156"/>
      <c r="D148" s="156"/>
      <c r="E148" s="162"/>
      <c r="F148" s="156"/>
      <c r="G148" s="67"/>
      <c r="AA148" s="2" t="str">
        <f t="shared" si="22"/>
        <v/>
      </c>
      <c r="AC148" s="9" t="str">
        <f t="shared" si="23"/>
        <v/>
      </c>
      <c r="AD148" s="9" t="str">
        <f t="shared" si="21"/>
        <v/>
      </c>
      <c r="AF148" s="2" t="str">
        <f t="shared" si="24"/>
        <v/>
      </c>
      <c r="AG148" s="9" t="str">
        <f t="shared" si="25"/>
        <v/>
      </c>
      <c r="AH148" s="9" t="str">
        <f t="shared" si="26"/>
        <v/>
      </c>
    </row>
    <row r="149" spans="1:34" x14ac:dyDescent="0.25">
      <c r="A149" s="68"/>
      <c r="B149" s="68"/>
      <c r="C149" s="156"/>
      <c r="D149" s="156"/>
      <c r="E149" s="162"/>
      <c r="F149" s="156"/>
      <c r="G149" s="67"/>
      <c r="AA149" s="2" t="str">
        <f t="shared" si="22"/>
        <v/>
      </c>
      <c r="AC149" s="9" t="str">
        <f t="shared" si="23"/>
        <v/>
      </c>
      <c r="AD149" s="9" t="str">
        <f t="shared" si="21"/>
        <v/>
      </c>
      <c r="AF149" s="2" t="str">
        <f t="shared" si="24"/>
        <v/>
      </c>
      <c r="AG149" s="9" t="str">
        <f t="shared" si="25"/>
        <v/>
      </c>
      <c r="AH149" s="9" t="str">
        <f t="shared" si="26"/>
        <v/>
      </c>
    </row>
    <row r="150" spans="1:34" x14ac:dyDescent="0.25">
      <c r="A150" s="68"/>
      <c r="B150" s="68"/>
      <c r="C150" s="156"/>
      <c r="D150" s="156"/>
      <c r="E150" s="162"/>
      <c r="F150" s="156"/>
      <c r="G150" s="67"/>
      <c r="AA150" s="2" t="str">
        <f t="shared" si="22"/>
        <v/>
      </c>
      <c r="AC150" s="9" t="str">
        <f t="shared" si="23"/>
        <v/>
      </c>
      <c r="AD150" s="9" t="str">
        <f t="shared" si="21"/>
        <v/>
      </c>
      <c r="AF150" s="2" t="str">
        <f t="shared" si="24"/>
        <v/>
      </c>
      <c r="AG150" s="9" t="str">
        <f t="shared" si="25"/>
        <v/>
      </c>
      <c r="AH150" s="9" t="str">
        <f t="shared" si="26"/>
        <v/>
      </c>
    </row>
    <row r="151" spans="1:34" x14ac:dyDescent="0.25">
      <c r="A151" s="68"/>
      <c r="B151" s="68"/>
      <c r="C151" s="156"/>
      <c r="D151" s="156"/>
      <c r="E151" s="162"/>
      <c r="F151" s="156"/>
      <c r="G151" s="67"/>
      <c r="AA151" s="2" t="str">
        <f t="shared" si="22"/>
        <v/>
      </c>
      <c r="AC151" s="9" t="str">
        <f t="shared" si="23"/>
        <v/>
      </c>
      <c r="AD151" s="9" t="str">
        <f t="shared" si="21"/>
        <v/>
      </c>
      <c r="AF151" s="2" t="str">
        <f t="shared" si="24"/>
        <v/>
      </c>
      <c r="AG151" s="9" t="str">
        <f t="shared" si="25"/>
        <v/>
      </c>
      <c r="AH151" s="9" t="str">
        <f t="shared" si="26"/>
        <v/>
      </c>
    </row>
    <row r="152" spans="1:34" x14ac:dyDescent="0.25">
      <c r="A152" s="68"/>
      <c r="B152" s="68"/>
      <c r="C152" s="156"/>
      <c r="D152" s="156"/>
      <c r="E152" s="162"/>
      <c r="F152" s="156"/>
      <c r="G152" s="67"/>
      <c r="AA152" s="2" t="str">
        <f t="shared" si="22"/>
        <v/>
      </c>
      <c r="AC152" s="9" t="str">
        <f t="shared" si="23"/>
        <v/>
      </c>
      <c r="AD152" s="9" t="str">
        <f t="shared" si="21"/>
        <v/>
      </c>
      <c r="AF152" s="2" t="str">
        <f t="shared" si="24"/>
        <v/>
      </c>
      <c r="AG152" s="9" t="str">
        <f t="shared" si="25"/>
        <v/>
      </c>
      <c r="AH152" s="9" t="str">
        <f t="shared" si="26"/>
        <v/>
      </c>
    </row>
    <row r="153" spans="1:34" x14ac:dyDescent="0.25">
      <c r="A153" s="68"/>
      <c r="B153" s="68"/>
      <c r="C153" s="156"/>
      <c r="D153" s="156"/>
      <c r="E153" s="162"/>
      <c r="F153" s="156"/>
      <c r="G153" s="67"/>
      <c r="AA153" s="2" t="str">
        <f t="shared" si="22"/>
        <v/>
      </c>
      <c r="AC153" s="9" t="str">
        <f t="shared" si="23"/>
        <v/>
      </c>
      <c r="AD153" s="9" t="str">
        <f t="shared" si="21"/>
        <v/>
      </c>
      <c r="AF153" s="2" t="str">
        <f t="shared" si="24"/>
        <v/>
      </c>
      <c r="AG153" s="9" t="str">
        <f t="shared" si="25"/>
        <v/>
      </c>
      <c r="AH153" s="9" t="str">
        <f t="shared" si="26"/>
        <v/>
      </c>
    </row>
    <row r="154" spans="1:34" x14ac:dyDescent="0.25">
      <c r="A154" s="68"/>
      <c r="B154" s="68"/>
      <c r="C154" s="156"/>
      <c r="D154" s="156"/>
      <c r="E154" s="162"/>
      <c r="F154" s="156"/>
      <c r="G154" s="67"/>
      <c r="AA154" s="2" t="str">
        <f t="shared" si="22"/>
        <v/>
      </c>
      <c r="AC154" s="9" t="str">
        <f t="shared" si="23"/>
        <v/>
      </c>
      <c r="AD154" s="9" t="str">
        <f t="shared" si="21"/>
        <v/>
      </c>
      <c r="AF154" s="2" t="str">
        <f t="shared" si="24"/>
        <v/>
      </c>
      <c r="AG154" s="9" t="str">
        <f t="shared" si="25"/>
        <v/>
      </c>
      <c r="AH154" s="9" t="str">
        <f t="shared" si="26"/>
        <v/>
      </c>
    </row>
    <row r="155" spans="1:34" x14ac:dyDescent="0.25">
      <c r="A155" s="68"/>
      <c r="B155" s="68"/>
      <c r="C155" s="156"/>
      <c r="D155" s="156"/>
      <c r="E155" s="162"/>
      <c r="F155" s="156"/>
      <c r="G155" s="67"/>
      <c r="AA155" s="2" t="str">
        <f t="shared" si="22"/>
        <v/>
      </c>
      <c r="AC155" s="9" t="str">
        <f t="shared" si="23"/>
        <v/>
      </c>
      <c r="AD155" s="9" t="str">
        <f t="shared" si="21"/>
        <v/>
      </c>
      <c r="AF155" s="2" t="str">
        <f t="shared" si="24"/>
        <v/>
      </c>
      <c r="AG155" s="9" t="str">
        <f t="shared" si="25"/>
        <v/>
      </c>
      <c r="AH155" s="9" t="str">
        <f t="shared" si="26"/>
        <v/>
      </c>
    </row>
    <row r="156" spans="1:34" x14ac:dyDescent="0.25">
      <c r="A156" s="68"/>
      <c r="B156" s="68"/>
      <c r="C156" s="156"/>
      <c r="D156" s="156"/>
      <c r="E156" s="162"/>
      <c r="F156" s="156"/>
      <c r="G156" s="67"/>
      <c r="AA156" s="2" t="str">
        <f t="shared" si="22"/>
        <v/>
      </c>
      <c r="AC156" s="9" t="str">
        <f t="shared" si="23"/>
        <v/>
      </c>
      <c r="AD156" s="9" t="str">
        <f t="shared" si="21"/>
        <v/>
      </c>
      <c r="AF156" s="2" t="str">
        <f t="shared" si="24"/>
        <v/>
      </c>
      <c r="AG156" s="9" t="str">
        <f t="shared" si="25"/>
        <v/>
      </c>
      <c r="AH156" s="9" t="str">
        <f t="shared" si="26"/>
        <v/>
      </c>
    </row>
    <row r="157" spans="1:34" x14ac:dyDescent="0.25">
      <c r="A157" s="68"/>
      <c r="B157" s="68"/>
      <c r="C157" s="156"/>
      <c r="D157" s="156"/>
      <c r="E157" s="162"/>
      <c r="F157" s="156"/>
      <c r="G157" s="67"/>
      <c r="AA157" s="2" t="str">
        <f t="shared" si="22"/>
        <v/>
      </c>
      <c r="AC157" s="9" t="str">
        <f t="shared" si="23"/>
        <v/>
      </c>
      <c r="AD157" s="9" t="str">
        <f t="shared" si="21"/>
        <v/>
      </c>
      <c r="AF157" s="2" t="str">
        <f t="shared" si="24"/>
        <v/>
      </c>
      <c r="AG157" s="9" t="str">
        <f t="shared" si="25"/>
        <v/>
      </c>
      <c r="AH157" s="9" t="str">
        <f t="shared" si="26"/>
        <v/>
      </c>
    </row>
    <row r="158" spans="1:34" x14ac:dyDescent="0.25">
      <c r="A158" s="68"/>
      <c r="B158" s="68"/>
      <c r="C158" s="156"/>
      <c r="D158" s="156"/>
      <c r="E158" s="162"/>
      <c r="F158" s="156"/>
      <c r="G158" s="67"/>
      <c r="AA158" s="2" t="str">
        <f t="shared" si="22"/>
        <v/>
      </c>
      <c r="AC158" s="9" t="str">
        <f t="shared" si="23"/>
        <v/>
      </c>
      <c r="AD158" s="9" t="str">
        <f t="shared" ref="AD158:AD221" si="27">IF(AA158="","",IF(AA158&lt;=B$16,0,B$15/(B$17-B$16)))</f>
        <v/>
      </c>
      <c r="AF158" s="2" t="str">
        <f t="shared" si="24"/>
        <v/>
      </c>
      <c r="AG158" s="9" t="str">
        <f t="shared" si="25"/>
        <v/>
      </c>
      <c r="AH158" s="9" t="str">
        <f t="shared" si="26"/>
        <v/>
      </c>
    </row>
    <row r="159" spans="1:34" x14ac:dyDescent="0.25">
      <c r="A159" s="68"/>
      <c r="B159" s="68"/>
      <c r="C159" s="156"/>
      <c r="D159" s="156"/>
      <c r="E159" s="162"/>
      <c r="F159" s="156"/>
      <c r="G159" s="67"/>
      <c r="AA159" s="2" t="str">
        <f t="shared" ref="AA159:AA222" si="28">IF(AA158&lt;B$17,AA158+1,"")</f>
        <v/>
      </c>
      <c r="AC159" s="9" t="str">
        <f t="shared" ref="AC159:AC222" si="29">IF(AB159="","",IF(AA159&lt;=B$16,AC158,AC158-AD159))</f>
        <v/>
      </c>
      <c r="AD159" s="9" t="str">
        <f t="shared" si="27"/>
        <v/>
      </c>
      <c r="AF159" s="2" t="str">
        <f t="shared" ref="AF159:AF180" si="30">IF(AE159="","",AB159-AB$29)</f>
        <v/>
      </c>
      <c r="AG159" s="9" t="str">
        <f t="shared" ref="AG159:AG222" si="31">IF(AF159="","",IF(AF159&lt;365,AF159*AC$25*AD159,365*AD159*AC$25))</f>
        <v/>
      </c>
      <c r="AH159" s="9" t="str">
        <f t="shared" ref="AH159:AH222" si="32">IF(AF159="","",IF(AF159&lt;365,AF159*AC$26*AD159,365*AD159*AC$26))</f>
        <v/>
      </c>
    </row>
    <row r="160" spans="1:34" x14ac:dyDescent="0.25">
      <c r="A160" s="68"/>
      <c r="B160" s="68"/>
      <c r="C160" s="156"/>
      <c r="D160" s="156"/>
      <c r="E160" s="162"/>
      <c r="F160" s="156"/>
      <c r="G160" s="67"/>
      <c r="AA160" s="2" t="str">
        <f t="shared" si="28"/>
        <v/>
      </c>
      <c r="AC160" s="9" t="str">
        <f t="shared" si="29"/>
        <v/>
      </c>
      <c r="AD160" s="9" t="str">
        <f t="shared" si="27"/>
        <v/>
      </c>
      <c r="AF160" s="2" t="str">
        <f t="shared" si="30"/>
        <v/>
      </c>
      <c r="AG160" s="9" t="str">
        <f t="shared" si="31"/>
        <v/>
      </c>
      <c r="AH160" s="9" t="str">
        <f t="shared" si="32"/>
        <v/>
      </c>
    </row>
    <row r="161" spans="1:34" x14ac:dyDescent="0.25">
      <c r="A161" s="68"/>
      <c r="B161" s="68"/>
      <c r="C161" s="156"/>
      <c r="D161" s="156"/>
      <c r="E161" s="162"/>
      <c r="F161" s="156"/>
      <c r="G161" s="67"/>
      <c r="AA161" s="2" t="str">
        <f t="shared" si="28"/>
        <v/>
      </c>
      <c r="AC161" s="9" t="str">
        <f t="shared" si="29"/>
        <v/>
      </c>
      <c r="AD161" s="9" t="str">
        <f t="shared" si="27"/>
        <v/>
      </c>
      <c r="AF161" s="2" t="str">
        <f t="shared" si="30"/>
        <v/>
      </c>
      <c r="AG161" s="9" t="str">
        <f t="shared" si="31"/>
        <v/>
      </c>
      <c r="AH161" s="9" t="str">
        <f t="shared" si="32"/>
        <v/>
      </c>
    </row>
    <row r="162" spans="1:34" x14ac:dyDescent="0.25">
      <c r="A162" s="68"/>
      <c r="B162" s="68"/>
      <c r="C162" s="65"/>
      <c r="D162" s="65"/>
      <c r="E162" s="66"/>
      <c r="F162" s="65"/>
      <c r="G162" s="67"/>
      <c r="AA162" s="2" t="str">
        <f t="shared" si="28"/>
        <v/>
      </c>
      <c r="AC162" s="9" t="str">
        <f t="shared" si="29"/>
        <v/>
      </c>
      <c r="AD162" s="9" t="str">
        <f t="shared" si="27"/>
        <v/>
      </c>
      <c r="AF162" s="2" t="str">
        <f t="shared" si="30"/>
        <v/>
      </c>
      <c r="AG162" s="9" t="str">
        <f t="shared" si="31"/>
        <v/>
      </c>
      <c r="AH162" s="9" t="str">
        <f t="shared" si="32"/>
        <v/>
      </c>
    </row>
    <row r="163" spans="1:34" x14ac:dyDescent="0.25">
      <c r="A163" s="68"/>
      <c r="B163" s="68"/>
      <c r="C163" s="65"/>
      <c r="D163" s="65"/>
      <c r="E163" s="66"/>
      <c r="F163" s="65"/>
      <c r="G163" s="67"/>
      <c r="AA163" s="2" t="str">
        <f t="shared" si="28"/>
        <v/>
      </c>
      <c r="AC163" s="9" t="str">
        <f t="shared" si="29"/>
        <v/>
      </c>
      <c r="AD163" s="9" t="str">
        <f t="shared" si="27"/>
        <v/>
      </c>
      <c r="AF163" s="2" t="str">
        <f t="shared" si="30"/>
        <v/>
      </c>
      <c r="AG163" s="9" t="str">
        <f t="shared" si="31"/>
        <v/>
      </c>
      <c r="AH163" s="9" t="str">
        <f t="shared" si="32"/>
        <v/>
      </c>
    </row>
    <row r="164" spans="1:34" x14ac:dyDescent="0.25">
      <c r="A164" s="68"/>
      <c r="B164" s="68"/>
      <c r="C164" s="65"/>
      <c r="D164" s="65"/>
      <c r="E164" s="66"/>
      <c r="F164" s="65"/>
      <c r="G164" s="67"/>
      <c r="AA164" s="2" t="str">
        <f t="shared" si="28"/>
        <v/>
      </c>
      <c r="AC164" s="9" t="str">
        <f t="shared" si="29"/>
        <v/>
      </c>
      <c r="AD164" s="9" t="str">
        <f t="shared" si="27"/>
        <v/>
      </c>
      <c r="AF164" s="2" t="str">
        <f t="shared" si="30"/>
        <v/>
      </c>
      <c r="AG164" s="9" t="str">
        <f t="shared" si="31"/>
        <v/>
      </c>
      <c r="AH164" s="9" t="str">
        <f t="shared" si="32"/>
        <v/>
      </c>
    </row>
    <row r="165" spans="1:34" x14ac:dyDescent="0.25">
      <c r="A165" s="68"/>
      <c r="B165" s="68"/>
      <c r="C165" s="65"/>
      <c r="D165" s="65"/>
      <c r="E165" s="66"/>
      <c r="F165" s="65"/>
      <c r="G165" s="67"/>
      <c r="AA165" s="2" t="str">
        <f t="shared" si="28"/>
        <v/>
      </c>
      <c r="AC165" s="9" t="str">
        <f t="shared" si="29"/>
        <v/>
      </c>
      <c r="AD165" s="9" t="str">
        <f t="shared" si="27"/>
        <v/>
      </c>
      <c r="AF165" s="2" t="str">
        <f t="shared" si="30"/>
        <v/>
      </c>
      <c r="AG165" s="9" t="str">
        <f t="shared" si="31"/>
        <v/>
      </c>
      <c r="AH165" s="9" t="str">
        <f t="shared" si="32"/>
        <v/>
      </c>
    </row>
    <row r="166" spans="1:34" x14ac:dyDescent="0.25">
      <c r="A166" s="68"/>
      <c r="B166" s="68"/>
      <c r="C166" s="65"/>
      <c r="D166" s="65"/>
      <c r="E166" s="66"/>
      <c r="F166" s="65"/>
      <c r="G166" s="67"/>
      <c r="AA166" s="2" t="str">
        <f t="shared" si="28"/>
        <v/>
      </c>
      <c r="AC166" s="9" t="str">
        <f t="shared" si="29"/>
        <v/>
      </c>
      <c r="AD166" s="9" t="str">
        <f t="shared" si="27"/>
        <v/>
      </c>
      <c r="AF166" s="2" t="str">
        <f t="shared" si="30"/>
        <v/>
      </c>
      <c r="AG166" s="9" t="str">
        <f t="shared" si="31"/>
        <v/>
      </c>
      <c r="AH166" s="9" t="str">
        <f t="shared" si="32"/>
        <v/>
      </c>
    </row>
    <row r="167" spans="1:34" x14ac:dyDescent="0.25">
      <c r="A167" s="68"/>
      <c r="B167" s="68"/>
      <c r="C167" s="65"/>
      <c r="D167" s="65"/>
      <c r="E167" s="66"/>
      <c r="F167" s="65"/>
      <c r="G167" s="67"/>
      <c r="AA167" s="2" t="str">
        <f t="shared" si="28"/>
        <v/>
      </c>
      <c r="AC167" s="9" t="str">
        <f t="shared" si="29"/>
        <v/>
      </c>
      <c r="AD167" s="9" t="str">
        <f t="shared" si="27"/>
        <v/>
      </c>
      <c r="AF167" s="2" t="str">
        <f t="shared" si="30"/>
        <v/>
      </c>
      <c r="AG167" s="9" t="str">
        <f t="shared" si="31"/>
        <v/>
      </c>
      <c r="AH167" s="9" t="str">
        <f t="shared" si="32"/>
        <v/>
      </c>
    </row>
    <row r="168" spans="1:34" x14ac:dyDescent="0.25">
      <c r="A168" s="68"/>
      <c r="B168" s="68"/>
      <c r="C168" s="65"/>
      <c r="D168" s="65"/>
      <c r="E168" s="66"/>
      <c r="F168" s="65"/>
      <c r="G168" s="67"/>
      <c r="AA168" s="2" t="str">
        <f t="shared" si="28"/>
        <v/>
      </c>
      <c r="AC168" s="9" t="str">
        <f t="shared" si="29"/>
        <v/>
      </c>
      <c r="AD168" s="9" t="str">
        <f t="shared" si="27"/>
        <v/>
      </c>
      <c r="AF168" s="2" t="str">
        <f t="shared" si="30"/>
        <v/>
      </c>
      <c r="AG168" s="9" t="str">
        <f t="shared" si="31"/>
        <v/>
      </c>
      <c r="AH168" s="9" t="str">
        <f t="shared" si="32"/>
        <v/>
      </c>
    </row>
    <row r="169" spans="1:34" x14ac:dyDescent="0.25">
      <c r="A169" s="68"/>
      <c r="B169" s="68"/>
      <c r="C169" s="65"/>
      <c r="D169" s="65"/>
      <c r="E169" s="66"/>
      <c r="F169" s="65"/>
      <c r="G169" s="67"/>
      <c r="AA169" s="2" t="str">
        <f t="shared" si="28"/>
        <v/>
      </c>
      <c r="AC169" s="9" t="str">
        <f t="shared" si="29"/>
        <v/>
      </c>
      <c r="AD169" s="9" t="str">
        <f t="shared" si="27"/>
        <v/>
      </c>
      <c r="AF169" s="2" t="str">
        <f t="shared" si="30"/>
        <v/>
      </c>
      <c r="AG169" s="9" t="str">
        <f t="shared" si="31"/>
        <v/>
      </c>
      <c r="AH169" s="9" t="str">
        <f t="shared" si="32"/>
        <v/>
      </c>
    </row>
    <row r="170" spans="1:34" x14ac:dyDescent="0.25">
      <c r="A170" s="68"/>
      <c r="B170" s="68"/>
      <c r="C170" s="65"/>
      <c r="D170" s="65"/>
      <c r="E170" s="66"/>
      <c r="F170" s="65"/>
      <c r="G170" s="67"/>
      <c r="AA170" s="2" t="str">
        <f t="shared" si="28"/>
        <v/>
      </c>
      <c r="AC170" s="9" t="str">
        <f t="shared" si="29"/>
        <v/>
      </c>
      <c r="AD170" s="9" t="str">
        <f t="shared" si="27"/>
        <v/>
      </c>
      <c r="AF170" s="2" t="str">
        <f t="shared" si="30"/>
        <v/>
      </c>
      <c r="AG170" s="9" t="str">
        <f t="shared" si="31"/>
        <v/>
      </c>
      <c r="AH170" s="9" t="str">
        <f t="shared" si="32"/>
        <v/>
      </c>
    </row>
    <row r="171" spans="1:34" x14ac:dyDescent="0.25">
      <c r="A171" s="68"/>
      <c r="B171" s="68"/>
      <c r="C171" s="65"/>
      <c r="D171" s="65"/>
      <c r="E171" s="66"/>
      <c r="F171" s="65"/>
      <c r="G171" s="67"/>
      <c r="AA171" s="2" t="str">
        <f t="shared" si="28"/>
        <v/>
      </c>
      <c r="AC171" s="9" t="str">
        <f t="shared" si="29"/>
        <v/>
      </c>
      <c r="AD171" s="9" t="str">
        <f t="shared" si="27"/>
        <v/>
      </c>
      <c r="AF171" s="2" t="str">
        <f t="shared" si="30"/>
        <v/>
      </c>
      <c r="AG171" s="9" t="str">
        <f t="shared" si="31"/>
        <v/>
      </c>
      <c r="AH171" s="9" t="str">
        <f t="shared" si="32"/>
        <v/>
      </c>
    </row>
    <row r="172" spans="1:34" x14ac:dyDescent="0.25">
      <c r="A172" s="68"/>
      <c r="B172" s="68"/>
      <c r="C172" s="65"/>
      <c r="D172" s="65"/>
      <c r="E172" s="66"/>
      <c r="F172" s="65"/>
      <c r="G172" s="67"/>
      <c r="AA172" s="2" t="str">
        <f t="shared" si="28"/>
        <v/>
      </c>
      <c r="AC172" s="9" t="str">
        <f t="shared" si="29"/>
        <v/>
      </c>
      <c r="AD172" s="9" t="str">
        <f t="shared" si="27"/>
        <v/>
      </c>
      <c r="AF172" s="2" t="str">
        <f t="shared" si="30"/>
        <v/>
      </c>
      <c r="AG172" s="9" t="str">
        <f t="shared" si="31"/>
        <v/>
      </c>
      <c r="AH172" s="9" t="str">
        <f t="shared" si="32"/>
        <v/>
      </c>
    </row>
    <row r="173" spans="1:34" x14ac:dyDescent="0.25">
      <c r="A173" s="68"/>
      <c r="B173" s="68"/>
      <c r="C173" s="65"/>
      <c r="D173" s="65"/>
      <c r="E173" s="66"/>
      <c r="F173" s="65"/>
      <c r="G173" s="67"/>
      <c r="AA173" s="2" t="str">
        <f t="shared" si="28"/>
        <v/>
      </c>
      <c r="AC173" s="9" t="str">
        <f t="shared" si="29"/>
        <v/>
      </c>
      <c r="AD173" s="9" t="str">
        <f t="shared" si="27"/>
        <v/>
      </c>
      <c r="AF173" s="2" t="str">
        <f t="shared" si="30"/>
        <v/>
      </c>
      <c r="AG173" s="9" t="str">
        <f t="shared" si="31"/>
        <v/>
      </c>
      <c r="AH173" s="9" t="str">
        <f t="shared" si="32"/>
        <v/>
      </c>
    </row>
    <row r="174" spans="1:34" x14ac:dyDescent="0.25">
      <c r="A174" s="68"/>
      <c r="B174" s="68"/>
      <c r="C174" s="65"/>
      <c r="D174" s="65"/>
      <c r="E174" s="66"/>
      <c r="F174" s="65"/>
      <c r="G174" s="67"/>
      <c r="AA174" s="2" t="str">
        <f t="shared" si="28"/>
        <v/>
      </c>
      <c r="AC174" s="9" t="str">
        <f t="shared" si="29"/>
        <v/>
      </c>
      <c r="AD174" s="9" t="str">
        <f t="shared" si="27"/>
        <v/>
      </c>
      <c r="AF174" s="2" t="str">
        <f t="shared" si="30"/>
        <v/>
      </c>
      <c r="AG174" s="9" t="str">
        <f t="shared" si="31"/>
        <v/>
      </c>
      <c r="AH174" s="9" t="str">
        <f t="shared" si="32"/>
        <v/>
      </c>
    </row>
    <row r="175" spans="1:34" x14ac:dyDescent="0.25">
      <c r="A175" s="68"/>
      <c r="B175" s="68"/>
      <c r="C175" s="65"/>
      <c r="D175" s="65"/>
      <c r="E175" s="66"/>
      <c r="F175" s="65"/>
      <c r="G175" s="67"/>
      <c r="AA175" s="2" t="str">
        <f t="shared" si="28"/>
        <v/>
      </c>
      <c r="AC175" s="9" t="str">
        <f t="shared" si="29"/>
        <v/>
      </c>
      <c r="AD175" s="9" t="str">
        <f t="shared" si="27"/>
        <v/>
      </c>
      <c r="AF175" s="2" t="str">
        <f t="shared" si="30"/>
        <v/>
      </c>
      <c r="AG175" s="9" t="str">
        <f t="shared" si="31"/>
        <v/>
      </c>
      <c r="AH175" s="9" t="str">
        <f t="shared" si="32"/>
        <v/>
      </c>
    </row>
    <row r="176" spans="1:34" x14ac:dyDescent="0.25">
      <c r="A176" s="68"/>
      <c r="B176" s="68"/>
      <c r="C176" s="65"/>
      <c r="D176" s="65"/>
      <c r="E176" s="66"/>
      <c r="F176" s="65"/>
      <c r="G176" s="67"/>
      <c r="AA176" s="2" t="str">
        <f t="shared" si="28"/>
        <v/>
      </c>
      <c r="AC176" s="9" t="str">
        <f t="shared" si="29"/>
        <v/>
      </c>
      <c r="AD176" s="9" t="str">
        <f t="shared" si="27"/>
        <v/>
      </c>
      <c r="AF176" s="2" t="str">
        <f t="shared" si="30"/>
        <v/>
      </c>
      <c r="AG176" s="9" t="str">
        <f t="shared" si="31"/>
        <v/>
      </c>
      <c r="AH176" s="9" t="str">
        <f t="shared" si="32"/>
        <v/>
      </c>
    </row>
    <row r="177" spans="1:34" x14ac:dyDescent="0.25">
      <c r="A177" s="68"/>
      <c r="B177" s="68"/>
      <c r="C177" s="65"/>
      <c r="D177" s="65"/>
      <c r="E177" s="66"/>
      <c r="F177" s="65"/>
      <c r="G177" s="67"/>
      <c r="AA177" s="2" t="str">
        <f t="shared" si="28"/>
        <v/>
      </c>
      <c r="AC177" s="9" t="str">
        <f t="shared" si="29"/>
        <v/>
      </c>
      <c r="AD177" s="9" t="str">
        <f t="shared" si="27"/>
        <v/>
      </c>
      <c r="AF177" s="2" t="str">
        <f t="shared" si="30"/>
        <v/>
      </c>
      <c r="AG177" s="9" t="str">
        <f t="shared" si="31"/>
        <v/>
      </c>
      <c r="AH177" s="9" t="str">
        <f t="shared" si="32"/>
        <v/>
      </c>
    </row>
    <row r="178" spans="1:34" x14ac:dyDescent="0.25">
      <c r="A178" s="68"/>
      <c r="B178" s="68"/>
      <c r="C178" s="65"/>
      <c r="D178" s="65"/>
      <c r="E178" s="66"/>
      <c r="F178" s="65"/>
      <c r="G178" s="67"/>
      <c r="AA178" s="2" t="str">
        <f t="shared" si="28"/>
        <v/>
      </c>
      <c r="AC178" s="9" t="str">
        <f t="shared" si="29"/>
        <v/>
      </c>
      <c r="AD178" s="9" t="str">
        <f t="shared" si="27"/>
        <v/>
      </c>
      <c r="AF178" s="2" t="str">
        <f t="shared" si="30"/>
        <v/>
      </c>
      <c r="AG178" s="9" t="str">
        <f t="shared" si="31"/>
        <v/>
      </c>
      <c r="AH178" s="9" t="str">
        <f t="shared" si="32"/>
        <v/>
      </c>
    </row>
    <row r="179" spans="1:34" x14ac:dyDescent="0.25">
      <c r="A179" s="68"/>
      <c r="B179" s="68"/>
      <c r="C179" s="65"/>
      <c r="D179" s="65"/>
      <c r="E179" s="66"/>
      <c r="F179" s="65"/>
      <c r="G179" s="67"/>
      <c r="AA179" s="2" t="str">
        <f t="shared" si="28"/>
        <v/>
      </c>
      <c r="AC179" s="9" t="str">
        <f t="shared" si="29"/>
        <v/>
      </c>
      <c r="AD179" s="9" t="str">
        <f t="shared" si="27"/>
        <v/>
      </c>
      <c r="AF179" s="2" t="str">
        <f t="shared" si="30"/>
        <v/>
      </c>
      <c r="AG179" s="9" t="str">
        <f t="shared" si="31"/>
        <v/>
      </c>
      <c r="AH179" s="9" t="str">
        <f t="shared" si="32"/>
        <v/>
      </c>
    </row>
    <row r="180" spans="1:34" x14ac:dyDescent="0.25">
      <c r="A180" s="68"/>
      <c r="B180" s="68"/>
      <c r="C180" s="65"/>
      <c r="D180" s="65"/>
      <c r="E180" s="66"/>
      <c r="F180" s="65"/>
      <c r="G180" s="67"/>
      <c r="AA180" s="2" t="str">
        <f t="shared" si="28"/>
        <v/>
      </c>
      <c r="AC180" s="9" t="str">
        <f t="shared" si="29"/>
        <v/>
      </c>
      <c r="AD180" s="9" t="str">
        <f t="shared" si="27"/>
        <v/>
      </c>
      <c r="AF180" s="2" t="str">
        <f t="shared" si="30"/>
        <v/>
      </c>
      <c r="AG180" s="9" t="str">
        <f t="shared" si="31"/>
        <v/>
      </c>
      <c r="AH180" s="9" t="str">
        <f t="shared" si="32"/>
        <v/>
      </c>
    </row>
    <row r="181" spans="1:34" x14ac:dyDescent="0.25">
      <c r="A181" s="68"/>
      <c r="B181" s="68"/>
      <c r="C181" s="65"/>
      <c r="D181" s="65"/>
      <c r="E181" s="66"/>
      <c r="F181" s="65"/>
      <c r="G181" s="67"/>
      <c r="AA181" s="2" t="str">
        <f t="shared" si="28"/>
        <v/>
      </c>
      <c r="AC181" s="9" t="str">
        <f t="shared" si="29"/>
        <v/>
      </c>
      <c r="AD181" s="9" t="str">
        <f t="shared" si="27"/>
        <v/>
      </c>
      <c r="AF181" s="2" t="str">
        <f>IF(AE181="","",AB181-AB$29)</f>
        <v/>
      </c>
      <c r="AG181" s="9" t="str">
        <f t="shared" si="31"/>
        <v/>
      </c>
      <c r="AH181" s="9" t="str">
        <f t="shared" si="32"/>
        <v/>
      </c>
    </row>
    <row r="182" spans="1:34" x14ac:dyDescent="0.25">
      <c r="A182" s="68"/>
      <c r="B182" s="68"/>
      <c r="C182" s="65"/>
      <c r="D182" s="65"/>
      <c r="E182" s="66"/>
      <c r="F182" s="65"/>
      <c r="G182" s="67"/>
      <c r="AA182" s="2" t="str">
        <f t="shared" si="28"/>
        <v/>
      </c>
      <c r="AC182" s="9" t="str">
        <f t="shared" si="29"/>
        <v/>
      </c>
      <c r="AD182" s="9" t="str">
        <f t="shared" si="27"/>
        <v/>
      </c>
      <c r="AF182" s="2" t="str">
        <f t="shared" ref="AF182:AF229" si="33">IF(AE182="","",AB182-AB$29)</f>
        <v/>
      </c>
      <c r="AG182" s="9" t="str">
        <f t="shared" si="31"/>
        <v/>
      </c>
      <c r="AH182" s="9" t="str">
        <f t="shared" si="32"/>
        <v/>
      </c>
    </row>
    <row r="183" spans="1:34" x14ac:dyDescent="0.25">
      <c r="A183" s="68"/>
      <c r="B183" s="68"/>
      <c r="C183" s="65"/>
      <c r="D183" s="65"/>
      <c r="E183" s="66"/>
      <c r="F183" s="65"/>
      <c r="G183" s="67"/>
      <c r="AA183" s="2" t="str">
        <f t="shared" si="28"/>
        <v/>
      </c>
      <c r="AC183" s="9" t="str">
        <f t="shared" si="29"/>
        <v/>
      </c>
      <c r="AD183" s="9" t="str">
        <f t="shared" si="27"/>
        <v/>
      </c>
      <c r="AF183" s="2" t="str">
        <f t="shared" si="33"/>
        <v/>
      </c>
      <c r="AG183" s="9" t="str">
        <f t="shared" si="31"/>
        <v/>
      </c>
      <c r="AH183" s="9" t="str">
        <f t="shared" si="32"/>
        <v/>
      </c>
    </row>
    <row r="184" spans="1:34" x14ac:dyDescent="0.25">
      <c r="A184" s="68"/>
      <c r="B184" s="68"/>
      <c r="C184" s="65"/>
      <c r="D184" s="65"/>
      <c r="E184" s="66"/>
      <c r="F184" s="65"/>
      <c r="G184" s="67"/>
      <c r="AA184" s="2" t="str">
        <f t="shared" si="28"/>
        <v/>
      </c>
      <c r="AC184" s="9" t="str">
        <f t="shared" si="29"/>
        <v/>
      </c>
      <c r="AD184" s="9" t="str">
        <f t="shared" si="27"/>
        <v/>
      </c>
      <c r="AF184" s="2" t="str">
        <f t="shared" si="33"/>
        <v/>
      </c>
      <c r="AG184" s="9" t="str">
        <f t="shared" si="31"/>
        <v/>
      </c>
      <c r="AH184" s="9" t="str">
        <f t="shared" si="32"/>
        <v/>
      </c>
    </row>
    <row r="185" spans="1:34" x14ac:dyDescent="0.25">
      <c r="A185" s="68"/>
      <c r="B185" s="68"/>
      <c r="C185" s="65"/>
      <c r="D185" s="65"/>
      <c r="E185" s="66"/>
      <c r="F185" s="65"/>
      <c r="G185" s="67"/>
      <c r="AA185" s="2" t="str">
        <f t="shared" si="28"/>
        <v/>
      </c>
      <c r="AC185" s="9" t="str">
        <f t="shared" si="29"/>
        <v/>
      </c>
      <c r="AD185" s="9" t="str">
        <f t="shared" si="27"/>
        <v/>
      </c>
      <c r="AF185" s="2" t="str">
        <f t="shared" si="33"/>
        <v/>
      </c>
      <c r="AG185" s="9" t="str">
        <f t="shared" si="31"/>
        <v/>
      </c>
      <c r="AH185" s="9" t="str">
        <f t="shared" si="32"/>
        <v/>
      </c>
    </row>
    <row r="186" spans="1:34" x14ac:dyDescent="0.25">
      <c r="A186" s="68"/>
      <c r="B186" s="68"/>
      <c r="C186" s="65"/>
      <c r="D186" s="65"/>
      <c r="E186" s="66"/>
      <c r="F186" s="65"/>
      <c r="G186" s="67"/>
      <c r="AA186" s="2" t="str">
        <f t="shared" si="28"/>
        <v/>
      </c>
      <c r="AC186" s="9" t="str">
        <f t="shared" si="29"/>
        <v/>
      </c>
      <c r="AD186" s="9" t="str">
        <f t="shared" si="27"/>
        <v/>
      </c>
      <c r="AF186" s="2" t="str">
        <f t="shared" si="33"/>
        <v/>
      </c>
      <c r="AG186" s="9" t="str">
        <f t="shared" si="31"/>
        <v/>
      </c>
      <c r="AH186" s="9" t="str">
        <f t="shared" si="32"/>
        <v/>
      </c>
    </row>
    <row r="187" spans="1:34" x14ac:dyDescent="0.25">
      <c r="A187" s="68"/>
      <c r="B187" s="68"/>
      <c r="C187" s="65"/>
      <c r="D187" s="65"/>
      <c r="E187" s="66"/>
      <c r="F187" s="65"/>
      <c r="G187" s="67"/>
      <c r="AA187" s="2" t="str">
        <f t="shared" si="28"/>
        <v/>
      </c>
      <c r="AC187" s="9" t="str">
        <f t="shared" si="29"/>
        <v/>
      </c>
      <c r="AD187" s="9" t="str">
        <f t="shared" si="27"/>
        <v/>
      </c>
      <c r="AF187" s="2" t="str">
        <f t="shared" si="33"/>
        <v/>
      </c>
      <c r="AG187" s="9" t="str">
        <f t="shared" si="31"/>
        <v/>
      </c>
      <c r="AH187" s="9" t="str">
        <f t="shared" si="32"/>
        <v/>
      </c>
    </row>
    <row r="188" spans="1:34" x14ac:dyDescent="0.25">
      <c r="A188" s="68"/>
      <c r="B188" s="68"/>
      <c r="C188" s="65"/>
      <c r="D188" s="65"/>
      <c r="E188" s="66"/>
      <c r="F188" s="65"/>
      <c r="G188" s="67"/>
      <c r="AA188" s="2" t="str">
        <f t="shared" si="28"/>
        <v/>
      </c>
      <c r="AC188" s="9" t="str">
        <f t="shared" si="29"/>
        <v/>
      </c>
      <c r="AD188" s="9" t="str">
        <f t="shared" si="27"/>
        <v/>
      </c>
      <c r="AF188" s="2" t="str">
        <f t="shared" si="33"/>
        <v/>
      </c>
      <c r="AG188" s="9" t="str">
        <f t="shared" si="31"/>
        <v/>
      </c>
      <c r="AH188" s="9" t="str">
        <f t="shared" si="32"/>
        <v/>
      </c>
    </row>
    <row r="189" spans="1:34" x14ac:dyDescent="0.25">
      <c r="A189" s="68"/>
      <c r="B189" s="68"/>
      <c r="C189" s="65"/>
      <c r="D189" s="65"/>
      <c r="E189" s="66"/>
      <c r="F189" s="65"/>
      <c r="G189" s="67"/>
      <c r="AA189" s="2" t="str">
        <f t="shared" si="28"/>
        <v/>
      </c>
      <c r="AC189" s="9" t="str">
        <f t="shared" si="29"/>
        <v/>
      </c>
      <c r="AD189" s="9" t="str">
        <f t="shared" si="27"/>
        <v/>
      </c>
      <c r="AF189" s="2" t="str">
        <f t="shared" si="33"/>
        <v/>
      </c>
      <c r="AG189" s="9" t="str">
        <f t="shared" si="31"/>
        <v/>
      </c>
      <c r="AH189" s="9" t="str">
        <f t="shared" si="32"/>
        <v/>
      </c>
    </row>
    <row r="190" spans="1:34" x14ac:dyDescent="0.25">
      <c r="A190" s="68"/>
      <c r="B190" s="68"/>
      <c r="C190" s="65"/>
      <c r="D190" s="65"/>
      <c r="E190" s="66"/>
      <c r="F190" s="65"/>
      <c r="G190" s="67"/>
      <c r="AA190" s="2" t="str">
        <f t="shared" si="28"/>
        <v/>
      </c>
      <c r="AC190" s="9" t="str">
        <f t="shared" si="29"/>
        <v/>
      </c>
      <c r="AD190" s="9" t="str">
        <f t="shared" si="27"/>
        <v/>
      </c>
      <c r="AF190" s="2" t="str">
        <f t="shared" si="33"/>
        <v/>
      </c>
      <c r="AG190" s="9" t="str">
        <f t="shared" si="31"/>
        <v/>
      </c>
      <c r="AH190" s="9" t="str">
        <f t="shared" si="32"/>
        <v/>
      </c>
    </row>
    <row r="191" spans="1:34" x14ac:dyDescent="0.25">
      <c r="A191" s="68"/>
      <c r="B191" s="68"/>
      <c r="C191" s="65"/>
      <c r="D191" s="65"/>
      <c r="E191" s="66"/>
      <c r="F191" s="65"/>
      <c r="G191" s="67"/>
      <c r="AA191" s="2" t="str">
        <f t="shared" si="28"/>
        <v/>
      </c>
      <c r="AC191" s="9" t="str">
        <f t="shared" si="29"/>
        <v/>
      </c>
      <c r="AD191" s="9" t="str">
        <f t="shared" si="27"/>
        <v/>
      </c>
      <c r="AF191" s="2" t="str">
        <f t="shared" si="33"/>
        <v/>
      </c>
      <c r="AG191" s="9" t="str">
        <f t="shared" si="31"/>
        <v/>
      </c>
      <c r="AH191" s="9" t="str">
        <f t="shared" si="32"/>
        <v/>
      </c>
    </row>
    <row r="192" spans="1:34" x14ac:dyDescent="0.25">
      <c r="A192" s="68"/>
      <c r="B192" s="68"/>
      <c r="C192" s="65"/>
      <c r="D192" s="65"/>
      <c r="E192" s="66"/>
      <c r="F192" s="65"/>
      <c r="G192" s="67"/>
      <c r="AA192" s="2" t="str">
        <f t="shared" si="28"/>
        <v/>
      </c>
      <c r="AC192" s="9" t="str">
        <f t="shared" si="29"/>
        <v/>
      </c>
      <c r="AD192" s="9" t="str">
        <f t="shared" si="27"/>
        <v/>
      </c>
      <c r="AF192" s="2" t="str">
        <f t="shared" si="33"/>
        <v/>
      </c>
      <c r="AG192" s="9" t="str">
        <f t="shared" si="31"/>
        <v/>
      </c>
      <c r="AH192" s="9" t="str">
        <f t="shared" si="32"/>
        <v/>
      </c>
    </row>
    <row r="193" spans="1:34" x14ac:dyDescent="0.25">
      <c r="A193" s="68"/>
      <c r="B193" s="68"/>
      <c r="C193" s="65"/>
      <c r="D193" s="65"/>
      <c r="E193" s="66"/>
      <c r="F193" s="65"/>
      <c r="G193" s="67"/>
      <c r="AA193" s="2" t="str">
        <f t="shared" si="28"/>
        <v/>
      </c>
      <c r="AC193" s="9" t="str">
        <f t="shared" si="29"/>
        <v/>
      </c>
      <c r="AD193" s="9" t="str">
        <f t="shared" si="27"/>
        <v/>
      </c>
      <c r="AF193" s="2" t="str">
        <f t="shared" si="33"/>
        <v/>
      </c>
      <c r="AG193" s="9" t="str">
        <f t="shared" si="31"/>
        <v/>
      </c>
      <c r="AH193" s="9" t="str">
        <f t="shared" si="32"/>
        <v/>
      </c>
    </row>
    <row r="194" spans="1:34" x14ac:dyDescent="0.25">
      <c r="A194" s="68"/>
      <c r="B194" s="68"/>
      <c r="C194" s="65"/>
      <c r="D194" s="65"/>
      <c r="E194" s="66"/>
      <c r="F194" s="65"/>
      <c r="G194" s="67"/>
      <c r="AA194" s="2" t="str">
        <f t="shared" si="28"/>
        <v/>
      </c>
      <c r="AC194" s="9" t="str">
        <f t="shared" si="29"/>
        <v/>
      </c>
      <c r="AD194" s="9" t="str">
        <f t="shared" si="27"/>
        <v/>
      </c>
      <c r="AF194" s="2" t="str">
        <f t="shared" si="33"/>
        <v/>
      </c>
      <c r="AG194" s="9" t="str">
        <f t="shared" si="31"/>
        <v/>
      </c>
      <c r="AH194" s="9" t="str">
        <f t="shared" si="32"/>
        <v/>
      </c>
    </row>
    <row r="195" spans="1:34" x14ac:dyDescent="0.25">
      <c r="A195" s="68"/>
      <c r="B195" s="68"/>
      <c r="C195" s="65"/>
      <c r="D195" s="65"/>
      <c r="E195" s="66"/>
      <c r="F195" s="65"/>
      <c r="G195" s="67"/>
      <c r="AA195" s="2" t="str">
        <f t="shared" si="28"/>
        <v/>
      </c>
      <c r="AC195" s="9" t="str">
        <f t="shared" si="29"/>
        <v/>
      </c>
      <c r="AD195" s="9" t="str">
        <f t="shared" si="27"/>
        <v/>
      </c>
      <c r="AF195" s="2" t="str">
        <f t="shared" si="33"/>
        <v/>
      </c>
      <c r="AG195" s="9" t="str">
        <f t="shared" si="31"/>
        <v/>
      </c>
      <c r="AH195" s="9" t="str">
        <f t="shared" si="32"/>
        <v/>
      </c>
    </row>
    <row r="196" spans="1:34" x14ac:dyDescent="0.25">
      <c r="A196" s="68"/>
      <c r="B196" s="68"/>
      <c r="C196" s="65"/>
      <c r="D196" s="65"/>
      <c r="E196" s="66"/>
      <c r="F196" s="65"/>
      <c r="G196" s="67"/>
      <c r="AA196" s="2" t="str">
        <f t="shared" si="28"/>
        <v/>
      </c>
      <c r="AC196" s="9" t="str">
        <f t="shared" si="29"/>
        <v/>
      </c>
      <c r="AD196" s="9" t="str">
        <f t="shared" si="27"/>
        <v/>
      </c>
      <c r="AF196" s="2" t="str">
        <f t="shared" si="33"/>
        <v/>
      </c>
      <c r="AG196" s="9" t="str">
        <f t="shared" si="31"/>
        <v/>
      </c>
      <c r="AH196" s="9" t="str">
        <f t="shared" si="32"/>
        <v/>
      </c>
    </row>
    <row r="197" spans="1:34" x14ac:dyDescent="0.25">
      <c r="A197" s="68"/>
      <c r="B197" s="68"/>
      <c r="C197" s="65"/>
      <c r="D197" s="65"/>
      <c r="E197" s="66"/>
      <c r="F197" s="65"/>
      <c r="G197" s="67"/>
      <c r="AA197" s="2" t="str">
        <f t="shared" si="28"/>
        <v/>
      </c>
      <c r="AC197" s="9" t="str">
        <f t="shared" si="29"/>
        <v/>
      </c>
      <c r="AD197" s="9" t="str">
        <f t="shared" si="27"/>
        <v/>
      </c>
      <c r="AF197" s="2" t="str">
        <f t="shared" si="33"/>
        <v/>
      </c>
      <c r="AG197" s="9" t="str">
        <f t="shared" si="31"/>
        <v/>
      </c>
      <c r="AH197" s="9" t="str">
        <f t="shared" si="32"/>
        <v/>
      </c>
    </row>
    <row r="198" spans="1:34" x14ac:dyDescent="0.25">
      <c r="A198" s="68"/>
      <c r="B198" s="68"/>
      <c r="C198" s="65"/>
      <c r="D198" s="65"/>
      <c r="E198" s="66"/>
      <c r="F198" s="65"/>
      <c r="G198" s="67"/>
      <c r="AA198" s="2" t="str">
        <f t="shared" si="28"/>
        <v/>
      </c>
      <c r="AC198" s="9" t="str">
        <f t="shared" si="29"/>
        <v/>
      </c>
      <c r="AD198" s="9" t="str">
        <f t="shared" si="27"/>
        <v/>
      </c>
      <c r="AF198" s="2" t="str">
        <f t="shared" si="33"/>
        <v/>
      </c>
      <c r="AG198" s="9" t="str">
        <f t="shared" si="31"/>
        <v/>
      </c>
      <c r="AH198" s="9" t="str">
        <f t="shared" si="32"/>
        <v/>
      </c>
    </row>
    <row r="199" spans="1:34" x14ac:dyDescent="0.25">
      <c r="A199" s="68"/>
      <c r="B199" s="68"/>
      <c r="C199" s="65"/>
      <c r="D199" s="65"/>
      <c r="E199" s="66"/>
      <c r="F199" s="65"/>
      <c r="G199" s="67"/>
      <c r="AA199" s="2" t="str">
        <f t="shared" si="28"/>
        <v/>
      </c>
      <c r="AC199" s="9" t="str">
        <f t="shared" si="29"/>
        <v/>
      </c>
      <c r="AD199" s="9" t="str">
        <f t="shared" si="27"/>
        <v/>
      </c>
      <c r="AF199" s="2" t="str">
        <f t="shared" si="33"/>
        <v/>
      </c>
      <c r="AG199" s="9" t="str">
        <f t="shared" si="31"/>
        <v/>
      </c>
      <c r="AH199" s="9" t="str">
        <f t="shared" si="32"/>
        <v/>
      </c>
    </row>
    <row r="200" spans="1:34" x14ac:dyDescent="0.25">
      <c r="A200" s="68"/>
      <c r="B200" s="68"/>
      <c r="C200" s="65"/>
      <c r="D200" s="65"/>
      <c r="E200" s="66"/>
      <c r="F200" s="65"/>
      <c r="G200" s="67"/>
      <c r="AA200" s="2" t="str">
        <f t="shared" si="28"/>
        <v/>
      </c>
      <c r="AC200" s="9" t="str">
        <f t="shared" si="29"/>
        <v/>
      </c>
      <c r="AD200" s="9" t="str">
        <f t="shared" si="27"/>
        <v/>
      </c>
      <c r="AF200" s="2" t="str">
        <f t="shared" si="33"/>
        <v/>
      </c>
      <c r="AG200" s="9" t="str">
        <f t="shared" si="31"/>
        <v/>
      </c>
      <c r="AH200" s="9" t="str">
        <f t="shared" si="32"/>
        <v/>
      </c>
    </row>
    <row r="201" spans="1:34" x14ac:dyDescent="0.25">
      <c r="A201" s="68"/>
      <c r="B201" s="68"/>
      <c r="C201" s="65"/>
      <c r="D201" s="65"/>
      <c r="E201" s="66"/>
      <c r="F201" s="65"/>
      <c r="G201" s="67"/>
      <c r="AA201" s="2" t="str">
        <f t="shared" si="28"/>
        <v/>
      </c>
      <c r="AC201" s="9" t="str">
        <f t="shared" si="29"/>
        <v/>
      </c>
      <c r="AD201" s="9" t="str">
        <f t="shared" si="27"/>
        <v/>
      </c>
      <c r="AF201" s="2" t="str">
        <f t="shared" si="33"/>
        <v/>
      </c>
      <c r="AG201" s="9" t="str">
        <f t="shared" si="31"/>
        <v/>
      </c>
      <c r="AH201" s="9" t="str">
        <f t="shared" si="32"/>
        <v/>
      </c>
    </row>
    <row r="202" spans="1:34" x14ac:dyDescent="0.25">
      <c r="A202" s="68"/>
      <c r="B202" s="68"/>
      <c r="C202" s="65"/>
      <c r="D202" s="65"/>
      <c r="E202" s="66"/>
      <c r="F202" s="65"/>
      <c r="G202" s="67"/>
      <c r="AA202" s="2" t="str">
        <f t="shared" si="28"/>
        <v/>
      </c>
      <c r="AC202" s="9" t="str">
        <f t="shared" si="29"/>
        <v/>
      </c>
      <c r="AD202" s="9" t="str">
        <f t="shared" si="27"/>
        <v/>
      </c>
      <c r="AF202" s="2" t="str">
        <f t="shared" si="33"/>
        <v/>
      </c>
      <c r="AG202" s="9" t="str">
        <f t="shared" si="31"/>
        <v/>
      </c>
      <c r="AH202" s="9" t="str">
        <f t="shared" si="32"/>
        <v/>
      </c>
    </row>
    <row r="203" spans="1:34" x14ac:dyDescent="0.25">
      <c r="A203" s="68"/>
      <c r="B203" s="68"/>
      <c r="C203" s="65"/>
      <c r="D203" s="65"/>
      <c r="E203" s="66"/>
      <c r="F203" s="65"/>
      <c r="G203" s="67"/>
      <c r="AA203" s="2" t="str">
        <f t="shared" si="28"/>
        <v/>
      </c>
      <c r="AC203" s="9" t="str">
        <f t="shared" si="29"/>
        <v/>
      </c>
      <c r="AD203" s="9" t="str">
        <f t="shared" si="27"/>
        <v/>
      </c>
      <c r="AF203" s="2" t="str">
        <f t="shared" si="33"/>
        <v/>
      </c>
      <c r="AG203" s="9" t="str">
        <f t="shared" si="31"/>
        <v/>
      </c>
      <c r="AH203" s="9" t="str">
        <f t="shared" si="32"/>
        <v/>
      </c>
    </row>
    <row r="204" spans="1:34" x14ac:dyDescent="0.25">
      <c r="A204" s="68"/>
      <c r="B204" s="68"/>
      <c r="C204" s="65"/>
      <c r="D204" s="65"/>
      <c r="E204" s="66"/>
      <c r="F204" s="65"/>
      <c r="G204" s="67"/>
      <c r="AA204" s="2" t="str">
        <f t="shared" si="28"/>
        <v/>
      </c>
      <c r="AC204" s="9" t="str">
        <f t="shared" si="29"/>
        <v/>
      </c>
      <c r="AD204" s="9" t="str">
        <f t="shared" si="27"/>
        <v/>
      </c>
      <c r="AF204" s="2" t="str">
        <f t="shared" si="33"/>
        <v/>
      </c>
      <c r="AG204" s="9" t="str">
        <f t="shared" si="31"/>
        <v/>
      </c>
      <c r="AH204" s="9" t="str">
        <f t="shared" si="32"/>
        <v/>
      </c>
    </row>
    <row r="205" spans="1:34" x14ac:dyDescent="0.25">
      <c r="A205" s="68"/>
      <c r="B205" s="68"/>
      <c r="C205" s="65"/>
      <c r="D205" s="65"/>
      <c r="E205" s="66"/>
      <c r="F205" s="65"/>
      <c r="G205" s="67"/>
      <c r="AA205" s="2" t="str">
        <f t="shared" si="28"/>
        <v/>
      </c>
      <c r="AC205" s="9" t="str">
        <f t="shared" si="29"/>
        <v/>
      </c>
      <c r="AD205" s="9" t="str">
        <f t="shared" si="27"/>
        <v/>
      </c>
      <c r="AF205" s="2" t="str">
        <f t="shared" si="33"/>
        <v/>
      </c>
      <c r="AG205" s="9" t="str">
        <f t="shared" si="31"/>
        <v/>
      </c>
      <c r="AH205" s="9" t="str">
        <f t="shared" si="32"/>
        <v/>
      </c>
    </row>
    <row r="206" spans="1:34" x14ac:dyDescent="0.25">
      <c r="A206" s="68"/>
      <c r="B206" s="68"/>
      <c r="C206" s="65"/>
      <c r="D206" s="65"/>
      <c r="E206" s="66"/>
      <c r="F206" s="65"/>
      <c r="G206" s="67"/>
      <c r="AA206" s="2" t="str">
        <f t="shared" si="28"/>
        <v/>
      </c>
      <c r="AC206" s="9" t="str">
        <f t="shared" si="29"/>
        <v/>
      </c>
      <c r="AD206" s="9" t="str">
        <f t="shared" si="27"/>
        <v/>
      </c>
      <c r="AF206" s="2" t="str">
        <f t="shared" si="33"/>
        <v/>
      </c>
      <c r="AG206" s="9" t="str">
        <f t="shared" si="31"/>
        <v/>
      </c>
      <c r="AH206" s="9" t="str">
        <f t="shared" si="32"/>
        <v/>
      </c>
    </row>
    <row r="207" spans="1:34" x14ac:dyDescent="0.25">
      <c r="A207" s="68"/>
      <c r="B207" s="68"/>
      <c r="C207" s="65"/>
      <c r="D207" s="65"/>
      <c r="E207" s="66"/>
      <c r="F207" s="65"/>
      <c r="G207" s="67"/>
      <c r="AA207" s="2" t="str">
        <f t="shared" si="28"/>
        <v/>
      </c>
      <c r="AC207" s="9" t="str">
        <f t="shared" si="29"/>
        <v/>
      </c>
      <c r="AD207" s="9" t="str">
        <f t="shared" si="27"/>
        <v/>
      </c>
      <c r="AF207" s="2" t="str">
        <f t="shared" si="33"/>
        <v/>
      </c>
      <c r="AG207" s="9" t="str">
        <f t="shared" si="31"/>
        <v/>
      </c>
      <c r="AH207" s="9" t="str">
        <f t="shared" si="32"/>
        <v/>
      </c>
    </row>
    <row r="208" spans="1:34" x14ac:dyDescent="0.25">
      <c r="A208" s="68"/>
      <c r="B208" s="68"/>
      <c r="C208" s="65"/>
      <c r="D208" s="65"/>
      <c r="E208" s="66"/>
      <c r="F208" s="65"/>
      <c r="G208" s="67"/>
      <c r="AA208" s="2" t="str">
        <f t="shared" si="28"/>
        <v/>
      </c>
      <c r="AC208" s="9" t="str">
        <f t="shared" si="29"/>
        <v/>
      </c>
      <c r="AD208" s="9" t="str">
        <f t="shared" si="27"/>
        <v/>
      </c>
      <c r="AF208" s="2" t="str">
        <f t="shared" si="33"/>
        <v/>
      </c>
      <c r="AG208" s="9" t="str">
        <f t="shared" si="31"/>
        <v/>
      </c>
      <c r="AH208" s="9" t="str">
        <f t="shared" si="32"/>
        <v/>
      </c>
    </row>
    <row r="209" spans="1:34" x14ac:dyDescent="0.25">
      <c r="A209" s="68"/>
      <c r="B209" s="68"/>
      <c r="C209" s="65"/>
      <c r="D209" s="65"/>
      <c r="E209" s="66"/>
      <c r="F209" s="65"/>
      <c r="G209" s="67"/>
      <c r="AA209" s="2" t="str">
        <f t="shared" si="28"/>
        <v/>
      </c>
      <c r="AC209" s="9" t="str">
        <f t="shared" si="29"/>
        <v/>
      </c>
      <c r="AD209" s="9" t="str">
        <f t="shared" si="27"/>
        <v/>
      </c>
      <c r="AF209" s="2" t="str">
        <f t="shared" si="33"/>
        <v/>
      </c>
      <c r="AG209" s="9" t="str">
        <f t="shared" si="31"/>
        <v/>
      </c>
      <c r="AH209" s="9" t="str">
        <f t="shared" si="32"/>
        <v/>
      </c>
    </row>
    <row r="210" spans="1:34" x14ac:dyDescent="0.25">
      <c r="A210" s="68"/>
      <c r="B210" s="68"/>
      <c r="C210" s="65"/>
      <c r="D210" s="65"/>
      <c r="E210" s="66"/>
      <c r="F210" s="65"/>
      <c r="G210" s="67"/>
      <c r="AA210" s="2" t="str">
        <f t="shared" si="28"/>
        <v/>
      </c>
      <c r="AC210" s="9" t="str">
        <f t="shared" si="29"/>
        <v/>
      </c>
      <c r="AD210" s="9" t="str">
        <f t="shared" si="27"/>
        <v/>
      </c>
      <c r="AF210" s="2" t="str">
        <f t="shared" si="33"/>
        <v/>
      </c>
      <c r="AG210" s="9" t="str">
        <f t="shared" si="31"/>
        <v/>
      </c>
      <c r="AH210" s="9" t="str">
        <f t="shared" si="32"/>
        <v/>
      </c>
    </row>
    <row r="211" spans="1:34" x14ac:dyDescent="0.25">
      <c r="A211" s="68"/>
      <c r="B211" s="68"/>
      <c r="C211" s="65"/>
      <c r="D211" s="65"/>
      <c r="E211" s="66"/>
      <c r="F211" s="65"/>
      <c r="G211" s="67"/>
      <c r="AA211" s="2" t="str">
        <f t="shared" si="28"/>
        <v/>
      </c>
      <c r="AC211" s="9" t="str">
        <f t="shared" si="29"/>
        <v/>
      </c>
      <c r="AD211" s="9" t="str">
        <f t="shared" si="27"/>
        <v/>
      </c>
      <c r="AF211" s="2" t="str">
        <f t="shared" si="33"/>
        <v/>
      </c>
      <c r="AG211" s="9" t="str">
        <f t="shared" si="31"/>
        <v/>
      </c>
      <c r="AH211" s="9" t="str">
        <f t="shared" si="32"/>
        <v/>
      </c>
    </row>
    <row r="212" spans="1:34" x14ac:dyDescent="0.25">
      <c r="A212" s="68"/>
      <c r="B212" s="68"/>
      <c r="C212" s="65"/>
      <c r="D212" s="65"/>
      <c r="E212" s="66"/>
      <c r="F212" s="65"/>
      <c r="G212" s="67"/>
      <c r="AA212" s="2" t="str">
        <f t="shared" si="28"/>
        <v/>
      </c>
      <c r="AC212" s="9" t="str">
        <f t="shared" si="29"/>
        <v/>
      </c>
      <c r="AD212" s="9" t="str">
        <f t="shared" si="27"/>
        <v/>
      </c>
      <c r="AF212" s="2" t="str">
        <f t="shared" si="33"/>
        <v/>
      </c>
      <c r="AG212" s="9" t="str">
        <f t="shared" si="31"/>
        <v/>
      </c>
      <c r="AH212" s="9" t="str">
        <f t="shared" si="32"/>
        <v/>
      </c>
    </row>
    <row r="213" spans="1:34" x14ac:dyDescent="0.25">
      <c r="A213" s="68"/>
      <c r="B213" s="68"/>
      <c r="C213" s="65"/>
      <c r="D213" s="65"/>
      <c r="E213" s="66"/>
      <c r="F213" s="65"/>
      <c r="G213" s="67"/>
      <c r="AA213" s="2" t="str">
        <f t="shared" si="28"/>
        <v/>
      </c>
      <c r="AC213" s="9" t="str">
        <f t="shared" si="29"/>
        <v/>
      </c>
      <c r="AD213" s="9" t="str">
        <f t="shared" si="27"/>
        <v/>
      </c>
      <c r="AF213" s="2" t="str">
        <f t="shared" si="33"/>
        <v/>
      </c>
      <c r="AG213" s="9" t="str">
        <f t="shared" si="31"/>
        <v/>
      </c>
      <c r="AH213" s="9" t="str">
        <f t="shared" si="32"/>
        <v/>
      </c>
    </row>
    <row r="214" spans="1:34" x14ac:dyDescent="0.25">
      <c r="A214" s="68"/>
      <c r="B214" s="68"/>
      <c r="C214" s="65"/>
      <c r="D214" s="65"/>
      <c r="E214" s="66"/>
      <c r="F214" s="65"/>
      <c r="G214" s="67"/>
      <c r="AA214" s="2" t="str">
        <f t="shared" si="28"/>
        <v/>
      </c>
      <c r="AC214" s="9" t="str">
        <f t="shared" si="29"/>
        <v/>
      </c>
      <c r="AD214" s="9" t="str">
        <f t="shared" si="27"/>
        <v/>
      </c>
      <c r="AF214" s="2" t="str">
        <f t="shared" si="33"/>
        <v/>
      </c>
      <c r="AG214" s="9" t="str">
        <f t="shared" si="31"/>
        <v/>
      </c>
      <c r="AH214" s="9" t="str">
        <f t="shared" si="32"/>
        <v/>
      </c>
    </row>
    <row r="215" spans="1:34" x14ac:dyDescent="0.25">
      <c r="A215" s="68"/>
      <c r="B215" s="68"/>
      <c r="C215" s="65"/>
      <c r="D215" s="65"/>
      <c r="E215" s="66"/>
      <c r="F215" s="65"/>
      <c r="G215" s="67"/>
      <c r="AA215" s="2" t="str">
        <f t="shared" si="28"/>
        <v/>
      </c>
      <c r="AC215" s="9" t="str">
        <f t="shared" si="29"/>
        <v/>
      </c>
      <c r="AD215" s="9" t="str">
        <f t="shared" si="27"/>
        <v/>
      </c>
      <c r="AF215" s="2" t="str">
        <f t="shared" si="33"/>
        <v/>
      </c>
      <c r="AG215" s="9" t="str">
        <f t="shared" si="31"/>
        <v/>
      </c>
      <c r="AH215" s="9" t="str">
        <f t="shared" si="32"/>
        <v/>
      </c>
    </row>
    <row r="216" spans="1:34" x14ac:dyDescent="0.25">
      <c r="A216" s="68"/>
      <c r="B216" s="68"/>
      <c r="C216" s="65"/>
      <c r="D216" s="65"/>
      <c r="E216" s="66"/>
      <c r="F216" s="65"/>
      <c r="G216" s="67"/>
      <c r="AA216" s="2" t="str">
        <f t="shared" si="28"/>
        <v/>
      </c>
      <c r="AC216" s="9" t="str">
        <f t="shared" si="29"/>
        <v/>
      </c>
      <c r="AD216" s="9" t="str">
        <f t="shared" si="27"/>
        <v/>
      </c>
      <c r="AF216" s="2" t="str">
        <f t="shared" si="33"/>
        <v/>
      </c>
      <c r="AG216" s="9" t="str">
        <f t="shared" si="31"/>
        <v/>
      </c>
      <c r="AH216" s="9" t="str">
        <f t="shared" si="32"/>
        <v/>
      </c>
    </row>
    <row r="217" spans="1:34" x14ac:dyDescent="0.25">
      <c r="A217" s="68"/>
      <c r="B217" s="68"/>
      <c r="C217" s="65"/>
      <c r="D217" s="65"/>
      <c r="E217" s="66"/>
      <c r="F217" s="65"/>
      <c r="G217" s="67"/>
      <c r="AA217" s="2" t="str">
        <f t="shared" si="28"/>
        <v/>
      </c>
      <c r="AC217" s="9" t="str">
        <f t="shared" si="29"/>
        <v/>
      </c>
      <c r="AD217" s="9" t="str">
        <f t="shared" si="27"/>
        <v/>
      </c>
      <c r="AF217" s="2" t="str">
        <f t="shared" si="33"/>
        <v/>
      </c>
      <c r="AG217" s="9" t="str">
        <f t="shared" si="31"/>
        <v/>
      </c>
      <c r="AH217" s="9" t="str">
        <f t="shared" si="32"/>
        <v/>
      </c>
    </row>
    <row r="218" spans="1:34" x14ac:dyDescent="0.25">
      <c r="A218" s="68"/>
      <c r="B218" s="68"/>
      <c r="C218" s="65"/>
      <c r="D218" s="65"/>
      <c r="E218" s="66"/>
      <c r="F218" s="65"/>
      <c r="G218" s="67"/>
      <c r="AA218" s="2" t="str">
        <f t="shared" si="28"/>
        <v/>
      </c>
      <c r="AC218" s="9" t="str">
        <f t="shared" si="29"/>
        <v/>
      </c>
      <c r="AD218" s="9" t="str">
        <f t="shared" si="27"/>
        <v/>
      </c>
      <c r="AF218" s="2" t="str">
        <f t="shared" si="33"/>
        <v/>
      </c>
      <c r="AG218" s="9" t="str">
        <f t="shared" si="31"/>
        <v/>
      </c>
      <c r="AH218" s="9" t="str">
        <f t="shared" si="32"/>
        <v/>
      </c>
    </row>
    <row r="219" spans="1:34" x14ac:dyDescent="0.25">
      <c r="A219" s="68"/>
      <c r="B219" s="68"/>
      <c r="C219" s="65"/>
      <c r="D219" s="65"/>
      <c r="E219" s="66"/>
      <c r="F219" s="65"/>
      <c r="G219" s="67"/>
      <c r="AA219" s="2" t="str">
        <f t="shared" si="28"/>
        <v/>
      </c>
      <c r="AC219" s="9" t="str">
        <f t="shared" si="29"/>
        <v/>
      </c>
      <c r="AD219" s="9" t="str">
        <f t="shared" si="27"/>
        <v/>
      </c>
      <c r="AF219" s="2" t="str">
        <f t="shared" si="33"/>
        <v/>
      </c>
      <c r="AG219" s="9" t="str">
        <f t="shared" si="31"/>
        <v/>
      </c>
      <c r="AH219" s="9" t="str">
        <f t="shared" si="32"/>
        <v/>
      </c>
    </row>
    <row r="220" spans="1:34" x14ac:dyDescent="0.25">
      <c r="A220" s="68"/>
      <c r="B220" s="68"/>
      <c r="C220" s="65"/>
      <c r="D220" s="65"/>
      <c r="E220" s="66"/>
      <c r="F220" s="65"/>
      <c r="G220" s="67"/>
      <c r="AA220" s="2" t="str">
        <f t="shared" si="28"/>
        <v/>
      </c>
      <c r="AC220" s="9" t="str">
        <f t="shared" si="29"/>
        <v/>
      </c>
      <c r="AD220" s="9" t="str">
        <f t="shared" si="27"/>
        <v/>
      </c>
      <c r="AF220" s="2" t="str">
        <f t="shared" si="33"/>
        <v/>
      </c>
      <c r="AG220" s="9" t="str">
        <f t="shared" si="31"/>
        <v/>
      </c>
      <c r="AH220" s="9" t="str">
        <f t="shared" si="32"/>
        <v/>
      </c>
    </row>
    <row r="221" spans="1:34" x14ac:dyDescent="0.25">
      <c r="A221" s="68"/>
      <c r="B221" s="68"/>
      <c r="C221" s="65"/>
      <c r="D221" s="65"/>
      <c r="E221" s="66"/>
      <c r="F221" s="65"/>
      <c r="G221" s="67"/>
      <c r="AA221" s="2" t="str">
        <f t="shared" si="28"/>
        <v/>
      </c>
      <c r="AC221" s="9" t="str">
        <f t="shared" si="29"/>
        <v/>
      </c>
      <c r="AD221" s="9" t="str">
        <f t="shared" si="27"/>
        <v/>
      </c>
      <c r="AF221" s="2" t="str">
        <f t="shared" si="33"/>
        <v/>
      </c>
      <c r="AG221" s="9" t="str">
        <f t="shared" si="31"/>
        <v/>
      </c>
      <c r="AH221" s="9" t="str">
        <f t="shared" si="32"/>
        <v/>
      </c>
    </row>
    <row r="222" spans="1:34" x14ac:dyDescent="0.25">
      <c r="A222" s="68"/>
      <c r="B222" s="68"/>
      <c r="C222" s="65"/>
      <c r="D222" s="65"/>
      <c r="E222" s="66"/>
      <c r="F222" s="65"/>
      <c r="G222" s="67"/>
      <c r="AA222" s="2" t="str">
        <f t="shared" si="28"/>
        <v/>
      </c>
      <c r="AC222" s="9" t="str">
        <f t="shared" si="29"/>
        <v/>
      </c>
      <c r="AD222" s="9" t="str">
        <f t="shared" ref="AD222:AD257" si="34">IF(AA222="","",IF(AA222&lt;=B$16,0,B$15/(B$17-B$16)))</f>
        <v/>
      </c>
      <c r="AF222" s="2" t="str">
        <f t="shared" si="33"/>
        <v/>
      </c>
      <c r="AG222" s="9" t="str">
        <f t="shared" si="31"/>
        <v/>
      </c>
      <c r="AH222" s="9" t="str">
        <f t="shared" si="32"/>
        <v/>
      </c>
    </row>
    <row r="223" spans="1:34" x14ac:dyDescent="0.25">
      <c r="A223" s="68"/>
      <c r="B223" s="68"/>
      <c r="C223" s="65"/>
      <c r="D223" s="65"/>
      <c r="E223" s="66"/>
      <c r="F223" s="65"/>
      <c r="G223" s="67"/>
      <c r="AA223" s="2" t="str">
        <f t="shared" ref="AA223:AA245" si="35">IF(AA222&lt;B$17,AA222+1,"")</f>
        <v/>
      </c>
      <c r="AC223" s="9" t="str">
        <f t="shared" ref="AC223:AC234" si="36">IF(AB223="","",IF(AA223&lt;=B$16,AC222,AC222-AD223))</f>
        <v/>
      </c>
      <c r="AD223" s="9" t="str">
        <f t="shared" si="34"/>
        <v/>
      </c>
      <c r="AF223" s="2" t="str">
        <f t="shared" si="33"/>
        <v/>
      </c>
      <c r="AG223" s="9" t="str">
        <f t="shared" ref="AG223:AG286" si="37">IF(AF223="","",IF(AF223&lt;365,AF223*AC$25*AD223,365*AD223*AC$25))</f>
        <v/>
      </c>
      <c r="AH223" s="9" t="str">
        <f t="shared" ref="AH223:AH286" si="38">IF(AF223="","",IF(AF223&lt;365,AF223*AC$26*AD223,365*AD223*AC$26))</f>
        <v/>
      </c>
    </row>
    <row r="224" spans="1:34" x14ac:dyDescent="0.25">
      <c r="A224" s="68"/>
      <c r="B224" s="68"/>
      <c r="C224" s="65"/>
      <c r="D224" s="65"/>
      <c r="E224" s="66"/>
      <c r="F224" s="65"/>
      <c r="G224" s="67"/>
      <c r="AA224" s="2" t="str">
        <f t="shared" si="35"/>
        <v/>
      </c>
      <c r="AC224" s="9" t="str">
        <f t="shared" si="36"/>
        <v/>
      </c>
      <c r="AD224" s="9" t="str">
        <f t="shared" si="34"/>
        <v/>
      </c>
      <c r="AF224" s="2" t="str">
        <f t="shared" si="33"/>
        <v/>
      </c>
      <c r="AG224" s="9" t="str">
        <f t="shared" si="37"/>
        <v/>
      </c>
      <c r="AH224" s="9" t="str">
        <f t="shared" si="38"/>
        <v/>
      </c>
    </row>
    <row r="225" spans="1:34" x14ac:dyDescent="0.25">
      <c r="A225" s="68"/>
      <c r="B225" s="68"/>
      <c r="C225" s="65"/>
      <c r="D225" s="65"/>
      <c r="E225" s="66"/>
      <c r="F225" s="65"/>
      <c r="G225" s="67"/>
      <c r="AA225" s="2" t="str">
        <f t="shared" si="35"/>
        <v/>
      </c>
      <c r="AC225" s="9" t="str">
        <f t="shared" si="36"/>
        <v/>
      </c>
      <c r="AD225" s="9" t="str">
        <f t="shared" si="34"/>
        <v/>
      </c>
      <c r="AF225" s="2" t="str">
        <f t="shared" si="33"/>
        <v/>
      </c>
      <c r="AG225" s="9" t="str">
        <f t="shared" si="37"/>
        <v/>
      </c>
      <c r="AH225" s="9" t="str">
        <f t="shared" si="38"/>
        <v/>
      </c>
    </row>
    <row r="226" spans="1:34" x14ac:dyDescent="0.25">
      <c r="A226" s="68"/>
      <c r="B226" s="68"/>
      <c r="C226" s="65"/>
      <c r="D226" s="65"/>
      <c r="E226" s="66"/>
      <c r="F226" s="65"/>
      <c r="G226" s="67"/>
      <c r="AA226" s="2" t="str">
        <f t="shared" si="35"/>
        <v/>
      </c>
      <c r="AC226" s="9" t="str">
        <f t="shared" si="36"/>
        <v/>
      </c>
      <c r="AD226" s="9" t="str">
        <f t="shared" si="34"/>
        <v/>
      </c>
      <c r="AF226" s="2" t="str">
        <f t="shared" si="33"/>
        <v/>
      </c>
      <c r="AG226" s="9" t="str">
        <f t="shared" si="37"/>
        <v/>
      </c>
      <c r="AH226" s="9" t="str">
        <f t="shared" si="38"/>
        <v/>
      </c>
    </row>
    <row r="227" spans="1:34" x14ac:dyDescent="0.25">
      <c r="A227" s="68"/>
      <c r="B227" s="68"/>
      <c r="C227" s="65"/>
      <c r="D227" s="65"/>
      <c r="E227" s="66"/>
      <c r="F227" s="65"/>
      <c r="G227" s="67"/>
      <c r="AA227" s="2" t="str">
        <f t="shared" si="35"/>
        <v/>
      </c>
      <c r="AC227" s="9" t="str">
        <f t="shared" si="36"/>
        <v/>
      </c>
      <c r="AD227" s="9" t="str">
        <f t="shared" si="34"/>
        <v/>
      </c>
      <c r="AF227" s="2" t="str">
        <f t="shared" si="33"/>
        <v/>
      </c>
      <c r="AG227" s="9" t="str">
        <f t="shared" si="37"/>
        <v/>
      </c>
      <c r="AH227" s="9" t="str">
        <f t="shared" si="38"/>
        <v/>
      </c>
    </row>
    <row r="228" spans="1:34" x14ac:dyDescent="0.25">
      <c r="A228" s="68"/>
      <c r="B228" s="68"/>
      <c r="C228" s="65"/>
      <c r="D228" s="65"/>
      <c r="E228" s="66"/>
      <c r="F228" s="65"/>
      <c r="G228" s="67"/>
      <c r="AA228" s="2" t="str">
        <f t="shared" si="35"/>
        <v/>
      </c>
      <c r="AC228" s="9" t="str">
        <f t="shared" si="36"/>
        <v/>
      </c>
      <c r="AD228" s="9" t="str">
        <f t="shared" si="34"/>
        <v/>
      </c>
      <c r="AF228" s="2" t="str">
        <f t="shared" si="33"/>
        <v/>
      </c>
      <c r="AG228" s="9" t="str">
        <f t="shared" si="37"/>
        <v/>
      </c>
      <c r="AH228" s="9" t="str">
        <f t="shared" si="38"/>
        <v/>
      </c>
    </row>
    <row r="229" spans="1:34" x14ac:dyDescent="0.25">
      <c r="A229" s="68"/>
      <c r="B229" s="68"/>
      <c r="C229" s="65"/>
      <c r="D229" s="65"/>
      <c r="E229" s="66"/>
      <c r="F229" s="65"/>
      <c r="G229" s="67"/>
      <c r="AA229" s="2" t="str">
        <f t="shared" si="35"/>
        <v/>
      </c>
      <c r="AC229" s="9" t="str">
        <f t="shared" si="36"/>
        <v/>
      </c>
      <c r="AD229" s="9" t="str">
        <f t="shared" si="34"/>
        <v/>
      </c>
      <c r="AF229" s="2" t="str">
        <f t="shared" si="33"/>
        <v/>
      </c>
      <c r="AG229" s="9" t="str">
        <f t="shared" si="37"/>
        <v/>
      </c>
      <c r="AH229" s="9" t="str">
        <f t="shared" si="38"/>
        <v/>
      </c>
    </row>
    <row r="230" spans="1:34" x14ac:dyDescent="0.25">
      <c r="A230" s="68"/>
      <c r="B230" s="68"/>
      <c r="C230" s="65"/>
      <c r="D230" s="65"/>
      <c r="E230" s="66"/>
      <c r="F230" s="65"/>
      <c r="G230" s="67"/>
      <c r="AA230" s="2" t="str">
        <f t="shared" si="35"/>
        <v/>
      </c>
      <c r="AC230" s="9" t="str">
        <f t="shared" si="36"/>
        <v/>
      </c>
      <c r="AD230" s="9" t="str">
        <f t="shared" si="34"/>
        <v/>
      </c>
      <c r="AG230" s="9" t="str">
        <f t="shared" si="37"/>
        <v/>
      </c>
      <c r="AH230" s="9" t="str">
        <f t="shared" si="38"/>
        <v/>
      </c>
    </row>
    <row r="231" spans="1:34" x14ac:dyDescent="0.25">
      <c r="A231" s="68"/>
      <c r="B231" s="68"/>
      <c r="C231" s="65"/>
      <c r="D231" s="65"/>
      <c r="E231" s="66"/>
      <c r="F231" s="65"/>
      <c r="G231" s="67"/>
      <c r="AA231" s="2" t="str">
        <f t="shared" si="35"/>
        <v/>
      </c>
      <c r="AC231" s="9" t="str">
        <f t="shared" si="36"/>
        <v/>
      </c>
      <c r="AD231" s="9" t="str">
        <f t="shared" si="34"/>
        <v/>
      </c>
      <c r="AG231" s="9" t="str">
        <f t="shared" si="37"/>
        <v/>
      </c>
      <c r="AH231" s="9" t="str">
        <f t="shared" si="38"/>
        <v/>
      </c>
    </row>
    <row r="232" spans="1:34" x14ac:dyDescent="0.25">
      <c r="A232" s="68"/>
      <c r="B232" s="68"/>
      <c r="C232" s="65"/>
      <c r="D232" s="65"/>
      <c r="E232" s="66"/>
      <c r="F232" s="65"/>
      <c r="G232" s="67"/>
      <c r="AA232" s="2" t="str">
        <f t="shared" si="35"/>
        <v/>
      </c>
      <c r="AC232" s="9" t="str">
        <f t="shared" si="36"/>
        <v/>
      </c>
      <c r="AD232" s="9" t="str">
        <f t="shared" si="34"/>
        <v/>
      </c>
      <c r="AG232" s="9" t="str">
        <f t="shared" si="37"/>
        <v/>
      </c>
      <c r="AH232" s="9" t="str">
        <f t="shared" si="38"/>
        <v/>
      </c>
    </row>
    <row r="233" spans="1:34" x14ac:dyDescent="0.25">
      <c r="A233" s="68"/>
      <c r="B233" s="68"/>
      <c r="C233" s="65"/>
      <c r="D233" s="65"/>
      <c r="E233" s="66"/>
      <c r="F233" s="65"/>
      <c r="G233" s="67"/>
      <c r="AA233" s="2" t="str">
        <f t="shared" si="35"/>
        <v/>
      </c>
      <c r="AC233" s="9" t="str">
        <f t="shared" si="36"/>
        <v/>
      </c>
      <c r="AD233" s="9" t="str">
        <f t="shared" si="34"/>
        <v/>
      </c>
      <c r="AG233" s="9" t="str">
        <f t="shared" si="37"/>
        <v/>
      </c>
      <c r="AH233" s="9" t="str">
        <f t="shared" si="38"/>
        <v/>
      </c>
    </row>
    <row r="234" spans="1:34" x14ac:dyDescent="0.25">
      <c r="A234" s="68"/>
      <c r="B234" s="68"/>
      <c r="C234" s="65"/>
      <c r="D234" s="65"/>
      <c r="E234" s="66"/>
      <c r="F234" s="65"/>
      <c r="G234" s="67"/>
      <c r="AA234" s="2" t="str">
        <f t="shared" si="35"/>
        <v/>
      </c>
      <c r="AC234" s="9" t="str">
        <f t="shared" si="36"/>
        <v/>
      </c>
      <c r="AD234" s="9" t="str">
        <f t="shared" si="34"/>
        <v/>
      </c>
      <c r="AG234" s="9" t="str">
        <f t="shared" si="37"/>
        <v/>
      </c>
      <c r="AH234" s="9" t="str">
        <f t="shared" si="38"/>
        <v/>
      </c>
    </row>
    <row r="235" spans="1:34" x14ac:dyDescent="0.25">
      <c r="A235" s="68"/>
      <c r="B235" s="68"/>
      <c r="C235" s="65"/>
      <c r="D235" s="65"/>
      <c r="E235" s="66"/>
      <c r="F235" s="65"/>
      <c r="G235" s="67"/>
      <c r="AA235" s="2" t="str">
        <f t="shared" si="35"/>
        <v/>
      </c>
      <c r="AC235" s="9" t="str">
        <f t="shared" ref="AC235:AC244" si="39">IF(AB235="","",E229)</f>
        <v/>
      </c>
      <c r="AD235" s="9" t="str">
        <f t="shared" si="34"/>
        <v/>
      </c>
      <c r="AG235" s="9" t="str">
        <f t="shared" si="37"/>
        <v/>
      </c>
      <c r="AH235" s="9" t="str">
        <f t="shared" si="38"/>
        <v/>
      </c>
    </row>
    <row r="236" spans="1:34" x14ac:dyDescent="0.25">
      <c r="A236" s="68"/>
      <c r="B236" s="68"/>
      <c r="C236" s="65"/>
      <c r="D236" s="65"/>
      <c r="E236" s="66"/>
      <c r="F236" s="65"/>
      <c r="G236" s="67"/>
      <c r="AA236" s="2" t="str">
        <f t="shared" si="35"/>
        <v/>
      </c>
      <c r="AC236" s="9" t="str">
        <f t="shared" si="39"/>
        <v/>
      </c>
      <c r="AD236" s="9" t="str">
        <f t="shared" si="34"/>
        <v/>
      </c>
      <c r="AG236" s="9" t="str">
        <f t="shared" si="37"/>
        <v/>
      </c>
      <c r="AH236" s="9" t="str">
        <f t="shared" si="38"/>
        <v/>
      </c>
    </row>
    <row r="237" spans="1:34" x14ac:dyDescent="0.25">
      <c r="A237" s="68"/>
      <c r="B237" s="68"/>
      <c r="C237" s="65"/>
      <c r="D237" s="65"/>
      <c r="E237" s="66"/>
      <c r="F237" s="65"/>
      <c r="G237" s="67"/>
      <c r="AA237" s="2" t="str">
        <f t="shared" si="35"/>
        <v/>
      </c>
      <c r="AC237" s="9" t="str">
        <f t="shared" si="39"/>
        <v/>
      </c>
      <c r="AD237" s="9" t="str">
        <f t="shared" si="34"/>
        <v/>
      </c>
      <c r="AG237" s="9" t="str">
        <f t="shared" si="37"/>
        <v/>
      </c>
      <c r="AH237" s="9" t="str">
        <f t="shared" si="38"/>
        <v/>
      </c>
    </row>
    <row r="238" spans="1:34" x14ac:dyDescent="0.25">
      <c r="A238" s="68"/>
      <c r="B238" s="68"/>
      <c r="C238" s="65"/>
      <c r="D238" s="65"/>
      <c r="E238" s="66"/>
      <c r="F238" s="65"/>
      <c r="G238" s="67"/>
      <c r="AA238" s="2" t="str">
        <f t="shared" si="35"/>
        <v/>
      </c>
      <c r="AC238" s="9" t="str">
        <f t="shared" si="39"/>
        <v/>
      </c>
      <c r="AD238" s="9" t="str">
        <f t="shared" si="34"/>
        <v/>
      </c>
      <c r="AG238" s="9" t="str">
        <f t="shared" si="37"/>
        <v/>
      </c>
      <c r="AH238" s="9" t="str">
        <f t="shared" si="38"/>
        <v/>
      </c>
    </row>
    <row r="239" spans="1:34" x14ac:dyDescent="0.25">
      <c r="A239" s="68"/>
      <c r="B239" s="68"/>
      <c r="C239" s="65"/>
      <c r="D239" s="65"/>
      <c r="E239" s="66"/>
      <c r="F239" s="65"/>
      <c r="G239" s="67"/>
      <c r="AA239" s="2" t="str">
        <f t="shared" si="35"/>
        <v/>
      </c>
      <c r="AC239" s="9" t="str">
        <f t="shared" si="39"/>
        <v/>
      </c>
      <c r="AD239" s="9" t="str">
        <f t="shared" si="34"/>
        <v/>
      </c>
      <c r="AG239" s="9" t="str">
        <f t="shared" si="37"/>
        <v/>
      </c>
      <c r="AH239" s="9" t="str">
        <f t="shared" si="38"/>
        <v/>
      </c>
    </row>
    <row r="240" spans="1:34" x14ac:dyDescent="0.25">
      <c r="A240" s="68"/>
      <c r="B240" s="68"/>
      <c r="C240" s="65"/>
      <c r="D240" s="65"/>
      <c r="E240" s="66"/>
      <c r="F240" s="65"/>
      <c r="G240" s="67"/>
      <c r="AA240" s="2" t="str">
        <f t="shared" si="35"/>
        <v/>
      </c>
      <c r="AC240" s="9" t="str">
        <f t="shared" si="39"/>
        <v/>
      </c>
      <c r="AD240" s="9" t="str">
        <f t="shared" si="34"/>
        <v/>
      </c>
      <c r="AG240" s="9" t="str">
        <f t="shared" si="37"/>
        <v/>
      </c>
      <c r="AH240" s="9" t="str">
        <f t="shared" si="38"/>
        <v/>
      </c>
    </row>
    <row r="241" spans="1:34" x14ac:dyDescent="0.25">
      <c r="A241" s="68"/>
      <c r="B241" s="68"/>
      <c r="C241" s="65"/>
      <c r="D241" s="65"/>
      <c r="E241" s="66"/>
      <c r="F241" s="65"/>
      <c r="G241" s="67"/>
      <c r="AA241" s="2" t="str">
        <f t="shared" si="35"/>
        <v/>
      </c>
      <c r="AC241" s="9" t="str">
        <f t="shared" si="39"/>
        <v/>
      </c>
      <c r="AD241" s="9" t="str">
        <f t="shared" si="34"/>
        <v/>
      </c>
      <c r="AG241" s="9" t="str">
        <f t="shared" si="37"/>
        <v/>
      </c>
      <c r="AH241" s="9" t="str">
        <f t="shared" si="38"/>
        <v/>
      </c>
    </row>
    <row r="242" spans="1:34" x14ac:dyDescent="0.25">
      <c r="A242" s="68"/>
      <c r="B242" s="68"/>
      <c r="C242" s="65"/>
      <c r="D242" s="65"/>
      <c r="E242" s="66"/>
      <c r="F242" s="65"/>
      <c r="G242" s="67"/>
      <c r="AA242" s="2" t="str">
        <f t="shared" si="35"/>
        <v/>
      </c>
      <c r="AC242" s="9" t="str">
        <f t="shared" si="39"/>
        <v/>
      </c>
      <c r="AD242" s="9" t="str">
        <f t="shared" si="34"/>
        <v/>
      </c>
      <c r="AG242" s="9" t="str">
        <f t="shared" si="37"/>
        <v/>
      </c>
      <c r="AH242" s="9" t="str">
        <f t="shared" si="38"/>
        <v/>
      </c>
    </row>
    <row r="243" spans="1:34" x14ac:dyDescent="0.25">
      <c r="A243" s="68"/>
      <c r="B243" s="68"/>
      <c r="C243" s="65"/>
      <c r="D243" s="65"/>
      <c r="E243" s="66"/>
      <c r="F243" s="65"/>
      <c r="G243" s="67"/>
      <c r="AA243" s="2" t="str">
        <f t="shared" si="35"/>
        <v/>
      </c>
      <c r="AC243" s="9" t="str">
        <f t="shared" si="39"/>
        <v/>
      </c>
      <c r="AD243" s="9" t="str">
        <f t="shared" si="34"/>
        <v/>
      </c>
      <c r="AG243" s="9" t="str">
        <f t="shared" si="37"/>
        <v/>
      </c>
      <c r="AH243" s="9" t="str">
        <f t="shared" si="38"/>
        <v/>
      </c>
    </row>
    <row r="244" spans="1:34" x14ac:dyDescent="0.25">
      <c r="A244" s="68"/>
      <c r="B244" s="68"/>
      <c r="C244" s="65"/>
      <c r="D244" s="65"/>
      <c r="E244" s="66"/>
      <c r="F244" s="65"/>
      <c r="G244" s="67"/>
      <c r="AA244" s="2" t="str">
        <f t="shared" si="35"/>
        <v/>
      </c>
      <c r="AC244" s="9" t="str">
        <f t="shared" si="39"/>
        <v/>
      </c>
      <c r="AD244" s="9" t="str">
        <f t="shared" si="34"/>
        <v/>
      </c>
      <c r="AG244" s="9" t="str">
        <f t="shared" si="37"/>
        <v/>
      </c>
      <c r="AH244" s="9" t="str">
        <f t="shared" si="38"/>
        <v/>
      </c>
    </row>
    <row r="245" spans="1:34" x14ac:dyDescent="0.25">
      <c r="A245" s="68"/>
      <c r="B245" s="68"/>
      <c r="C245" s="65"/>
      <c r="D245" s="65"/>
      <c r="E245" s="66"/>
      <c r="F245" s="65"/>
      <c r="G245" s="67"/>
      <c r="AA245" s="2" t="str">
        <f t="shared" si="35"/>
        <v/>
      </c>
      <c r="AD245" s="9" t="str">
        <f t="shared" si="34"/>
        <v/>
      </c>
      <c r="AG245" s="9" t="str">
        <f t="shared" si="37"/>
        <v/>
      </c>
      <c r="AH245" s="9" t="str">
        <f t="shared" si="38"/>
        <v/>
      </c>
    </row>
    <row r="246" spans="1:34" x14ac:dyDescent="0.25">
      <c r="A246" s="68"/>
      <c r="B246" s="68"/>
      <c r="C246" s="65"/>
      <c r="D246" s="65"/>
      <c r="E246" s="66"/>
      <c r="F246" s="65"/>
      <c r="G246" s="67"/>
      <c r="AD246" s="9" t="str">
        <f t="shared" si="34"/>
        <v/>
      </c>
      <c r="AG246" s="9" t="str">
        <f t="shared" si="37"/>
        <v/>
      </c>
      <c r="AH246" s="9" t="str">
        <f t="shared" si="38"/>
        <v/>
      </c>
    </row>
    <row r="247" spans="1:34" x14ac:dyDescent="0.25">
      <c r="A247" s="68"/>
      <c r="B247" s="68"/>
      <c r="C247" s="65"/>
      <c r="D247" s="65"/>
      <c r="E247" s="66"/>
      <c r="F247" s="65"/>
      <c r="G247" s="67"/>
      <c r="AD247" s="9" t="str">
        <f t="shared" si="34"/>
        <v/>
      </c>
      <c r="AG247" s="9" t="str">
        <f t="shared" si="37"/>
        <v/>
      </c>
      <c r="AH247" s="9" t="str">
        <f t="shared" si="38"/>
        <v/>
      </c>
    </row>
    <row r="248" spans="1:34" x14ac:dyDescent="0.25">
      <c r="A248" s="68"/>
      <c r="B248" s="68"/>
      <c r="C248" s="65"/>
      <c r="D248" s="65"/>
      <c r="E248" s="66"/>
      <c r="F248" s="65"/>
      <c r="G248" s="67"/>
      <c r="AD248" s="9" t="str">
        <f t="shared" si="34"/>
        <v/>
      </c>
      <c r="AG248" s="9" t="str">
        <f t="shared" si="37"/>
        <v/>
      </c>
      <c r="AH248" s="9" t="str">
        <f t="shared" si="38"/>
        <v/>
      </c>
    </row>
    <row r="249" spans="1:34" x14ac:dyDescent="0.25">
      <c r="A249" s="68"/>
      <c r="B249" s="68"/>
      <c r="C249" s="65"/>
      <c r="D249" s="65"/>
      <c r="E249" s="66"/>
      <c r="F249" s="65"/>
      <c r="G249" s="67"/>
      <c r="AD249" s="9" t="str">
        <f t="shared" si="34"/>
        <v/>
      </c>
      <c r="AG249" s="9" t="str">
        <f t="shared" si="37"/>
        <v/>
      </c>
      <c r="AH249" s="9" t="str">
        <f t="shared" si="38"/>
        <v/>
      </c>
    </row>
    <row r="250" spans="1:34" x14ac:dyDescent="0.25">
      <c r="A250" s="68"/>
      <c r="B250" s="68"/>
      <c r="C250" s="65"/>
      <c r="D250" s="65"/>
      <c r="E250" s="66"/>
      <c r="F250" s="65"/>
      <c r="G250" s="67"/>
      <c r="AD250" s="9" t="str">
        <f t="shared" si="34"/>
        <v/>
      </c>
      <c r="AG250" s="9" t="str">
        <f t="shared" si="37"/>
        <v/>
      </c>
      <c r="AH250" s="9" t="str">
        <f t="shared" si="38"/>
        <v/>
      </c>
    </row>
    <row r="251" spans="1:34" x14ac:dyDescent="0.25">
      <c r="A251" s="68"/>
      <c r="B251" s="68"/>
      <c r="C251" s="65"/>
      <c r="D251" s="65"/>
      <c r="E251" s="66"/>
      <c r="F251" s="65"/>
      <c r="G251" s="67"/>
      <c r="AD251" s="9" t="str">
        <f t="shared" si="34"/>
        <v/>
      </c>
      <c r="AG251" s="9" t="str">
        <f t="shared" si="37"/>
        <v/>
      </c>
      <c r="AH251" s="9" t="str">
        <f t="shared" si="38"/>
        <v/>
      </c>
    </row>
    <row r="252" spans="1:34" x14ac:dyDescent="0.25">
      <c r="A252" s="68"/>
      <c r="B252" s="68"/>
      <c r="C252" s="65"/>
      <c r="D252" s="65"/>
      <c r="E252" s="66"/>
      <c r="F252" s="65"/>
      <c r="G252" s="67"/>
      <c r="AD252" s="9" t="str">
        <f t="shared" si="34"/>
        <v/>
      </c>
      <c r="AG252" s="9" t="str">
        <f t="shared" si="37"/>
        <v/>
      </c>
      <c r="AH252" s="9" t="str">
        <f t="shared" si="38"/>
        <v/>
      </c>
    </row>
    <row r="253" spans="1:34" x14ac:dyDescent="0.25">
      <c r="A253" s="68"/>
      <c r="B253" s="68"/>
      <c r="C253" s="65"/>
      <c r="D253" s="65"/>
      <c r="E253" s="66"/>
      <c r="F253" s="65"/>
      <c r="G253" s="67"/>
      <c r="AD253" s="9" t="str">
        <f t="shared" si="34"/>
        <v/>
      </c>
      <c r="AG253" s="9" t="str">
        <f t="shared" si="37"/>
        <v/>
      </c>
      <c r="AH253" s="9" t="str">
        <f t="shared" si="38"/>
        <v/>
      </c>
    </row>
    <row r="254" spans="1:34" x14ac:dyDescent="0.25">
      <c r="A254" s="68"/>
      <c r="B254" s="68"/>
      <c r="C254" s="65"/>
      <c r="D254" s="65"/>
      <c r="E254" s="66"/>
      <c r="F254" s="65"/>
      <c r="G254" s="67"/>
      <c r="AD254" s="9" t="str">
        <f t="shared" si="34"/>
        <v/>
      </c>
      <c r="AG254" s="9" t="str">
        <f t="shared" si="37"/>
        <v/>
      </c>
      <c r="AH254" s="9" t="str">
        <f t="shared" si="38"/>
        <v/>
      </c>
    </row>
    <row r="255" spans="1:34" x14ac:dyDescent="0.25">
      <c r="A255" s="68"/>
      <c r="B255" s="68"/>
      <c r="C255" s="65"/>
      <c r="D255" s="65"/>
      <c r="E255" s="66"/>
      <c r="F255" s="65"/>
      <c r="G255" s="67"/>
      <c r="AD255" s="9" t="str">
        <f t="shared" si="34"/>
        <v/>
      </c>
      <c r="AG255" s="9" t="str">
        <f t="shared" si="37"/>
        <v/>
      </c>
      <c r="AH255" s="9" t="str">
        <f t="shared" si="38"/>
        <v/>
      </c>
    </row>
    <row r="256" spans="1:34" x14ac:dyDescent="0.25">
      <c r="A256" s="68"/>
      <c r="B256" s="68"/>
      <c r="C256" s="65"/>
      <c r="D256" s="65"/>
      <c r="E256" s="66"/>
      <c r="F256" s="65"/>
      <c r="G256" s="67"/>
      <c r="AD256" s="9" t="str">
        <f t="shared" si="34"/>
        <v/>
      </c>
      <c r="AG256" s="9" t="str">
        <f t="shared" si="37"/>
        <v/>
      </c>
      <c r="AH256" s="9" t="str">
        <f t="shared" si="38"/>
        <v/>
      </c>
    </row>
    <row r="257" spans="1:34" x14ac:dyDescent="0.25">
      <c r="A257" s="68"/>
      <c r="B257" s="68"/>
      <c r="C257" s="65"/>
      <c r="D257" s="65"/>
      <c r="E257" s="66"/>
      <c r="F257" s="65"/>
      <c r="G257" s="67"/>
      <c r="AD257" s="9" t="str">
        <f t="shared" si="34"/>
        <v/>
      </c>
      <c r="AG257" s="9" t="str">
        <f t="shared" si="37"/>
        <v/>
      </c>
      <c r="AH257" s="9" t="str">
        <f t="shared" si="38"/>
        <v/>
      </c>
    </row>
    <row r="258" spans="1:34" x14ac:dyDescent="0.25">
      <c r="A258" s="68"/>
      <c r="B258" s="68"/>
      <c r="C258" s="65"/>
      <c r="D258" s="65"/>
      <c r="E258" s="66"/>
      <c r="F258" s="65"/>
      <c r="G258" s="67"/>
      <c r="AD258" s="9" t="str">
        <f t="shared" ref="AD258:AD321" si="40">IF(AC258="","",C253)</f>
        <v/>
      </c>
      <c r="AG258" s="9" t="str">
        <f t="shared" si="37"/>
        <v/>
      </c>
      <c r="AH258" s="9" t="str">
        <f t="shared" si="38"/>
        <v/>
      </c>
    </row>
    <row r="259" spans="1:34" x14ac:dyDescent="0.25">
      <c r="A259" s="68"/>
      <c r="B259" s="68"/>
      <c r="C259" s="65"/>
      <c r="D259" s="65"/>
      <c r="E259" s="66"/>
      <c r="F259" s="65"/>
      <c r="G259" s="67"/>
      <c r="AD259" s="9" t="str">
        <f t="shared" si="40"/>
        <v/>
      </c>
      <c r="AG259" s="9" t="str">
        <f t="shared" si="37"/>
        <v/>
      </c>
      <c r="AH259" s="9" t="str">
        <f t="shared" si="38"/>
        <v/>
      </c>
    </row>
    <row r="260" spans="1:34" x14ac:dyDescent="0.25">
      <c r="A260" s="68"/>
      <c r="B260" s="68"/>
      <c r="C260" s="65"/>
      <c r="D260" s="65"/>
      <c r="E260" s="66"/>
      <c r="F260" s="65"/>
      <c r="G260" s="67"/>
      <c r="AD260" s="9" t="str">
        <f t="shared" si="40"/>
        <v/>
      </c>
      <c r="AG260" s="9" t="str">
        <f t="shared" si="37"/>
        <v/>
      </c>
      <c r="AH260" s="9" t="str">
        <f t="shared" si="38"/>
        <v/>
      </c>
    </row>
    <row r="261" spans="1:34" x14ac:dyDescent="0.25">
      <c r="A261" s="68"/>
      <c r="B261" s="68"/>
      <c r="C261" s="65"/>
      <c r="D261" s="65"/>
      <c r="E261" s="66"/>
      <c r="F261" s="65"/>
      <c r="G261" s="67"/>
      <c r="AD261" s="9" t="str">
        <f t="shared" si="40"/>
        <v/>
      </c>
      <c r="AG261" s="9" t="str">
        <f t="shared" si="37"/>
        <v/>
      </c>
      <c r="AH261" s="9" t="str">
        <f t="shared" si="38"/>
        <v/>
      </c>
    </row>
    <row r="262" spans="1:34" x14ac:dyDescent="0.25">
      <c r="A262" s="68"/>
      <c r="B262" s="68"/>
      <c r="C262" s="65"/>
      <c r="D262" s="65"/>
      <c r="E262" s="66"/>
      <c r="F262" s="65"/>
      <c r="G262" s="67"/>
      <c r="AD262" s="9" t="str">
        <f t="shared" si="40"/>
        <v/>
      </c>
      <c r="AG262" s="9" t="str">
        <f t="shared" si="37"/>
        <v/>
      </c>
      <c r="AH262" s="9" t="str">
        <f t="shared" si="38"/>
        <v/>
      </c>
    </row>
    <row r="263" spans="1:34" x14ac:dyDescent="0.25">
      <c r="A263" s="68"/>
      <c r="B263" s="68"/>
      <c r="C263" s="65"/>
      <c r="D263" s="65"/>
      <c r="E263" s="66"/>
      <c r="F263" s="65"/>
      <c r="G263" s="67"/>
      <c r="AD263" s="9" t="str">
        <f t="shared" si="40"/>
        <v/>
      </c>
      <c r="AG263" s="9" t="str">
        <f t="shared" si="37"/>
        <v/>
      </c>
      <c r="AH263" s="9" t="str">
        <f t="shared" si="38"/>
        <v/>
      </c>
    </row>
    <row r="264" spans="1:34" x14ac:dyDescent="0.25">
      <c r="A264" s="68"/>
      <c r="B264" s="68"/>
      <c r="C264" s="65"/>
      <c r="D264" s="65"/>
      <c r="E264" s="66"/>
      <c r="F264" s="65"/>
      <c r="G264" s="67"/>
      <c r="AD264" s="9" t="str">
        <f t="shared" si="40"/>
        <v/>
      </c>
      <c r="AG264" s="9" t="str">
        <f t="shared" si="37"/>
        <v/>
      </c>
      <c r="AH264" s="9" t="str">
        <f t="shared" si="38"/>
        <v/>
      </c>
    </row>
    <row r="265" spans="1:34" x14ac:dyDescent="0.25">
      <c r="A265" s="68"/>
      <c r="B265" s="68"/>
      <c r="C265" s="65"/>
      <c r="D265" s="65"/>
      <c r="E265" s="66"/>
      <c r="F265" s="65"/>
      <c r="G265" s="67"/>
      <c r="AD265" s="9" t="str">
        <f t="shared" si="40"/>
        <v/>
      </c>
      <c r="AG265" s="9" t="str">
        <f t="shared" si="37"/>
        <v/>
      </c>
      <c r="AH265" s="9" t="str">
        <f t="shared" si="38"/>
        <v/>
      </c>
    </row>
    <row r="266" spans="1:34" x14ac:dyDescent="0.25">
      <c r="A266" s="68"/>
      <c r="B266" s="68"/>
      <c r="C266" s="65"/>
      <c r="D266" s="65"/>
      <c r="E266" s="66"/>
      <c r="F266" s="65"/>
      <c r="G266" s="67"/>
      <c r="AD266" s="9" t="str">
        <f t="shared" si="40"/>
        <v/>
      </c>
      <c r="AG266" s="9" t="str">
        <f t="shared" si="37"/>
        <v/>
      </c>
      <c r="AH266" s="9" t="str">
        <f t="shared" si="38"/>
        <v/>
      </c>
    </row>
    <row r="267" spans="1:34" x14ac:dyDescent="0.25">
      <c r="A267" s="68"/>
      <c r="B267" s="68"/>
      <c r="C267" s="65"/>
      <c r="D267" s="65"/>
      <c r="E267" s="66"/>
      <c r="F267" s="65"/>
      <c r="G267" s="67"/>
      <c r="AD267" s="9" t="str">
        <f t="shared" si="40"/>
        <v/>
      </c>
      <c r="AG267" s="9" t="str">
        <f t="shared" si="37"/>
        <v/>
      </c>
      <c r="AH267" s="9" t="str">
        <f t="shared" si="38"/>
        <v/>
      </c>
    </row>
    <row r="268" spans="1:34" x14ac:dyDescent="0.25">
      <c r="A268" s="68"/>
      <c r="B268" s="68"/>
      <c r="C268" s="65"/>
      <c r="D268" s="65"/>
      <c r="E268" s="66"/>
      <c r="F268" s="65"/>
      <c r="G268" s="67"/>
      <c r="AD268" s="9" t="str">
        <f t="shared" si="40"/>
        <v/>
      </c>
      <c r="AG268" s="9" t="str">
        <f t="shared" si="37"/>
        <v/>
      </c>
      <c r="AH268" s="9" t="str">
        <f t="shared" si="38"/>
        <v/>
      </c>
    </row>
    <row r="269" spans="1:34" x14ac:dyDescent="0.25">
      <c r="A269" s="68"/>
      <c r="B269" s="68"/>
      <c r="C269" s="65"/>
      <c r="D269" s="65"/>
      <c r="E269" s="66"/>
      <c r="F269" s="65"/>
      <c r="G269" s="67"/>
      <c r="AD269" s="9" t="str">
        <f t="shared" si="40"/>
        <v/>
      </c>
      <c r="AG269" s="9" t="str">
        <f t="shared" si="37"/>
        <v/>
      </c>
      <c r="AH269" s="9" t="str">
        <f t="shared" si="38"/>
        <v/>
      </c>
    </row>
    <row r="270" spans="1:34" x14ac:dyDescent="0.25">
      <c r="A270" s="68"/>
      <c r="B270" s="68"/>
      <c r="C270" s="65"/>
      <c r="D270" s="65"/>
      <c r="E270" s="66"/>
      <c r="F270" s="65"/>
      <c r="G270" s="67"/>
      <c r="AD270" s="9" t="str">
        <f t="shared" si="40"/>
        <v/>
      </c>
      <c r="AG270" s="9" t="str">
        <f t="shared" si="37"/>
        <v/>
      </c>
      <c r="AH270" s="9" t="str">
        <f t="shared" si="38"/>
        <v/>
      </c>
    </row>
    <row r="271" spans="1:34" x14ac:dyDescent="0.25">
      <c r="A271" s="68"/>
      <c r="B271" s="68"/>
      <c r="C271" s="65"/>
      <c r="D271" s="65"/>
      <c r="E271" s="66"/>
      <c r="F271" s="65"/>
      <c r="G271" s="67"/>
      <c r="AD271" s="9" t="str">
        <f t="shared" si="40"/>
        <v/>
      </c>
      <c r="AG271" s="9" t="str">
        <f t="shared" si="37"/>
        <v/>
      </c>
      <c r="AH271" s="9" t="str">
        <f t="shared" si="38"/>
        <v/>
      </c>
    </row>
    <row r="272" spans="1:34" x14ac:dyDescent="0.25">
      <c r="A272" s="68"/>
      <c r="B272" s="68"/>
      <c r="C272" s="65"/>
      <c r="D272" s="65"/>
      <c r="E272" s="66"/>
      <c r="F272" s="65"/>
      <c r="G272" s="67"/>
      <c r="AD272" s="9" t="str">
        <f t="shared" si="40"/>
        <v/>
      </c>
      <c r="AG272" s="9" t="str">
        <f t="shared" si="37"/>
        <v/>
      </c>
      <c r="AH272" s="9" t="str">
        <f t="shared" si="38"/>
        <v/>
      </c>
    </row>
    <row r="273" spans="1:34" x14ac:dyDescent="0.25">
      <c r="A273" s="68"/>
      <c r="B273" s="68"/>
      <c r="C273" s="65"/>
      <c r="D273" s="65"/>
      <c r="E273" s="66"/>
      <c r="F273" s="65"/>
      <c r="G273" s="67"/>
      <c r="AD273" s="9" t="str">
        <f t="shared" si="40"/>
        <v/>
      </c>
      <c r="AG273" s="9" t="str">
        <f t="shared" si="37"/>
        <v/>
      </c>
      <c r="AH273" s="9" t="str">
        <f t="shared" si="38"/>
        <v/>
      </c>
    </row>
    <row r="274" spans="1:34" x14ac:dyDescent="0.25">
      <c r="A274" s="68"/>
      <c r="B274" s="68"/>
      <c r="C274" s="65"/>
      <c r="D274" s="65"/>
      <c r="E274" s="66"/>
      <c r="F274" s="65"/>
      <c r="G274" s="67"/>
      <c r="AD274" s="9" t="str">
        <f t="shared" si="40"/>
        <v/>
      </c>
      <c r="AG274" s="9" t="str">
        <f t="shared" si="37"/>
        <v/>
      </c>
      <c r="AH274" s="9" t="str">
        <f t="shared" si="38"/>
        <v/>
      </c>
    </row>
    <row r="275" spans="1:34" x14ac:dyDescent="0.25">
      <c r="A275" s="68"/>
      <c r="B275" s="68"/>
      <c r="C275" s="65"/>
      <c r="D275" s="65"/>
      <c r="E275" s="66"/>
      <c r="F275" s="65"/>
      <c r="G275" s="67"/>
      <c r="AD275" s="9" t="str">
        <f t="shared" si="40"/>
        <v/>
      </c>
      <c r="AG275" s="9" t="str">
        <f t="shared" si="37"/>
        <v/>
      </c>
      <c r="AH275" s="9" t="str">
        <f t="shared" si="38"/>
        <v/>
      </c>
    </row>
    <row r="276" spans="1:34" x14ac:dyDescent="0.25">
      <c r="A276" s="68"/>
      <c r="B276" s="68"/>
      <c r="C276" s="65"/>
      <c r="D276" s="65"/>
      <c r="E276" s="66"/>
      <c r="F276" s="65"/>
      <c r="G276" s="67"/>
      <c r="AD276" s="9" t="str">
        <f t="shared" si="40"/>
        <v/>
      </c>
      <c r="AG276" s="9" t="str">
        <f t="shared" si="37"/>
        <v/>
      </c>
      <c r="AH276" s="9" t="str">
        <f t="shared" si="38"/>
        <v/>
      </c>
    </row>
    <row r="277" spans="1:34" x14ac:dyDescent="0.25">
      <c r="A277" s="68"/>
      <c r="B277" s="68"/>
      <c r="C277" s="65"/>
      <c r="D277" s="65"/>
      <c r="E277" s="66"/>
      <c r="F277" s="65"/>
      <c r="G277" s="67"/>
      <c r="AD277" s="9" t="str">
        <f t="shared" si="40"/>
        <v/>
      </c>
      <c r="AG277" s="9" t="str">
        <f t="shared" si="37"/>
        <v/>
      </c>
      <c r="AH277" s="9" t="str">
        <f t="shared" si="38"/>
        <v/>
      </c>
    </row>
    <row r="278" spans="1:34" x14ac:dyDescent="0.25">
      <c r="A278" s="68"/>
      <c r="B278" s="68"/>
      <c r="C278" s="65"/>
      <c r="D278" s="65"/>
      <c r="E278" s="66"/>
      <c r="F278" s="65"/>
      <c r="G278" s="67"/>
      <c r="AD278" s="9" t="str">
        <f t="shared" si="40"/>
        <v/>
      </c>
      <c r="AG278" s="9" t="str">
        <f t="shared" si="37"/>
        <v/>
      </c>
      <c r="AH278" s="9" t="str">
        <f t="shared" si="38"/>
        <v/>
      </c>
    </row>
    <row r="279" spans="1:34" x14ac:dyDescent="0.25">
      <c r="A279" s="68"/>
      <c r="B279" s="68"/>
      <c r="C279" s="65"/>
      <c r="D279" s="65"/>
      <c r="E279" s="66"/>
      <c r="F279" s="65"/>
      <c r="G279" s="67"/>
      <c r="AD279" s="9" t="str">
        <f t="shared" si="40"/>
        <v/>
      </c>
      <c r="AG279" s="9" t="str">
        <f t="shared" si="37"/>
        <v/>
      </c>
      <c r="AH279" s="9" t="str">
        <f t="shared" si="38"/>
        <v/>
      </c>
    </row>
    <row r="280" spans="1:34" x14ac:dyDescent="0.25">
      <c r="A280" s="68"/>
      <c r="B280" s="68"/>
      <c r="C280" s="65"/>
      <c r="D280" s="65"/>
      <c r="E280" s="66"/>
      <c r="F280" s="65"/>
      <c r="G280" s="67"/>
      <c r="AD280" s="9" t="str">
        <f t="shared" si="40"/>
        <v/>
      </c>
      <c r="AG280" s="9" t="str">
        <f t="shared" si="37"/>
        <v/>
      </c>
      <c r="AH280" s="9" t="str">
        <f t="shared" si="38"/>
        <v/>
      </c>
    </row>
    <row r="281" spans="1:34" x14ac:dyDescent="0.25">
      <c r="A281" s="68"/>
      <c r="B281" s="68"/>
      <c r="C281" s="65"/>
      <c r="D281" s="65"/>
      <c r="E281" s="66"/>
      <c r="F281" s="65"/>
      <c r="G281" s="67"/>
      <c r="AD281" s="9" t="str">
        <f t="shared" si="40"/>
        <v/>
      </c>
      <c r="AG281" s="9" t="str">
        <f t="shared" si="37"/>
        <v/>
      </c>
      <c r="AH281" s="9" t="str">
        <f t="shared" si="38"/>
        <v/>
      </c>
    </row>
    <row r="282" spans="1:34" x14ac:dyDescent="0.25">
      <c r="A282" s="68"/>
      <c r="B282" s="68"/>
      <c r="C282" s="65"/>
      <c r="D282" s="65"/>
      <c r="E282" s="66"/>
      <c r="F282" s="65"/>
      <c r="G282" s="67"/>
      <c r="AD282" s="9" t="str">
        <f t="shared" si="40"/>
        <v/>
      </c>
      <c r="AG282" s="9" t="str">
        <f t="shared" si="37"/>
        <v/>
      </c>
      <c r="AH282" s="9" t="str">
        <f t="shared" si="38"/>
        <v/>
      </c>
    </row>
    <row r="283" spans="1:34" x14ac:dyDescent="0.25">
      <c r="A283" s="68"/>
      <c r="B283" s="68"/>
      <c r="C283" s="65"/>
      <c r="D283" s="65"/>
      <c r="E283" s="66"/>
      <c r="F283" s="65"/>
      <c r="G283" s="67"/>
      <c r="AD283" s="9" t="str">
        <f t="shared" si="40"/>
        <v/>
      </c>
      <c r="AG283" s="9" t="str">
        <f t="shared" si="37"/>
        <v/>
      </c>
      <c r="AH283" s="9" t="str">
        <f t="shared" si="38"/>
        <v/>
      </c>
    </row>
    <row r="284" spans="1:34" x14ac:dyDescent="0.25">
      <c r="A284" s="68"/>
      <c r="B284" s="68"/>
      <c r="C284" s="65"/>
      <c r="D284" s="65"/>
      <c r="E284" s="66"/>
      <c r="F284" s="65"/>
      <c r="G284" s="67"/>
      <c r="AD284" s="9" t="str">
        <f t="shared" si="40"/>
        <v/>
      </c>
      <c r="AG284" s="9" t="str">
        <f t="shared" si="37"/>
        <v/>
      </c>
      <c r="AH284" s="9" t="str">
        <f t="shared" si="38"/>
        <v/>
      </c>
    </row>
    <row r="285" spans="1:34" x14ac:dyDescent="0.25">
      <c r="A285" s="68"/>
      <c r="B285" s="68"/>
      <c r="C285" s="65"/>
      <c r="D285" s="65"/>
      <c r="E285" s="66"/>
      <c r="F285" s="65"/>
      <c r="G285" s="67"/>
      <c r="AD285" s="9" t="str">
        <f t="shared" si="40"/>
        <v/>
      </c>
      <c r="AG285" s="9" t="str">
        <f t="shared" si="37"/>
        <v/>
      </c>
      <c r="AH285" s="9" t="str">
        <f t="shared" si="38"/>
        <v/>
      </c>
    </row>
    <row r="286" spans="1:34" x14ac:dyDescent="0.25">
      <c r="A286" s="68"/>
      <c r="B286" s="68"/>
      <c r="C286" s="65"/>
      <c r="D286" s="65"/>
      <c r="E286" s="66"/>
      <c r="F286" s="65"/>
      <c r="G286" s="67"/>
      <c r="AD286" s="9" t="str">
        <f t="shared" si="40"/>
        <v/>
      </c>
      <c r="AG286" s="9" t="str">
        <f t="shared" si="37"/>
        <v/>
      </c>
      <c r="AH286" s="9" t="str">
        <f t="shared" si="38"/>
        <v/>
      </c>
    </row>
    <row r="287" spans="1:34" x14ac:dyDescent="0.25">
      <c r="A287" s="68"/>
      <c r="B287" s="68"/>
      <c r="C287" s="65"/>
      <c r="D287" s="65"/>
      <c r="E287" s="66"/>
      <c r="F287" s="65"/>
      <c r="G287" s="67"/>
      <c r="AD287" s="9" t="str">
        <f t="shared" si="40"/>
        <v/>
      </c>
      <c r="AG287" s="9" t="str">
        <f t="shared" ref="AG287:AG350" si="41">IF(AF287="","",IF(AF287&lt;365,AF287*AC$25*AD287,365*AD287*AC$25))</f>
        <v/>
      </c>
      <c r="AH287" s="9" t="str">
        <f t="shared" ref="AH287:AH310" si="42">IF(AF287="","",IF(AF287&lt;365,AF287*AC$26*AD287,365*AD287*AC$26))</f>
        <v/>
      </c>
    </row>
    <row r="288" spans="1:34" x14ac:dyDescent="0.25">
      <c r="A288" s="68"/>
      <c r="B288" s="68"/>
      <c r="C288" s="65"/>
      <c r="D288" s="65"/>
      <c r="E288" s="66"/>
      <c r="F288" s="65"/>
      <c r="G288" s="67"/>
      <c r="AD288" s="9" t="str">
        <f t="shared" si="40"/>
        <v/>
      </c>
      <c r="AG288" s="9" t="str">
        <f t="shared" si="41"/>
        <v/>
      </c>
      <c r="AH288" s="9" t="str">
        <f t="shared" si="42"/>
        <v/>
      </c>
    </row>
    <row r="289" spans="1:34" x14ac:dyDescent="0.25">
      <c r="A289" s="68"/>
      <c r="B289" s="68"/>
      <c r="C289" s="65"/>
      <c r="D289" s="65"/>
      <c r="E289" s="66"/>
      <c r="F289" s="65"/>
      <c r="G289" s="67"/>
      <c r="AD289" s="9" t="str">
        <f t="shared" si="40"/>
        <v/>
      </c>
      <c r="AG289" s="9" t="str">
        <f t="shared" si="41"/>
        <v/>
      </c>
      <c r="AH289" s="9" t="str">
        <f t="shared" si="42"/>
        <v/>
      </c>
    </row>
    <row r="290" spans="1:34" x14ac:dyDescent="0.25">
      <c r="A290" s="68"/>
      <c r="B290" s="68"/>
      <c r="C290" s="65"/>
      <c r="D290" s="65"/>
      <c r="E290" s="66"/>
      <c r="F290" s="65"/>
      <c r="G290" s="67"/>
      <c r="AD290" s="9" t="str">
        <f t="shared" si="40"/>
        <v/>
      </c>
      <c r="AG290" s="9" t="str">
        <f t="shared" si="41"/>
        <v/>
      </c>
      <c r="AH290" s="9" t="str">
        <f t="shared" si="42"/>
        <v/>
      </c>
    </row>
    <row r="291" spans="1:34" x14ac:dyDescent="0.25">
      <c r="A291" s="68"/>
      <c r="B291" s="68"/>
      <c r="C291" s="65"/>
      <c r="D291" s="65"/>
      <c r="E291" s="66"/>
      <c r="F291" s="65"/>
      <c r="G291" s="67"/>
      <c r="AD291" s="9" t="str">
        <f t="shared" si="40"/>
        <v/>
      </c>
      <c r="AG291" s="9" t="str">
        <f t="shared" si="41"/>
        <v/>
      </c>
      <c r="AH291" s="9" t="str">
        <f t="shared" si="42"/>
        <v/>
      </c>
    </row>
    <row r="292" spans="1:34" x14ac:dyDescent="0.25">
      <c r="A292" s="68"/>
      <c r="B292" s="68"/>
      <c r="C292" s="65"/>
      <c r="D292" s="65"/>
      <c r="E292" s="66"/>
      <c r="F292" s="65"/>
      <c r="G292" s="67"/>
      <c r="AD292" s="9" t="str">
        <f t="shared" si="40"/>
        <v/>
      </c>
      <c r="AG292" s="9" t="str">
        <f t="shared" si="41"/>
        <v/>
      </c>
      <c r="AH292" s="9" t="str">
        <f t="shared" si="42"/>
        <v/>
      </c>
    </row>
    <row r="293" spans="1:34" x14ac:dyDescent="0.25">
      <c r="A293" s="68"/>
      <c r="B293" s="68"/>
      <c r="C293" s="65"/>
      <c r="D293" s="65"/>
      <c r="E293" s="66"/>
      <c r="F293" s="65"/>
      <c r="G293" s="67"/>
      <c r="AD293" s="9" t="str">
        <f t="shared" si="40"/>
        <v/>
      </c>
      <c r="AG293" s="9" t="str">
        <f t="shared" si="41"/>
        <v/>
      </c>
      <c r="AH293" s="9" t="str">
        <f t="shared" si="42"/>
        <v/>
      </c>
    </row>
    <row r="294" spans="1:34" x14ac:dyDescent="0.25">
      <c r="A294" s="68"/>
      <c r="B294" s="68"/>
      <c r="C294" s="65"/>
      <c r="D294" s="65"/>
      <c r="E294" s="66"/>
      <c r="F294" s="65"/>
      <c r="G294" s="67"/>
      <c r="AD294" s="9" t="str">
        <f t="shared" si="40"/>
        <v/>
      </c>
      <c r="AG294" s="9" t="str">
        <f t="shared" si="41"/>
        <v/>
      </c>
      <c r="AH294" s="9" t="str">
        <f t="shared" si="42"/>
        <v/>
      </c>
    </row>
    <row r="295" spans="1:34" x14ac:dyDescent="0.25">
      <c r="A295" s="68"/>
      <c r="B295" s="68"/>
      <c r="C295" s="65"/>
      <c r="D295" s="65"/>
      <c r="E295" s="66"/>
      <c r="F295" s="65"/>
      <c r="G295" s="67"/>
      <c r="AD295" s="9" t="str">
        <f t="shared" si="40"/>
        <v/>
      </c>
      <c r="AG295" s="9" t="str">
        <f t="shared" si="41"/>
        <v/>
      </c>
      <c r="AH295" s="9" t="str">
        <f t="shared" si="42"/>
        <v/>
      </c>
    </row>
    <row r="296" spans="1:34" x14ac:dyDescent="0.25">
      <c r="A296" s="68"/>
      <c r="B296" s="68"/>
      <c r="C296" s="65"/>
      <c r="D296" s="65"/>
      <c r="E296" s="66"/>
      <c r="F296" s="65"/>
      <c r="G296" s="67"/>
      <c r="AD296" s="9" t="str">
        <f t="shared" si="40"/>
        <v/>
      </c>
      <c r="AG296" s="9" t="str">
        <f t="shared" si="41"/>
        <v/>
      </c>
      <c r="AH296" s="9" t="str">
        <f t="shared" si="42"/>
        <v/>
      </c>
    </row>
    <row r="297" spans="1:34" x14ac:dyDescent="0.25">
      <c r="A297" s="68"/>
      <c r="B297" s="68"/>
      <c r="C297" s="65"/>
      <c r="D297" s="65"/>
      <c r="E297" s="66"/>
      <c r="F297" s="65"/>
      <c r="G297" s="67"/>
      <c r="AD297" s="9" t="str">
        <f t="shared" si="40"/>
        <v/>
      </c>
      <c r="AG297" s="9" t="str">
        <f t="shared" si="41"/>
        <v/>
      </c>
      <c r="AH297" s="9" t="str">
        <f t="shared" si="42"/>
        <v/>
      </c>
    </row>
    <row r="298" spans="1:34" x14ac:dyDescent="0.25">
      <c r="A298" s="68"/>
      <c r="B298" s="68"/>
      <c r="C298" s="65"/>
      <c r="D298" s="65"/>
      <c r="E298" s="66"/>
      <c r="F298" s="65"/>
      <c r="G298" s="67"/>
      <c r="AD298" s="9" t="str">
        <f t="shared" si="40"/>
        <v/>
      </c>
      <c r="AG298" s="9" t="str">
        <f t="shared" si="41"/>
        <v/>
      </c>
      <c r="AH298" s="9" t="str">
        <f t="shared" si="42"/>
        <v/>
      </c>
    </row>
    <row r="299" spans="1:34" x14ac:dyDescent="0.25">
      <c r="A299" s="68"/>
      <c r="B299" s="68"/>
      <c r="C299" s="65"/>
      <c r="D299" s="65"/>
      <c r="E299" s="66"/>
      <c r="F299" s="65"/>
      <c r="G299" s="67"/>
      <c r="AD299" s="9" t="str">
        <f t="shared" si="40"/>
        <v/>
      </c>
      <c r="AG299" s="9" t="str">
        <f t="shared" si="41"/>
        <v/>
      </c>
      <c r="AH299" s="9" t="str">
        <f t="shared" si="42"/>
        <v/>
      </c>
    </row>
    <row r="300" spans="1:34" x14ac:dyDescent="0.25">
      <c r="A300" s="68"/>
      <c r="B300" s="68"/>
      <c r="C300" s="65"/>
      <c r="D300" s="65"/>
      <c r="E300" s="66"/>
      <c r="F300" s="65"/>
      <c r="G300" s="67"/>
      <c r="AD300" s="9" t="str">
        <f t="shared" si="40"/>
        <v/>
      </c>
      <c r="AG300" s="9" t="str">
        <f t="shared" si="41"/>
        <v/>
      </c>
      <c r="AH300" s="9" t="str">
        <f t="shared" si="42"/>
        <v/>
      </c>
    </row>
    <row r="301" spans="1:34" x14ac:dyDescent="0.25">
      <c r="A301" s="68"/>
      <c r="B301" s="68"/>
      <c r="C301" s="65"/>
      <c r="D301" s="65"/>
      <c r="E301" s="66"/>
      <c r="F301" s="65"/>
      <c r="G301" s="67"/>
      <c r="AD301" s="9" t="str">
        <f t="shared" si="40"/>
        <v/>
      </c>
      <c r="AG301" s="9" t="str">
        <f t="shared" si="41"/>
        <v/>
      </c>
      <c r="AH301" s="9" t="str">
        <f t="shared" si="42"/>
        <v/>
      </c>
    </row>
    <row r="302" spans="1:34" x14ac:dyDescent="0.25">
      <c r="A302" s="68"/>
      <c r="B302" s="68"/>
      <c r="C302" s="65"/>
      <c r="D302" s="65"/>
      <c r="E302" s="66"/>
      <c r="F302" s="65"/>
      <c r="G302" s="67"/>
      <c r="AD302" s="9" t="str">
        <f t="shared" si="40"/>
        <v/>
      </c>
      <c r="AG302" s="9" t="str">
        <f t="shared" si="41"/>
        <v/>
      </c>
      <c r="AH302" s="9" t="str">
        <f t="shared" si="42"/>
        <v/>
      </c>
    </row>
    <row r="303" spans="1:34" x14ac:dyDescent="0.25">
      <c r="A303" s="68"/>
      <c r="B303" s="68"/>
      <c r="C303" s="65"/>
      <c r="D303" s="65"/>
      <c r="E303" s="66"/>
      <c r="F303" s="65"/>
      <c r="G303" s="67"/>
      <c r="AD303" s="9" t="str">
        <f t="shared" si="40"/>
        <v/>
      </c>
      <c r="AG303" s="9" t="str">
        <f t="shared" si="41"/>
        <v/>
      </c>
      <c r="AH303" s="9" t="str">
        <f t="shared" si="42"/>
        <v/>
      </c>
    </row>
    <row r="304" spans="1:34" x14ac:dyDescent="0.25">
      <c r="A304" s="68"/>
      <c r="B304" s="68"/>
      <c r="C304" s="65"/>
      <c r="D304" s="65"/>
      <c r="E304" s="66"/>
      <c r="F304" s="65"/>
      <c r="G304" s="67"/>
      <c r="AD304" s="9" t="str">
        <f t="shared" si="40"/>
        <v/>
      </c>
      <c r="AG304" s="9" t="str">
        <f t="shared" si="41"/>
        <v/>
      </c>
      <c r="AH304" s="9" t="str">
        <f t="shared" si="42"/>
        <v/>
      </c>
    </row>
    <row r="305" spans="1:34" x14ac:dyDescent="0.25">
      <c r="A305" s="68"/>
      <c r="B305" s="68"/>
      <c r="C305" s="65"/>
      <c r="D305" s="65"/>
      <c r="E305" s="66"/>
      <c r="F305" s="65"/>
      <c r="G305" s="67"/>
      <c r="AD305" s="9" t="str">
        <f t="shared" si="40"/>
        <v/>
      </c>
      <c r="AG305" s="9" t="str">
        <f t="shared" si="41"/>
        <v/>
      </c>
      <c r="AH305" s="9" t="str">
        <f t="shared" si="42"/>
        <v/>
      </c>
    </row>
    <row r="306" spans="1:34" x14ac:dyDescent="0.25">
      <c r="A306" s="68"/>
      <c r="B306" s="68"/>
      <c r="C306" s="65"/>
      <c r="D306" s="65"/>
      <c r="E306" s="66"/>
      <c r="F306" s="65"/>
      <c r="G306" s="67"/>
      <c r="AD306" s="9" t="str">
        <f t="shared" si="40"/>
        <v/>
      </c>
      <c r="AG306" s="9" t="str">
        <f t="shared" si="41"/>
        <v/>
      </c>
      <c r="AH306" s="9" t="str">
        <f t="shared" si="42"/>
        <v/>
      </c>
    </row>
    <row r="307" spans="1:34" x14ac:dyDescent="0.25">
      <c r="A307" s="68"/>
      <c r="B307" s="68"/>
      <c r="C307" s="65"/>
      <c r="D307" s="65"/>
      <c r="E307" s="66"/>
      <c r="F307" s="65"/>
      <c r="G307" s="67"/>
      <c r="AD307" s="9" t="str">
        <f t="shared" si="40"/>
        <v/>
      </c>
      <c r="AG307" s="9" t="str">
        <f t="shared" si="41"/>
        <v/>
      </c>
      <c r="AH307" s="9" t="str">
        <f t="shared" si="42"/>
        <v/>
      </c>
    </row>
    <row r="308" spans="1:34" x14ac:dyDescent="0.25">
      <c r="A308" s="68"/>
      <c r="B308" s="68"/>
      <c r="C308" s="65"/>
      <c r="D308" s="65"/>
      <c r="E308" s="66"/>
      <c r="F308" s="65"/>
      <c r="G308" s="67"/>
      <c r="AD308" s="9" t="str">
        <f t="shared" si="40"/>
        <v/>
      </c>
      <c r="AG308" s="9" t="str">
        <f t="shared" si="41"/>
        <v/>
      </c>
      <c r="AH308" s="9" t="str">
        <f t="shared" si="42"/>
        <v/>
      </c>
    </row>
    <row r="309" spans="1:34" x14ac:dyDescent="0.25">
      <c r="A309" s="68"/>
      <c r="B309" s="68"/>
      <c r="C309" s="65"/>
      <c r="D309" s="65"/>
      <c r="E309" s="66"/>
      <c r="F309" s="65"/>
      <c r="G309" s="67"/>
      <c r="AD309" s="9" t="str">
        <f t="shared" si="40"/>
        <v/>
      </c>
      <c r="AG309" s="9" t="str">
        <f t="shared" si="41"/>
        <v/>
      </c>
      <c r="AH309" s="9" t="str">
        <f t="shared" si="42"/>
        <v/>
      </c>
    </row>
    <row r="310" spans="1:34" x14ac:dyDescent="0.25">
      <c r="A310" s="68"/>
      <c r="B310" s="68"/>
      <c r="C310" s="65"/>
      <c r="D310" s="65"/>
      <c r="E310" s="66"/>
      <c r="F310" s="65"/>
      <c r="G310" s="67"/>
      <c r="AD310" s="9" t="str">
        <f t="shared" si="40"/>
        <v/>
      </c>
      <c r="AG310" s="9" t="str">
        <f t="shared" si="41"/>
        <v/>
      </c>
      <c r="AH310" s="9" t="str">
        <f t="shared" si="42"/>
        <v/>
      </c>
    </row>
    <row r="311" spans="1:34" x14ac:dyDescent="0.25">
      <c r="A311" s="68"/>
      <c r="B311" s="68"/>
      <c r="C311" s="65"/>
      <c r="D311" s="65"/>
      <c r="E311" s="66"/>
      <c r="F311" s="65"/>
      <c r="G311" s="67"/>
      <c r="AD311" s="9" t="str">
        <f t="shared" si="40"/>
        <v/>
      </c>
      <c r="AG311" s="9" t="str">
        <f t="shared" si="41"/>
        <v/>
      </c>
    </row>
    <row r="312" spans="1:34" x14ac:dyDescent="0.25">
      <c r="A312" s="68"/>
      <c r="B312" s="68"/>
      <c r="C312" s="65"/>
      <c r="D312" s="65"/>
      <c r="E312" s="66"/>
      <c r="F312" s="65"/>
      <c r="G312" s="67"/>
      <c r="AD312" s="9" t="str">
        <f t="shared" si="40"/>
        <v/>
      </c>
      <c r="AG312" s="9" t="str">
        <f t="shared" si="41"/>
        <v/>
      </c>
    </row>
    <row r="313" spans="1:34" x14ac:dyDescent="0.25">
      <c r="A313" s="68"/>
      <c r="B313" s="68"/>
      <c r="C313" s="65"/>
      <c r="D313" s="65"/>
      <c r="E313" s="66"/>
      <c r="F313" s="65"/>
      <c r="G313" s="67"/>
      <c r="AD313" s="9" t="str">
        <f t="shared" si="40"/>
        <v/>
      </c>
      <c r="AG313" s="9" t="str">
        <f t="shared" si="41"/>
        <v/>
      </c>
    </row>
    <row r="314" spans="1:34" x14ac:dyDescent="0.25">
      <c r="A314" s="68"/>
      <c r="B314" s="68"/>
      <c r="C314" s="65"/>
      <c r="D314" s="65"/>
      <c r="E314" s="66"/>
      <c r="F314" s="65"/>
      <c r="G314" s="67"/>
      <c r="AD314" s="9" t="str">
        <f t="shared" si="40"/>
        <v/>
      </c>
      <c r="AG314" s="9" t="str">
        <f t="shared" si="41"/>
        <v/>
      </c>
    </row>
    <row r="315" spans="1:34" x14ac:dyDescent="0.25">
      <c r="A315" s="68"/>
      <c r="B315" s="68"/>
      <c r="C315" s="65"/>
      <c r="D315" s="65"/>
      <c r="E315" s="66"/>
      <c r="F315" s="65"/>
      <c r="G315" s="67"/>
      <c r="AD315" s="9" t="str">
        <f t="shared" si="40"/>
        <v/>
      </c>
      <c r="AG315" s="9" t="str">
        <f t="shared" si="41"/>
        <v/>
      </c>
    </row>
    <row r="316" spans="1:34" x14ac:dyDescent="0.25">
      <c r="A316" s="68"/>
      <c r="B316" s="68"/>
      <c r="C316" s="65"/>
      <c r="D316" s="65"/>
      <c r="E316" s="66"/>
      <c r="F316" s="65"/>
      <c r="G316" s="67"/>
      <c r="AD316" s="9" t="str">
        <f t="shared" si="40"/>
        <v/>
      </c>
      <c r="AG316" s="9" t="str">
        <f t="shared" si="41"/>
        <v/>
      </c>
    </row>
    <row r="317" spans="1:34" x14ac:dyDescent="0.25">
      <c r="A317" s="68"/>
      <c r="B317" s="68"/>
      <c r="C317" s="65"/>
      <c r="D317" s="65"/>
      <c r="E317" s="66"/>
      <c r="F317" s="65"/>
      <c r="G317" s="67"/>
      <c r="AD317" s="9" t="str">
        <f t="shared" si="40"/>
        <v/>
      </c>
      <c r="AG317" s="9" t="str">
        <f t="shared" si="41"/>
        <v/>
      </c>
    </row>
    <row r="318" spans="1:34" x14ac:dyDescent="0.25">
      <c r="A318" s="68"/>
      <c r="B318" s="68"/>
      <c r="C318" s="65"/>
      <c r="D318" s="65"/>
      <c r="E318" s="66"/>
      <c r="F318" s="65"/>
      <c r="G318" s="67"/>
      <c r="AD318" s="9" t="str">
        <f t="shared" si="40"/>
        <v/>
      </c>
      <c r="AG318" s="9" t="str">
        <f t="shared" si="41"/>
        <v/>
      </c>
    </row>
    <row r="319" spans="1:34" x14ac:dyDescent="0.25">
      <c r="A319" s="68"/>
      <c r="B319" s="68"/>
      <c r="C319" s="65"/>
      <c r="D319" s="65"/>
      <c r="E319" s="66"/>
      <c r="F319" s="65"/>
      <c r="G319" s="67"/>
      <c r="AD319" s="9" t="str">
        <f t="shared" si="40"/>
        <v/>
      </c>
      <c r="AG319" s="9" t="str">
        <f t="shared" si="41"/>
        <v/>
      </c>
    </row>
    <row r="320" spans="1:34" x14ac:dyDescent="0.25">
      <c r="A320" s="68"/>
      <c r="B320" s="68"/>
      <c r="C320" s="65"/>
      <c r="D320" s="65"/>
      <c r="E320" s="66"/>
      <c r="F320" s="65"/>
      <c r="G320" s="67"/>
      <c r="AD320" s="9" t="str">
        <f t="shared" si="40"/>
        <v/>
      </c>
      <c r="AG320" s="9" t="str">
        <f t="shared" si="41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40"/>
        <v/>
      </c>
      <c r="AG321" s="9" t="str">
        <f t="shared" si="41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85" si="43">IF(AC322="","",C317)</f>
        <v/>
      </c>
      <c r="AG322" s="9" t="str">
        <f t="shared" si="41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43"/>
        <v/>
      </c>
      <c r="AG323" s="9" t="str">
        <f t="shared" si="41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43"/>
        <v/>
      </c>
      <c r="AG324" s="9" t="str">
        <f t="shared" si="41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43"/>
        <v/>
      </c>
      <c r="AG325" s="9" t="str">
        <f t="shared" si="41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43"/>
        <v/>
      </c>
      <c r="AG326" s="9" t="str">
        <f t="shared" si="41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43"/>
        <v/>
      </c>
      <c r="AG327" s="9" t="str">
        <f t="shared" si="41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43"/>
        <v/>
      </c>
      <c r="AG328" s="9" t="str">
        <f t="shared" si="41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43"/>
        <v/>
      </c>
      <c r="AG329" s="9" t="str">
        <f t="shared" si="41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43"/>
        <v/>
      </c>
      <c r="AG330" s="9" t="str">
        <f t="shared" si="41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43"/>
        <v/>
      </c>
      <c r="AG331" s="9" t="str">
        <f t="shared" si="41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43"/>
        <v/>
      </c>
      <c r="AG332" s="9" t="str">
        <f t="shared" si="41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43"/>
        <v/>
      </c>
      <c r="AG333" s="9" t="str">
        <f t="shared" si="41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43"/>
        <v/>
      </c>
      <c r="AG334" s="9" t="str">
        <f t="shared" si="41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43"/>
        <v/>
      </c>
      <c r="AG335" s="9" t="str">
        <f t="shared" si="41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43"/>
        <v/>
      </c>
      <c r="AG336" s="9" t="str">
        <f t="shared" si="41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43"/>
        <v/>
      </c>
      <c r="AG337" s="9" t="str">
        <f t="shared" si="41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43"/>
        <v/>
      </c>
      <c r="AG338" s="9" t="str">
        <f t="shared" si="41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43"/>
        <v/>
      </c>
      <c r="AG339" s="9" t="str">
        <f t="shared" si="41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43"/>
        <v/>
      </c>
      <c r="AG340" s="9" t="str">
        <f t="shared" si="41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43"/>
        <v/>
      </c>
      <c r="AG341" s="9" t="str">
        <f t="shared" si="41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43"/>
        <v/>
      </c>
      <c r="AG342" s="9" t="str">
        <f t="shared" si="41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43"/>
        <v/>
      </c>
      <c r="AG343" s="9" t="str">
        <f t="shared" si="41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43"/>
        <v/>
      </c>
      <c r="AG344" s="9" t="str">
        <f t="shared" si="41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43"/>
        <v/>
      </c>
      <c r="AG345" s="9" t="str">
        <f t="shared" si="41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43"/>
        <v/>
      </c>
      <c r="AG346" s="9" t="str">
        <f t="shared" si="41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43"/>
        <v/>
      </c>
      <c r="AG347" s="9" t="str">
        <f t="shared" si="41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43"/>
        <v/>
      </c>
      <c r="AG348" s="9" t="str">
        <f t="shared" si="41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43"/>
        <v/>
      </c>
      <c r="AG349" s="9" t="str">
        <f t="shared" si="41"/>
        <v/>
      </c>
    </row>
    <row r="350" spans="1:33" x14ac:dyDescent="0.25">
      <c r="AD350" s="9" t="str">
        <f t="shared" si="43"/>
        <v/>
      </c>
      <c r="AG350" s="9" t="str">
        <f t="shared" si="41"/>
        <v/>
      </c>
    </row>
    <row r="351" spans="1:33" x14ac:dyDescent="0.25">
      <c r="AD351" s="9" t="str">
        <f t="shared" si="43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43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43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si="43"/>
        <v/>
      </c>
      <c r="AG354" s="9"/>
    </row>
    <row r="355" spans="30:33" x14ac:dyDescent="0.25">
      <c r="AD355" s="9" t="str">
        <f t="shared" si="43"/>
        <v/>
      </c>
      <c r="AG355" s="9"/>
    </row>
    <row r="356" spans="30:33" x14ac:dyDescent="0.25">
      <c r="AD356" s="9" t="str">
        <f t="shared" si="43"/>
        <v/>
      </c>
      <c r="AG356" s="9"/>
    </row>
    <row r="357" spans="30:33" x14ac:dyDescent="0.25">
      <c r="AD357" s="9" t="str">
        <f t="shared" si="43"/>
        <v/>
      </c>
      <c r="AG357" s="9"/>
    </row>
    <row r="358" spans="30:33" x14ac:dyDescent="0.25">
      <c r="AD358" s="9" t="str">
        <f t="shared" si="43"/>
        <v/>
      </c>
      <c r="AG358" s="9"/>
    </row>
    <row r="359" spans="30:33" x14ac:dyDescent="0.25">
      <c r="AD359" s="9" t="str">
        <f t="shared" si="43"/>
        <v/>
      </c>
      <c r="AG359" s="9"/>
    </row>
    <row r="360" spans="30:33" x14ac:dyDescent="0.25">
      <c r="AD360" s="9" t="str">
        <f t="shared" si="43"/>
        <v/>
      </c>
      <c r="AG360" s="9"/>
    </row>
    <row r="361" spans="30:33" x14ac:dyDescent="0.25">
      <c r="AD361" s="9" t="str">
        <f t="shared" si="43"/>
        <v/>
      </c>
      <c r="AG361" s="9"/>
    </row>
    <row r="362" spans="30:33" x14ac:dyDescent="0.25">
      <c r="AD362" s="9" t="str">
        <f t="shared" si="43"/>
        <v/>
      </c>
      <c r="AG362" s="9"/>
    </row>
    <row r="363" spans="30:33" x14ac:dyDescent="0.25">
      <c r="AD363" s="9" t="str">
        <f t="shared" si="43"/>
        <v/>
      </c>
      <c r="AG363" s="9"/>
    </row>
    <row r="364" spans="30:33" x14ac:dyDescent="0.25">
      <c r="AD364" s="9" t="str">
        <f t="shared" si="43"/>
        <v/>
      </c>
      <c r="AG364" s="9"/>
    </row>
    <row r="365" spans="30:33" x14ac:dyDescent="0.25">
      <c r="AD365" s="9" t="str">
        <f t="shared" si="43"/>
        <v/>
      </c>
      <c r="AG365" s="9"/>
    </row>
    <row r="366" spans="30:33" x14ac:dyDescent="0.25">
      <c r="AD366" s="9" t="str">
        <f t="shared" si="43"/>
        <v/>
      </c>
      <c r="AG366" s="9"/>
    </row>
    <row r="367" spans="30:33" x14ac:dyDescent="0.25">
      <c r="AD367" s="9" t="str">
        <f t="shared" si="43"/>
        <v/>
      </c>
      <c r="AG367" s="9"/>
    </row>
    <row r="368" spans="30:33" x14ac:dyDescent="0.25">
      <c r="AD368" s="9" t="str">
        <f t="shared" si="43"/>
        <v/>
      </c>
      <c r="AG368" s="9"/>
    </row>
    <row r="369" spans="30:33" x14ac:dyDescent="0.25">
      <c r="AD369" s="9" t="str">
        <f t="shared" si="43"/>
        <v/>
      </c>
      <c r="AG369" s="9"/>
    </row>
    <row r="370" spans="30:33" x14ac:dyDescent="0.25">
      <c r="AD370" s="9" t="str">
        <f t="shared" si="43"/>
        <v/>
      </c>
      <c r="AG370" s="9"/>
    </row>
    <row r="371" spans="30:33" x14ac:dyDescent="0.25">
      <c r="AD371" s="9" t="str">
        <f t="shared" si="43"/>
        <v/>
      </c>
      <c r="AG371" s="9"/>
    </row>
    <row r="372" spans="30:33" x14ac:dyDescent="0.25">
      <c r="AD372" s="9" t="str">
        <f t="shared" si="43"/>
        <v/>
      </c>
      <c r="AG372" s="9"/>
    </row>
    <row r="373" spans="30:33" x14ac:dyDescent="0.25">
      <c r="AD373" s="9" t="str">
        <f t="shared" si="43"/>
        <v/>
      </c>
      <c r="AG373" s="9"/>
    </row>
    <row r="374" spans="30:33" x14ac:dyDescent="0.25">
      <c r="AD374" s="9" t="str">
        <f t="shared" si="43"/>
        <v/>
      </c>
      <c r="AG374" s="9"/>
    </row>
    <row r="375" spans="30:33" x14ac:dyDescent="0.25">
      <c r="AD375" s="9" t="str">
        <f t="shared" si="43"/>
        <v/>
      </c>
      <c r="AG375" s="9"/>
    </row>
    <row r="376" spans="30:33" x14ac:dyDescent="0.25">
      <c r="AD376" s="9" t="str">
        <f t="shared" si="43"/>
        <v/>
      </c>
      <c r="AG376" s="9"/>
    </row>
    <row r="377" spans="30:33" x14ac:dyDescent="0.25">
      <c r="AD377" s="9" t="str">
        <f t="shared" si="43"/>
        <v/>
      </c>
      <c r="AG377" s="9"/>
    </row>
    <row r="378" spans="30:33" x14ac:dyDescent="0.25">
      <c r="AD378" s="9" t="str">
        <f t="shared" si="43"/>
        <v/>
      </c>
      <c r="AG378" s="9"/>
    </row>
    <row r="379" spans="30:33" x14ac:dyDescent="0.25">
      <c r="AD379" s="9" t="str">
        <f t="shared" si="43"/>
        <v/>
      </c>
      <c r="AG379" s="9"/>
    </row>
    <row r="380" spans="30:33" x14ac:dyDescent="0.25">
      <c r="AD380" s="9" t="str">
        <f t="shared" si="43"/>
        <v/>
      </c>
      <c r="AG380" s="9"/>
    </row>
    <row r="381" spans="30:33" x14ac:dyDescent="0.25">
      <c r="AD381" s="9" t="str">
        <f t="shared" si="43"/>
        <v/>
      </c>
      <c r="AG381" s="9"/>
    </row>
    <row r="382" spans="30:33" x14ac:dyDescent="0.25">
      <c r="AD382" s="9" t="str">
        <f t="shared" si="43"/>
        <v/>
      </c>
      <c r="AG382" s="9"/>
    </row>
    <row r="383" spans="30:33" x14ac:dyDescent="0.25">
      <c r="AD383" s="9" t="str">
        <f t="shared" si="43"/>
        <v/>
      </c>
      <c r="AG383" s="9"/>
    </row>
    <row r="384" spans="30:33" x14ac:dyDescent="0.25">
      <c r="AD384" s="9" t="str">
        <f t="shared" si="43"/>
        <v/>
      </c>
      <c r="AG384" s="9"/>
    </row>
    <row r="385" spans="30:33" x14ac:dyDescent="0.25">
      <c r="AD385" s="9" t="str">
        <f t="shared" si="43"/>
        <v/>
      </c>
      <c r="AG385" s="9"/>
    </row>
    <row r="386" spans="30:33" x14ac:dyDescent="0.25">
      <c r="AD386" s="9" t="str">
        <f t="shared" ref="AD386:AD417" si="44">IF(AC386="","",C381)</f>
        <v/>
      </c>
      <c r="AG386" s="9"/>
    </row>
    <row r="387" spans="30:33" x14ac:dyDescent="0.25">
      <c r="AD387" s="9" t="str">
        <f t="shared" si="44"/>
        <v/>
      </c>
      <c r="AG387" s="9"/>
    </row>
    <row r="388" spans="30:33" x14ac:dyDescent="0.25">
      <c r="AD388" s="9" t="str">
        <f t="shared" si="44"/>
        <v/>
      </c>
      <c r="AG388" s="9"/>
    </row>
    <row r="389" spans="30:33" x14ac:dyDescent="0.25">
      <c r="AD389" s="9" t="str">
        <f t="shared" si="44"/>
        <v/>
      </c>
      <c r="AG389" s="9"/>
    </row>
    <row r="390" spans="30:33" x14ac:dyDescent="0.25">
      <c r="AD390" s="9" t="str">
        <f t="shared" si="44"/>
        <v/>
      </c>
      <c r="AG390" s="9"/>
    </row>
    <row r="391" spans="30:33" x14ac:dyDescent="0.25">
      <c r="AD391" s="9" t="str">
        <f t="shared" si="44"/>
        <v/>
      </c>
      <c r="AG391" s="9"/>
    </row>
    <row r="392" spans="30:33" x14ac:dyDescent="0.25">
      <c r="AD392" s="9" t="str">
        <f t="shared" si="44"/>
        <v/>
      </c>
      <c r="AG392" s="9"/>
    </row>
    <row r="393" spans="30:33" x14ac:dyDescent="0.25">
      <c r="AD393" s="9" t="str">
        <f t="shared" si="44"/>
        <v/>
      </c>
      <c r="AG393" s="9"/>
    </row>
    <row r="394" spans="30:33" x14ac:dyDescent="0.25">
      <c r="AD394" s="9" t="str">
        <f t="shared" si="44"/>
        <v/>
      </c>
      <c r="AG394" s="9"/>
    </row>
    <row r="395" spans="30:33" x14ac:dyDescent="0.25">
      <c r="AD395" s="9" t="str">
        <f t="shared" si="44"/>
        <v/>
      </c>
      <c r="AG395" s="9"/>
    </row>
    <row r="396" spans="30:33" x14ac:dyDescent="0.25">
      <c r="AD396" s="9" t="str">
        <f t="shared" si="44"/>
        <v/>
      </c>
      <c r="AG396" s="9"/>
    </row>
    <row r="397" spans="30:33" x14ac:dyDescent="0.25">
      <c r="AD397" s="9" t="str">
        <f t="shared" si="44"/>
        <v/>
      </c>
      <c r="AG397" s="9"/>
    </row>
    <row r="398" spans="30:33" x14ac:dyDescent="0.25">
      <c r="AD398" s="9" t="str">
        <f t="shared" si="44"/>
        <v/>
      </c>
      <c r="AG398" s="9"/>
    </row>
    <row r="399" spans="30:33" x14ac:dyDescent="0.25">
      <c r="AD399" s="9" t="str">
        <f t="shared" si="44"/>
        <v/>
      </c>
      <c r="AG399" s="9"/>
    </row>
    <row r="400" spans="30:33" x14ac:dyDescent="0.25">
      <c r="AD400" s="9" t="str">
        <f t="shared" si="44"/>
        <v/>
      </c>
      <c r="AG400" s="9"/>
    </row>
    <row r="401" spans="30:33" x14ac:dyDescent="0.25">
      <c r="AD401" s="9" t="str">
        <f t="shared" si="44"/>
        <v/>
      </c>
      <c r="AG401" s="9"/>
    </row>
    <row r="402" spans="30:33" x14ac:dyDescent="0.25">
      <c r="AD402" s="9" t="str">
        <f t="shared" si="44"/>
        <v/>
      </c>
      <c r="AG402" s="9"/>
    </row>
    <row r="403" spans="30:33" x14ac:dyDescent="0.25">
      <c r="AD403" s="9" t="str">
        <f t="shared" si="44"/>
        <v/>
      </c>
      <c r="AG403" s="9"/>
    </row>
    <row r="404" spans="30:33" x14ac:dyDescent="0.25">
      <c r="AD404" s="9" t="str">
        <f t="shared" si="44"/>
        <v/>
      </c>
      <c r="AG404" s="9"/>
    </row>
    <row r="405" spans="30:33" x14ac:dyDescent="0.25">
      <c r="AD405" s="9" t="str">
        <f t="shared" si="44"/>
        <v/>
      </c>
      <c r="AG405" s="9"/>
    </row>
    <row r="406" spans="30:33" x14ac:dyDescent="0.25">
      <c r="AD406" s="9" t="str">
        <f t="shared" si="44"/>
        <v/>
      </c>
      <c r="AG406" s="9"/>
    </row>
    <row r="407" spans="30:33" x14ac:dyDescent="0.25">
      <c r="AD407" s="9" t="str">
        <f t="shared" si="44"/>
        <v/>
      </c>
      <c r="AG407" s="9"/>
    </row>
    <row r="408" spans="30:33" x14ac:dyDescent="0.25">
      <c r="AD408" s="9" t="str">
        <f t="shared" si="44"/>
        <v/>
      </c>
      <c r="AG408" s="9"/>
    </row>
    <row r="409" spans="30:33" x14ac:dyDescent="0.25">
      <c r="AD409" s="9" t="str">
        <f t="shared" si="44"/>
        <v/>
      </c>
      <c r="AG409" s="9"/>
    </row>
    <row r="410" spans="30:33" x14ac:dyDescent="0.25">
      <c r="AD410" s="9" t="str">
        <f t="shared" si="44"/>
        <v/>
      </c>
      <c r="AG410" s="9"/>
    </row>
    <row r="411" spans="30:33" x14ac:dyDescent="0.25">
      <c r="AD411" s="9" t="str">
        <f t="shared" si="44"/>
        <v/>
      </c>
      <c r="AG411" s="9"/>
    </row>
    <row r="412" spans="30:33" x14ac:dyDescent="0.25">
      <c r="AD412" s="9" t="str">
        <f t="shared" si="44"/>
        <v/>
      </c>
      <c r="AG412" s="9"/>
    </row>
    <row r="413" spans="30:33" x14ac:dyDescent="0.25">
      <c r="AD413" s="9" t="str">
        <f t="shared" si="44"/>
        <v/>
      </c>
      <c r="AG413" s="9"/>
    </row>
    <row r="414" spans="30:33" x14ac:dyDescent="0.25">
      <c r="AD414" s="9" t="str">
        <f t="shared" si="44"/>
        <v/>
      </c>
      <c r="AG414" s="9"/>
    </row>
    <row r="415" spans="30:33" x14ac:dyDescent="0.25">
      <c r="AD415" s="9" t="str">
        <f t="shared" si="44"/>
        <v/>
      </c>
      <c r="AG415" s="9"/>
    </row>
    <row r="416" spans="30:33" x14ac:dyDescent="0.25">
      <c r="AD416" s="9" t="str">
        <f t="shared" si="44"/>
        <v/>
      </c>
      <c r="AG416" s="9"/>
    </row>
    <row r="417" spans="30:33" x14ac:dyDescent="0.25">
      <c r="AD417" s="9" t="str">
        <f t="shared" si="44"/>
        <v/>
      </c>
      <c r="AG417" s="9"/>
    </row>
    <row r="418" spans="30:33" x14ac:dyDescent="0.25">
      <c r="AD418" s="9" t="str">
        <f>IF(AC418="","",C413)</f>
        <v/>
      </c>
      <c r="AG418" s="9"/>
    </row>
    <row r="419" spans="30:33" x14ac:dyDescent="0.25">
      <c r="AD419" s="9" t="str">
        <f>IF(AC419="","",C414)</f>
        <v/>
      </c>
      <c r="AG419" s="9"/>
    </row>
    <row r="420" spans="30:33" x14ac:dyDescent="0.25">
      <c r="AD420" s="9" t="str">
        <f>IF(AC420="","",C415)</f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45">IF(AF428="","",AF428*AC$25*AD428)</f>
        <v/>
      </c>
    </row>
    <row r="429" spans="30:33" x14ac:dyDescent="0.25">
      <c r="AG429" s="9" t="str">
        <f t="shared" si="45"/>
        <v/>
      </c>
    </row>
    <row r="430" spans="30:33" x14ac:dyDescent="0.25">
      <c r="AG430" s="9" t="str">
        <f t="shared" si="45"/>
        <v/>
      </c>
    </row>
    <row r="431" spans="30:33" x14ac:dyDescent="0.25">
      <c r="AG431" s="9" t="str">
        <f t="shared" si="45"/>
        <v/>
      </c>
    </row>
    <row r="432" spans="30:33" x14ac:dyDescent="0.25">
      <c r="AG432" s="9" t="str">
        <f t="shared" si="45"/>
        <v/>
      </c>
    </row>
    <row r="433" spans="33:33" x14ac:dyDescent="0.25">
      <c r="AG433" s="9" t="str">
        <f t="shared" si="45"/>
        <v/>
      </c>
    </row>
    <row r="434" spans="33:33" x14ac:dyDescent="0.25">
      <c r="AG434" s="9" t="str">
        <f t="shared" si="45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sheetProtection algorithmName="SHA-512" hashValue="+DPphpvlP9VDCbyDz9m4VGecodzItFK8U+8B6wRs9zme9vMxO/g3lcoyTWRnN7YqPoDcupN1Ip2VKSHvEnImPw==" saltValue="7BGNNvKwiXvc870P/BGyGg==" spinCount="100000" sheet="1" objects="1" scenarios="1"/>
  <protectedRanges>
    <protectedRange password="C474" sqref="D19" name="Intervalo1_1"/>
  </protectedRanges>
  <mergeCells count="9">
    <mergeCell ref="A3:F3"/>
    <mergeCell ref="A2:F2"/>
    <mergeCell ref="A1:F1"/>
    <mergeCell ref="E21:E22"/>
    <mergeCell ref="AB21:AG23"/>
    <mergeCell ref="A22:B22"/>
    <mergeCell ref="A18:D18"/>
    <mergeCell ref="A20:F20"/>
    <mergeCell ref="A14:F14"/>
  </mergeCells>
  <conditionalFormatting sqref="A23:G349">
    <cfRule type="notContainsBlanks" dxfId="31" priority="4" stopIfTrue="1">
      <formula>LEN(TRIM(A23))&gt;0</formula>
    </cfRule>
  </conditionalFormatting>
  <conditionalFormatting sqref="A24:G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30" priority="3">
      <formula>LEN(TRIM(A24))&gt;0</formula>
    </cfRule>
  </conditionalFormatting>
  <conditionalFormatting sqref="E19">
    <cfRule type="expression" dxfId="29" priority="1">
      <formula>$J$21=FALSE</formula>
    </cfRule>
  </conditionalFormatting>
  <dataValidations disablePrompts="1" count="1">
    <dataValidation type="decimal" allowBlank="1" showInputMessage="1" showErrorMessage="1" errorTitle="atenção!" error="A garantia do FAMPE deve variar de 20% a 80%." sqref="E19" xr:uid="{5F82BE63-AA67-4AE8-AE9E-5C9A62ACA6F7}">
      <formula1>0.2</formula1>
      <formula2>0.8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Drop Down 1">
              <controlPr locked="0" defaultSize="0" autoLine="0" autoPict="0">
                <anchor moveWithCells="1">
                  <from>
                    <xdr:col>0</xdr:col>
                    <xdr:colOff>819150</xdr:colOff>
                    <xdr:row>2</xdr:row>
                    <xdr:rowOff>304800</xdr:rowOff>
                  </from>
                  <to>
                    <xdr:col>5</xdr:col>
                    <xdr:colOff>1114425</xdr:colOff>
                    <xdr:row>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5" name="Check Box 4">
              <controlPr locked="0" defaultSize="0" autoFill="0" autoLine="0" autoPict="0">
                <anchor moveWithCells="1">
                  <from>
                    <xdr:col>4</xdr:col>
                    <xdr:colOff>257175</xdr:colOff>
                    <xdr:row>15</xdr:row>
                    <xdr:rowOff>209550</xdr:rowOff>
                  </from>
                  <to>
                    <xdr:col>4</xdr:col>
                    <xdr:colOff>1066800</xdr:colOff>
                    <xdr:row>15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6" name="Check Box 6">
              <controlPr locked="0" defaultSize="0" autoFill="0" autoLine="0" autoPict="0">
                <anchor moveWithCells="1">
                  <from>
                    <xdr:col>4</xdr:col>
                    <xdr:colOff>257175</xdr:colOff>
                    <xdr:row>15</xdr:row>
                    <xdr:rowOff>9525</xdr:rowOff>
                  </from>
                  <to>
                    <xdr:col>4</xdr:col>
                    <xdr:colOff>1266825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7" name="Check Box 7">
              <controlPr locked="0" defaultSize="0" autoFill="0" autoLine="0" autoPict="0">
                <anchor moveWithCells="1">
                  <from>
                    <xdr:col>4</xdr:col>
                    <xdr:colOff>257175</xdr:colOff>
                    <xdr:row>16</xdr:row>
                    <xdr:rowOff>28575</xdr:rowOff>
                  </from>
                  <to>
                    <xdr:col>4</xdr:col>
                    <xdr:colOff>1228725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8" name="Drop Down 2">
              <controlPr locked="0" defaultSize="0" autoLine="0" autoPict="0">
                <anchor moveWithCells="1">
                  <from>
                    <xdr:col>5</xdr:col>
                    <xdr:colOff>85725</xdr:colOff>
                    <xdr:row>14</xdr:row>
                    <xdr:rowOff>57150</xdr:rowOff>
                  </from>
                  <to>
                    <xdr:col>5</xdr:col>
                    <xdr:colOff>1057275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9" name="Drop Down 3">
              <controlPr locked="0" defaultSize="0" autoLine="0" autoPict="0">
                <anchor moveWithCells="1">
                  <from>
                    <xdr:col>5</xdr:col>
                    <xdr:colOff>95250</xdr:colOff>
                    <xdr:row>15</xdr:row>
                    <xdr:rowOff>57150</xdr:rowOff>
                  </from>
                  <to>
                    <xdr:col>5</xdr:col>
                    <xdr:colOff>1076325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10" name="Drop Down 5">
              <controlPr locked="0" defaultSize="0" autoLine="0" autoPict="0">
                <anchor moveWithCells="1">
                  <from>
                    <xdr:col>5</xdr:col>
                    <xdr:colOff>76200</xdr:colOff>
                    <xdr:row>16</xdr:row>
                    <xdr:rowOff>47625</xdr:rowOff>
                  </from>
                  <to>
                    <xdr:col>5</xdr:col>
                    <xdr:colOff>1057275</xdr:colOff>
                    <xdr:row>16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BW616"/>
  <sheetViews>
    <sheetView showGridLines="0" zoomScale="85" zoomScaleNormal="85" workbookViewId="0">
      <selection activeCell="G27" sqref="G27"/>
    </sheetView>
  </sheetViews>
  <sheetFormatPr defaultRowHeight="15" x14ac:dyDescent="0.25"/>
  <cols>
    <col min="1" max="1" width="13.7109375" style="74" customWidth="1"/>
    <col min="2" max="2" width="21.140625" style="40" customWidth="1"/>
    <col min="3" max="3" width="17.7109375" style="21" customWidth="1"/>
    <col min="4" max="4" width="19.7109375" style="21" customWidth="1"/>
    <col min="5" max="5" width="17.28515625" style="21" customWidth="1"/>
    <col min="6" max="7" width="18.7109375" style="21" customWidth="1"/>
    <col min="8" max="8" width="17" style="2" hidden="1" customWidth="1"/>
    <col min="9" max="11" width="17.7109375" style="2" hidden="1" customWidth="1"/>
    <col min="12" max="12" width="7.140625" style="2" hidden="1" customWidth="1"/>
    <col min="13" max="20" width="17.7109375" style="2" hidden="1" customWidth="1"/>
    <col min="21" max="21" width="9.140625" style="2" hidden="1" customWidth="1"/>
    <col min="22" max="22" width="10.42578125" style="2" hidden="1" customWidth="1"/>
    <col min="23" max="23" width="12" style="2" hidden="1" customWidth="1"/>
    <col min="24" max="24" width="16" style="2" hidden="1" customWidth="1"/>
    <col min="25" max="25" width="18.28515625" style="2" hidden="1" customWidth="1"/>
    <col min="26" max="26" width="16.85546875" style="2" hidden="1" customWidth="1"/>
    <col min="27" max="27" width="15.5703125" style="2" hidden="1" customWidth="1"/>
    <col min="28" max="28" width="17.85546875" style="2" hidden="1" customWidth="1"/>
    <col min="29" max="29" width="18.85546875" style="2" hidden="1" customWidth="1"/>
    <col min="30" max="30" width="13.85546875" style="2" hidden="1" customWidth="1"/>
    <col min="31" max="47" width="9.140625" style="2" hidden="1" customWidth="1"/>
    <col min="48" max="48" width="13.28515625" style="2" hidden="1" customWidth="1"/>
    <col min="49" max="55" width="9.140625" style="2" hidden="1" customWidth="1"/>
    <col min="56" max="71" width="9.140625" style="2" customWidth="1"/>
    <col min="72" max="74" width="9.140625" style="2"/>
    <col min="75" max="75" width="12.28515625" style="2" bestFit="1" customWidth="1"/>
    <col min="76" max="16384" width="9.140625" style="2"/>
  </cols>
  <sheetData>
    <row r="1" spans="1:25" ht="72.75" customHeight="1" x14ac:dyDescent="0.25">
      <c r="A1" s="252" t="s">
        <v>59</v>
      </c>
      <c r="B1" s="253"/>
      <c r="C1" s="253"/>
      <c r="D1" s="253"/>
      <c r="E1" s="253"/>
      <c r="F1" s="253"/>
      <c r="G1" s="254"/>
      <c r="T1" s="2" t="s">
        <v>39</v>
      </c>
      <c r="U1" s="2" t="s">
        <v>40</v>
      </c>
      <c r="V1" s="2" t="s">
        <v>50</v>
      </c>
    </row>
    <row r="2" spans="1:25" ht="30" customHeight="1" x14ac:dyDescent="0.25">
      <c r="A2" s="255" t="s">
        <v>57</v>
      </c>
      <c r="B2" s="255"/>
      <c r="C2" s="255"/>
      <c r="D2" s="255"/>
      <c r="E2" s="255"/>
      <c r="F2" s="255"/>
      <c r="G2" s="256"/>
      <c r="V2" s="2" t="s">
        <v>43</v>
      </c>
    </row>
    <row r="3" spans="1:25" ht="35.1" customHeight="1" x14ac:dyDescent="0.25">
      <c r="A3" s="257" t="s">
        <v>34</v>
      </c>
      <c r="B3" s="240"/>
      <c r="C3" s="240"/>
      <c r="D3" s="240"/>
      <c r="E3" s="240"/>
      <c r="F3" s="240"/>
      <c r="G3" s="241"/>
      <c r="J3" s="2">
        <v>4</v>
      </c>
      <c r="N3" s="7" t="s">
        <v>0</v>
      </c>
      <c r="O3" s="7" t="s">
        <v>29</v>
      </c>
      <c r="P3" s="7" t="s">
        <v>30</v>
      </c>
      <c r="Q3" s="7" t="s">
        <v>5</v>
      </c>
      <c r="R3" s="7" t="s">
        <v>9</v>
      </c>
      <c r="S3" s="7" t="s">
        <v>8</v>
      </c>
      <c r="T3" s="2" t="s">
        <v>43</v>
      </c>
      <c r="U3" s="2" t="s">
        <v>43</v>
      </c>
      <c r="V3" s="3" t="s">
        <v>44</v>
      </c>
    </row>
    <row r="4" spans="1:25" ht="26.1" customHeight="1" x14ac:dyDescent="0.25">
      <c r="A4" s="69" t="s">
        <v>0</v>
      </c>
      <c r="B4" s="38"/>
      <c r="C4" s="31"/>
      <c r="D4" s="31"/>
      <c r="E4" s="250"/>
      <c r="F4" s="250"/>
      <c r="G4" s="32"/>
      <c r="K4" s="2">
        <v>2</v>
      </c>
      <c r="N4" s="2" t="s">
        <v>61</v>
      </c>
      <c r="O4" s="12">
        <f>'Tabela de Encargos'!C37*100</f>
        <v>2.5</v>
      </c>
      <c r="Q4" s="2">
        <f>'Tabela de Encargos'!G37</f>
        <v>48</v>
      </c>
      <c r="R4" s="2">
        <f>'Tabela de Encargos'!H37</f>
        <v>12</v>
      </c>
      <c r="S4" s="9">
        <f>'Tabela de Encargos'!I37</f>
        <v>8000</v>
      </c>
      <c r="T4" s="3" t="s">
        <v>44</v>
      </c>
      <c r="U4" s="3" t="s">
        <v>44</v>
      </c>
    </row>
    <row r="5" spans="1:25" ht="15.75" hidden="1" customHeight="1" x14ac:dyDescent="0.25">
      <c r="A5" s="70"/>
      <c r="B5" s="48"/>
      <c r="C5" s="31"/>
      <c r="D5" s="31"/>
      <c r="E5" s="250"/>
      <c r="F5" s="250"/>
      <c r="G5" s="32"/>
      <c r="N5" s="2" t="s">
        <v>62</v>
      </c>
      <c r="O5" s="12">
        <f>'Tabela de Encargos'!C38*100</f>
        <v>5</v>
      </c>
      <c r="Q5" s="2">
        <f>'Tabela de Encargos'!G38</f>
        <v>60</v>
      </c>
      <c r="R5" s="2">
        <f>'Tabela de Encargos'!H38</f>
        <v>12</v>
      </c>
      <c r="S5" s="9">
        <f>'Tabela de Encargos'!I38</f>
        <v>400000</v>
      </c>
      <c r="T5" s="2">
        <v>2</v>
      </c>
      <c r="U5" s="2">
        <v>2</v>
      </c>
      <c r="V5" s="2">
        <v>2</v>
      </c>
      <c r="W5" s="2" t="b">
        <v>0</v>
      </c>
    </row>
    <row r="6" spans="1:25" ht="15.75" hidden="1" customHeight="1" x14ac:dyDescent="0.35">
      <c r="A6" s="71"/>
      <c r="B6" s="49"/>
      <c r="C6" s="33"/>
      <c r="D6" s="33"/>
      <c r="E6" s="251"/>
      <c r="F6" s="251"/>
      <c r="G6" s="50"/>
      <c r="N6" s="2" t="s">
        <v>27</v>
      </c>
      <c r="O6" s="12">
        <f>'Tabela de Encargos'!C39*100</f>
        <v>5</v>
      </c>
      <c r="Q6" s="2">
        <f>'Tabela de Encargos'!G39</f>
        <v>60</v>
      </c>
      <c r="R6" s="2">
        <f>'Tabela de Encargos'!H39</f>
        <v>12</v>
      </c>
      <c r="S6" s="9">
        <f>'Tabela de Encargos'!I39</f>
        <v>1000000</v>
      </c>
      <c r="U6" s="2" t="s">
        <v>67</v>
      </c>
    </row>
    <row r="7" spans="1:25" ht="15.75" hidden="1" customHeight="1" x14ac:dyDescent="0.35">
      <c r="A7" s="72"/>
      <c r="B7" s="48"/>
      <c r="C7" s="33"/>
      <c r="D7" s="33"/>
      <c r="E7" s="39"/>
      <c r="F7" s="39"/>
      <c r="G7" s="50"/>
      <c r="N7" s="2" t="s">
        <v>28</v>
      </c>
      <c r="S7" s="9"/>
      <c r="U7" s="2" t="s">
        <v>66</v>
      </c>
    </row>
    <row r="8" spans="1:25" ht="15.75" hidden="1" customHeight="1" x14ac:dyDescent="0.35">
      <c r="A8" s="72"/>
      <c r="B8" s="48"/>
      <c r="C8" s="33"/>
      <c r="D8" s="33"/>
      <c r="E8" s="39"/>
      <c r="F8" s="39"/>
      <c r="G8" s="50"/>
      <c r="S8" s="9"/>
    </row>
    <row r="9" spans="1:25" ht="15.75" hidden="1" customHeight="1" x14ac:dyDescent="0.35">
      <c r="A9" s="72"/>
      <c r="B9" s="48"/>
      <c r="C9" s="33"/>
      <c r="D9" s="33"/>
      <c r="E9" s="39"/>
      <c r="F9" s="39"/>
      <c r="G9" s="50"/>
      <c r="S9" s="9"/>
    </row>
    <row r="10" spans="1:25" ht="15.75" hidden="1" customHeight="1" x14ac:dyDescent="0.35">
      <c r="A10" s="72"/>
      <c r="B10" s="48"/>
      <c r="C10" s="33"/>
      <c r="D10" s="33"/>
      <c r="E10" s="39"/>
      <c r="F10" s="39"/>
      <c r="G10" s="50"/>
      <c r="S10" s="9"/>
    </row>
    <row r="11" spans="1:25" ht="15.75" hidden="1" customHeight="1" x14ac:dyDescent="0.35">
      <c r="A11" s="72"/>
      <c r="B11" s="48"/>
      <c r="C11" s="33"/>
      <c r="D11" s="33"/>
      <c r="E11" s="39"/>
      <c r="F11" s="39"/>
      <c r="G11" s="50"/>
      <c r="S11" s="9"/>
    </row>
    <row r="12" spans="1:25" ht="15.75" hidden="1" customHeight="1" x14ac:dyDescent="0.35">
      <c r="A12" s="72"/>
      <c r="B12" s="48"/>
      <c r="C12" s="33"/>
      <c r="D12" s="33"/>
      <c r="E12" s="39"/>
      <c r="F12" s="39"/>
      <c r="G12" s="50"/>
      <c r="S12" s="9"/>
    </row>
    <row r="13" spans="1:25" ht="15.75" hidden="1" customHeight="1" x14ac:dyDescent="0.35">
      <c r="A13" s="72"/>
      <c r="B13" s="48"/>
      <c r="C13" s="33"/>
      <c r="D13" s="33"/>
      <c r="E13" s="39"/>
      <c r="F13" s="39"/>
      <c r="G13" s="50"/>
      <c r="S13" s="9"/>
    </row>
    <row r="14" spans="1:25" s="25" customFormat="1" ht="26.1" customHeight="1" x14ac:dyDescent="0.25">
      <c r="A14" s="247" t="s">
        <v>17</v>
      </c>
      <c r="B14" s="247"/>
      <c r="C14" s="248"/>
      <c r="D14" s="248"/>
      <c r="E14" s="248"/>
      <c r="F14" s="248"/>
      <c r="G14" s="248"/>
      <c r="N14" s="25" t="s">
        <v>28</v>
      </c>
      <c r="O14" s="12">
        <f>'Tabela de Encargos'!C40*100</f>
        <v>5</v>
      </c>
      <c r="Q14" s="25">
        <f>'Tabela de Encargos'!G40</f>
        <v>240</v>
      </c>
      <c r="R14" s="25">
        <f>'Tabela de Encargos'!H40</f>
        <v>60</v>
      </c>
      <c r="S14" s="28">
        <f>'Tabela de Encargos'!I40</f>
        <v>2000000</v>
      </c>
      <c r="Y14" s="29"/>
    </row>
    <row r="15" spans="1:25" ht="35.25" customHeight="1" x14ac:dyDescent="0.25">
      <c r="A15" s="34" t="s">
        <v>10</v>
      </c>
      <c r="B15" s="150">
        <v>1000000</v>
      </c>
      <c r="C15" s="34" t="s">
        <v>33</v>
      </c>
      <c r="D15" s="146">
        <f>IF(J3=1,O4,IF(J3=2,O5,IF(J3=3,O6,IF(J3=4,O14,))))/100</f>
        <v>0.05</v>
      </c>
      <c r="E15" s="51" t="s">
        <v>32</v>
      </c>
      <c r="F15" s="36"/>
      <c r="G15" s="176">
        <f>IF(B15&lt;=3000,50,IF(B15&lt;=21000,IF(B15*0.03&lt;=420,B15*0.03,420),IF(B15&lt;=100000,B15*0.02,2000+B15*0.005)))</f>
        <v>7000</v>
      </c>
      <c r="Y15" s="15"/>
    </row>
    <row r="16" spans="1:25" ht="35.25" customHeight="1" x14ac:dyDescent="0.25">
      <c r="A16" s="35" t="s">
        <v>6</v>
      </c>
      <c r="B16" s="133">
        <v>3</v>
      </c>
      <c r="C16" s="35" t="s">
        <v>155</v>
      </c>
      <c r="D16" s="153">
        <v>0.1</v>
      </c>
      <c r="E16" s="51" t="s">
        <v>32</v>
      </c>
      <c r="F16" s="36" t="s">
        <v>48</v>
      </c>
      <c r="G16" s="179">
        <f>IF(K4=1,(G19*0.001*B17),IF(K4=2,0,""))</f>
        <v>0</v>
      </c>
      <c r="H16" s="16"/>
      <c r="X16" s="5"/>
    </row>
    <row r="17" spans="1:75" ht="35.25" customHeight="1" x14ac:dyDescent="0.25">
      <c r="A17" s="35" t="s">
        <v>4</v>
      </c>
      <c r="B17" s="133">
        <v>60</v>
      </c>
      <c r="C17" s="34" t="s">
        <v>11</v>
      </c>
      <c r="D17" s="262">
        <f ca="1">TODAY()</f>
        <v>46240</v>
      </c>
      <c r="E17" s="263"/>
      <c r="F17" s="52"/>
      <c r="G17" s="53"/>
      <c r="X17" s="5"/>
      <c r="Y17" s="5"/>
    </row>
    <row r="18" spans="1:75" ht="35.25" customHeight="1" x14ac:dyDescent="0.25">
      <c r="A18" s="248" t="s">
        <v>65</v>
      </c>
      <c r="B18" s="248"/>
      <c r="C18" s="264"/>
      <c r="D18" s="264"/>
      <c r="E18" s="265"/>
      <c r="F18" s="265"/>
      <c r="G18" s="265"/>
      <c r="X18" s="5"/>
      <c r="Y18" s="5"/>
      <c r="BW18" s="5"/>
    </row>
    <row r="19" spans="1:75" ht="35.25" customHeight="1" x14ac:dyDescent="0.25">
      <c r="A19" s="34" t="s">
        <v>63</v>
      </c>
      <c r="B19" s="43">
        <f>IF(LARGE(G23:G241,1)*3&gt;=2424,LARGE(G23:G241,1)*3,2424)</f>
        <v>91244.80931529816</v>
      </c>
      <c r="C19" s="42" t="s">
        <v>64</v>
      </c>
      <c r="D19" s="43">
        <f>IF(K4=1,(B15-G19)*150%/0.7,IF(K4=3,(B15*150%/0.7),IF(AND((J4=1),(K4=2)),((B15*150%/0.7)-G19),((B15-G19)*150%/0.7))))</f>
        <v>2142857.1428571432</v>
      </c>
      <c r="E19" s="44" t="s">
        <v>47</v>
      </c>
      <c r="F19" s="136">
        <v>0.2</v>
      </c>
      <c r="G19" s="134">
        <f>IF(K4=1,B15*F19,0)</f>
        <v>0</v>
      </c>
      <c r="I19" s="5"/>
      <c r="X19" s="5"/>
      <c r="Y19" s="5"/>
      <c r="AD19" s="183"/>
      <c r="AV19" s="203">
        <f>SUM(C24:C35)</f>
        <v>49274.581609259039</v>
      </c>
      <c r="AW19" s="95">
        <f>AV19/B15</f>
        <v>4.9274581609259037E-2</v>
      </c>
      <c r="BW19" s="5"/>
    </row>
    <row r="20" spans="1:75" ht="30" customHeight="1" x14ac:dyDescent="0.25">
      <c r="A20" s="229" t="s">
        <v>36</v>
      </c>
      <c r="B20" s="230"/>
      <c r="C20" s="230"/>
      <c r="D20" s="230"/>
      <c r="E20" s="230"/>
      <c r="F20" s="230"/>
      <c r="G20" s="231"/>
      <c r="H20" s="27"/>
      <c r="I20" s="88">
        <f>IF(LARGE(G23:G241,1)*3&gt;=2424,LARGE(G23:G241,1)*3,2424)</f>
        <v>91244.80931529816</v>
      </c>
      <c r="AD20" s="183"/>
    </row>
    <row r="21" spans="1:75" customFormat="1" ht="30" customHeight="1" x14ac:dyDescent="0.25">
      <c r="A21" s="45" t="s">
        <v>12</v>
      </c>
      <c r="B21" s="45" t="s">
        <v>15</v>
      </c>
      <c r="C21" s="45" t="s">
        <v>14</v>
      </c>
      <c r="D21" s="45" t="s">
        <v>156</v>
      </c>
      <c r="E21" s="46" t="s">
        <v>35</v>
      </c>
      <c r="F21" s="260" t="s">
        <v>13</v>
      </c>
      <c r="G21" s="46" t="s">
        <v>18</v>
      </c>
      <c r="H21" s="17"/>
      <c r="AD21" s="185"/>
    </row>
    <row r="22" spans="1:75" customFormat="1" ht="18.75" x14ac:dyDescent="0.25">
      <c r="A22" s="258" t="s">
        <v>60</v>
      </c>
      <c r="B22" s="259"/>
      <c r="C22" s="168">
        <f>SUM(C24:C263)</f>
        <v>138698.82230754412</v>
      </c>
      <c r="D22" s="168">
        <f>SUM(D24:D263)</f>
        <v>269245.81038897001</v>
      </c>
      <c r="E22" s="168">
        <f>SUM(E24:E263)</f>
        <v>1006999.9999999992</v>
      </c>
      <c r="F22" s="261"/>
      <c r="G22" s="168">
        <f>SUM(G24:G263)</f>
        <v>1414944.6326965145</v>
      </c>
      <c r="H22" s="17"/>
    </row>
    <row r="23" spans="1:75" customFormat="1" ht="15" customHeight="1" x14ac:dyDescent="0.25">
      <c r="A23" s="68">
        <v>0</v>
      </c>
      <c r="B23" s="68"/>
      <c r="C23" s="184">
        <f>D15</f>
        <v>0.05</v>
      </c>
      <c r="D23" s="184">
        <f>D16</f>
        <v>0.1</v>
      </c>
      <c r="E23" s="66"/>
      <c r="F23" s="158">
        <f>IF(AND(T5=1,U5=1,V5=1),B15,IF(AND(T5=1,U5=1,V5=2),B15+G16,IF(AND(T5=1,U5=1,V5=3),B15,IF(AND(T5=1,U5=2,V5=1),B15+G17,IF(AND(T5=1,U5=2,V5=2),B15+G16+G17,IF(AND(T5=1,U5=2,V5=3),B15+G17,IF(AND(T5=2,U5=1,V5=1),B15+G15,IF(AND(T5=2,U5=1,V5=2),B15+G16+G15,IF(AND(T5=2,U5=1,V5=3),B15+G15,IF(AND(T5=2,U5=2,V5=1),B15+G15+G17,IF(AND(T5=2,U5=2,V5=2),B15+G16+G15+G17,IF(AND(T5=2,U5=2,V5=3),B15+G15+G17,))))))))))))</f>
        <v>1007000</v>
      </c>
      <c r="G23" s="128"/>
      <c r="I23" s="10"/>
      <c r="M23" s="18"/>
      <c r="W23" s="249" t="s">
        <v>45</v>
      </c>
      <c r="X23" s="249"/>
      <c r="Y23" s="249"/>
      <c r="Z23" s="249"/>
      <c r="AA23" s="249"/>
      <c r="AB23" s="249"/>
    </row>
    <row r="24" spans="1:75" customFormat="1" ht="15" customHeight="1" x14ac:dyDescent="0.25">
      <c r="A24" s="68">
        <f t="shared" ref="A24:A73" si="0">IF(A23&lt;B$17,A23+1,"")</f>
        <v>1</v>
      </c>
      <c r="B24" s="68" t="str">
        <f t="shared" ref="B24:B73" si="1">IF(A24="","",IF(A24&lt;=B$16,"carência","amortização"))</f>
        <v>carência</v>
      </c>
      <c r="C24" s="158">
        <f>IF(A24="","",($C$23+1)^(22/252)-1)*(F23+D24)</f>
        <v>4334.3381971107483</v>
      </c>
      <c r="D24" s="158">
        <f>IF(A24="","",IF(A24&gt;B$17,0,($D$23+1)^(22/252)-1)*(F23))</f>
        <v>8413.9315746553057</v>
      </c>
      <c r="E24" s="157">
        <f t="shared" ref="E24" si="2">IF(D24="","",IF(A24&lt;=B$16,0,F$23/(B$17-B$16)))</f>
        <v>0</v>
      </c>
      <c r="F24" s="158">
        <f t="shared" ref="F24" si="3">IF(G24="","",F23-E24)</f>
        <v>1007000</v>
      </c>
      <c r="G24" s="160">
        <f t="shared" ref="G24" si="4">IF(E24="","",C24+D24+E24)</f>
        <v>12748.269771766054</v>
      </c>
      <c r="H24" s="10"/>
      <c r="I24" s="10"/>
      <c r="M24" s="18"/>
      <c r="W24" s="249"/>
      <c r="X24" s="249"/>
      <c r="Y24" s="249"/>
      <c r="Z24" s="249"/>
      <c r="AA24" s="249"/>
      <c r="AB24" s="249"/>
    </row>
    <row r="25" spans="1:75" customFormat="1" ht="15" customHeight="1" x14ac:dyDescent="0.25">
      <c r="A25" s="68">
        <f t="shared" si="0"/>
        <v>2</v>
      </c>
      <c r="B25" s="68" t="str">
        <f t="shared" si="1"/>
        <v>carência</v>
      </c>
      <c r="C25" s="158">
        <f>IF(A25="","",($C$23+1)^(22/252)-1)*(F24+D25)</f>
        <v>4334.3381971107483</v>
      </c>
      <c r="D25" s="158">
        <f t="shared" ref="D25:D87" si="5">IF(A25="","",IF(A25&gt;B$17,0,($D$23+1)^(22/252)-1)*(F24))</f>
        <v>8413.9315746553057</v>
      </c>
      <c r="E25" s="157">
        <f>IF(A25="","",IF(A25&lt;=B$16,0,F$23/(B$17-B$16)))</f>
        <v>0</v>
      </c>
      <c r="F25" s="158">
        <f>IF(A25="","",F24-E25)</f>
        <v>1007000</v>
      </c>
      <c r="G25" s="160">
        <f>IF(A25="","",C25+D25+E25)</f>
        <v>12748.269771766054</v>
      </c>
      <c r="H25" s="10"/>
      <c r="M25" s="18"/>
      <c r="W25" t="s">
        <v>38</v>
      </c>
      <c r="X25" s="19">
        <v>3.8E-3</v>
      </c>
      <c r="Z25" s="20">
        <f>X27*X25</f>
        <v>3800</v>
      </c>
      <c r="AA25" s="20">
        <f ca="1">Z25+Z26</f>
        <v>17955.789473684199</v>
      </c>
    </row>
    <row r="26" spans="1:75" customFormat="1" ht="15" customHeight="1" x14ac:dyDescent="0.25">
      <c r="A26" s="68">
        <f t="shared" si="0"/>
        <v>3</v>
      </c>
      <c r="B26" s="68" t="str">
        <f t="shared" si="1"/>
        <v>carência</v>
      </c>
      <c r="C26" s="158">
        <f t="shared" ref="C26:C59" si="6">IF(A26="","",($C$23+1)^(22/252)-1)*(F25+D26)</f>
        <v>4334.3381971107483</v>
      </c>
      <c r="D26" s="158">
        <f t="shared" si="5"/>
        <v>8413.9315746553057</v>
      </c>
      <c r="E26" s="157">
        <f>IF(A26="","",IF(A26&lt;=B$16,0,F$23/(B$17-B$16)))</f>
        <v>0</v>
      </c>
      <c r="F26" s="158">
        <f>IF(A26="","",F25-E26)</f>
        <v>1007000</v>
      </c>
      <c r="G26" s="160">
        <f>IF(A26="","",C26+D26+E26)</f>
        <v>12748.269771766054</v>
      </c>
      <c r="M26" s="18"/>
      <c r="W26" t="s">
        <v>46</v>
      </c>
      <c r="X26" s="19">
        <v>4.1E-5</v>
      </c>
      <c r="Z26" s="10">
        <f ca="1">SUM(Z31:Z608)</f>
        <v>14155.789473684199</v>
      </c>
      <c r="AB26" s="20"/>
    </row>
    <row r="27" spans="1:75" customFormat="1" ht="15" customHeight="1" x14ac:dyDescent="0.25">
      <c r="A27" s="68">
        <f t="shared" si="0"/>
        <v>4</v>
      </c>
      <c r="B27" s="68" t="str">
        <f t="shared" si="1"/>
        <v>amortização</v>
      </c>
      <c r="C27" s="158">
        <f t="shared" si="6"/>
        <v>4334.3381971107483</v>
      </c>
      <c r="D27" s="158">
        <f t="shared" si="5"/>
        <v>8413.9315746553057</v>
      </c>
      <c r="E27" s="157">
        <f t="shared" ref="E27:E90" si="7">IF(A27="","",IF(A27&lt;=B$16,0,F$23/(B$17-B$16)))</f>
        <v>17666.666666666668</v>
      </c>
      <c r="F27" s="158">
        <f t="shared" ref="F27:F90" si="8">IF(A27="","",F26-E27)</f>
        <v>989333.33333333337</v>
      </c>
      <c r="G27" s="160">
        <f t="shared" ref="G27:G90" si="9">IF(A27="","",C27+D27+E27)</f>
        <v>30414.93643843272</v>
      </c>
      <c r="M27" s="18"/>
      <c r="W27" t="s">
        <v>16</v>
      </c>
      <c r="X27" s="10">
        <f>B15</f>
        <v>1000000</v>
      </c>
    </row>
    <row r="28" spans="1:75" customFormat="1" ht="15" customHeight="1" x14ac:dyDescent="0.25">
      <c r="A28" s="68">
        <f t="shared" si="0"/>
        <v>5</v>
      </c>
      <c r="B28" s="68" t="str">
        <f t="shared" si="1"/>
        <v>amortização</v>
      </c>
      <c r="C28" s="158">
        <f t="shared" si="6"/>
        <v>4258.2971761088047</v>
      </c>
      <c r="D28" s="158">
        <f t="shared" si="5"/>
        <v>8266.3187400122315</v>
      </c>
      <c r="E28" s="157">
        <f t="shared" si="7"/>
        <v>17666.666666666668</v>
      </c>
      <c r="F28" s="158">
        <f t="shared" si="8"/>
        <v>971666.66666666674</v>
      </c>
      <c r="G28" s="160">
        <f t="shared" si="9"/>
        <v>30191.282582787702</v>
      </c>
      <c r="M28" s="18"/>
    </row>
    <row r="29" spans="1:75" customFormat="1" x14ac:dyDescent="0.25">
      <c r="A29" s="68">
        <f t="shared" si="0"/>
        <v>6</v>
      </c>
      <c r="B29" s="68" t="str">
        <f t="shared" si="1"/>
        <v>amortização</v>
      </c>
      <c r="C29" s="158">
        <f t="shared" si="6"/>
        <v>4182.256155106862</v>
      </c>
      <c r="D29" s="158">
        <f t="shared" si="5"/>
        <v>8118.7059053691555</v>
      </c>
      <c r="E29" s="157">
        <f t="shared" si="7"/>
        <v>17666.666666666668</v>
      </c>
      <c r="F29" s="158">
        <f t="shared" si="8"/>
        <v>954000.00000000012</v>
      </c>
      <c r="G29" s="160">
        <f t="shared" si="9"/>
        <v>29967.628727142685</v>
      </c>
      <c r="M29" s="18"/>
    </row>
    <row r="30" spans="1:75" customFormat="1" x14ac:dyDescent="0.25">
      <c r="A30" s="68">
        <f t="shared" si="0"/>
        <v>7</v>
      </c>
      <c r="B30" s="68" t="str">
        <f t="shared" si="1"/>
        <v>amortização</v>
      </c>
      <c r="C30" s="158">
        <f t="shared" si="6"/>
        <v>4106.2151341049193</v>
      </c>
      <c r="D30" s="158">
        <f t="shared" si="5"/>
        <v>7971.0930707260804</v>
      </c>
      <c r="E30" s="157">
        <f t="shared" si="7"/>
        <v>17666.666666666668</v>
      </c>
      <c r="F30" s="158">
        <f t="shared" si="8"/>
        <v>936333.33333333349</v>
      </c>
      <c r="G30" s="160">
        <f t="shared" si="9"/>
        <v>29743.974871497667</v>
      </c>
      <c r="J30" s="10">
        <f>G30</f>
        <v>29743.974871497667</v>
      </c>
      <c r="M30" s="18"/>
      <c r="V30">
        <v>0</v>
      </c>
      <c r="W30" s="18">
        <f ca="1">D17</f>
        <v>46240</v>
      </c>
      <c r="X30" s="1">
        <f t="shared" ref="X30:X61" ca="1" si="10">IF(W30="","",IF(V30&lt;=B$16,0,X$27/(B$17-B$16)))</f>
        <v>0</v>
      </c>
    </row>
    <row r="31" spans="1:75" customFormat="1" x14ac:dyDescent="0.25">
      <c r="A31" s="68">
        <f t="shared" si="0"/>
        <v>8</v>
      </c>
      <c r="B31" s="68" t="str">
        <f t="shared" si="1"/>
        <v>amortização</v>
      </c>
      <c r="C31" s="158">
        <f t="shared" si="6"/>
        <v>4030.1741131029767</v>
      </c>
      <c r="D31" s="158">
        <f t="shared" si="5"/>
        <v>7823.4802360830054</v>
      </c>
      <c r="E31" s="157">
        <f t="shared" si="7"/>
        <v>17666.666666666668</v>
      </c>
      <c r="F31" s="158">
        <f t="shared" si="8"/>
        <v>918666.66666666686</v>
      </c>
      <c r="G31" s="160">
        <f t="shared" si="9"/>
        <v>29520.321015852649</v>
      </c>
      <c r="M31" s="18"/>
      <c r="V31">
        <f>IF(V30&lt;B$17,V30+1,"")</f>
        <v>1</v>
      </c>
      <c r="W31" s="18">
        <f ca="1">IF(V31="","",W30+30)</f>
        <v>46270</v>
      </c>
      <c r="X31" s="1">
        <f t="shared" ca="1" si="10"/>
        <v>0</v>
      </c>
      <c r="Y31">
        <f ca="1">IF(X31="","",W31-W$30)</f>
        <v>30</v>
      </c>
      <c r="Z31" s="1">
        <f ca="1">IF(Y31="","",IF(Y31&lt;365,Y31*X31*X$26,365*X31*X$26))</f>
        <v>0</v>
      </c>
    </row>
    <row r="32" spans="1:75" customFormat="1" x14ac:dyDescent="0.25">
      <c r="A32" s="68">
        <f t="shared" si="0"/>
        <v>9</v>
      </c>
      <c r="B32" s="68" t="str">
        <f t="shared" si="1"/>
        <v>amortização</v>
      </c>
      <c r="C32" s="158">
        <f t="shared" si="6"/>
        <v>3954.133092101034</v>
      </c>
      <c r="D32" s="158">
        <f t="shared" si="5"/>
        <v>7675.8674014399303</v>
      </c>
      <c r="E32" s="157">
        <f t="shared" si="7"/>
        <v>17666.666666666668</v>
      </c>
      <c r="F32" s="158">
        <f t="shared" si="8"/>
        <v>901000.00000000023</v>
      </c>
      <c r="G32" s="160">
        <f t="shared" si="9"/>
        <v>29296.667160207631</v>
      </c>
      <c r="M32" s="18"/>
      <c r="V32">
        <f t="shared" ref="V32:V95" si="11">IF(V31&lt;B$17,V31+1,"")</f>
        <v>2</v>
      </c>
      <c r="W32" s="18">
        <f t="shared" ref="W32:W95" ca="1" si="12">IF(V32="","",W31+30)</f>
        <v>46300</v>
      </c>
      <c r="X32" s="1">
        <f t="shared" ca="1" si="10"/>
        <v>0</v>
      </c>
      <c r="Y32">
        <f t="shared" ref="Y32:Y95" ca="1" si="13">IF(X32="","",W32-W$30)</f>
        <v>60</v>
      </c>
      <c r="Z32" s="1">
        <f t="shared" ref="Z32:Z95" ca="1" si="14">IF(Y32="","",IF(Y32&lt;365,Y32*X32*X$26,365*X32*X$26))</f>
        <v>0</v>
      </c>
    </row>
    <row r="33" spans="1:26" customFormat="1" x14ac:dyDescent="0.25">
      <c r="A33" s="68">
        <f t="shared" si="0"/>
        <v>10</v>
      </c>
      <c r="B33" s="68" t="str">
        <f t="shared" si="1"/>
        <v>amortização</v>
      </c>
      <c r="C33" s="158">
        <f t="shared" si="6"/>
        <v>3878.0920710990908</v>
      </c>
      <c r="D33" s="158">
        <f t="shared" si="5"/>
        <v>7528.2545667968543</v>
      </c>
      <c r="E33" s="157">
        <f t="shared" si="7"/>
        <v>17666.666666666668</v>
      </c>
      <c r="F33" s="158">
        <f t="shared" si="8"/>
        <v>883333.3333333336</v>
      </c>
      <c r="G33" s="160">
        <f t="shared" si="9"/>
        <v>29073.013304562613</v>
      </c>
      <c r="M33" s="18"/>
      <c r="V33">
        <f t="shared" si="11"/>
        <v>3</v>
      </c>
      <c r="W33" s="18">
        <f t="shared" ca="1" si="12"/>
        <v>46330</v>
      </c>
      <c r="X33" s="1">
        <f t="shared" ca="1" si="10"/>
        <v>0</v>
      </c>
      <c r="Y33">
        <f t="shared" ca="1" si="13"/>
        <v>90</v>
      </c>
      <c r="Z33" s="1">
        <f t="shared" ca="1" si="14"/>
        <v>0</v>
      </c>
    </row>
    <row r="34" spans="1:26" customFormat="1" x14ac:dyDescent="0.25">
      <c r="A34" s="68">
        <f t="shared" si="0"/>
        <v>11</v>
      </c>
      <c r="B34" s="68" t="str">
        <f t="shared" si="1"/>
        <v>amortização</v>
      </c>
      <c r="C34" s="158">
        <f t="shared" si="6"/>
        <v>3802.0510500971486</v>
      </c>
      <c r="D34" s="158">
        <f t="shared" si="5"/>
        <v>7380.6417321537792</v>
      </c>
      <c r="E34" s="157">
        <f t="shared" si="7"/>
        <v>17666.666666666668</v>
      </c>
      <c r="F34" s="158">
        <f t="shared" si="8"/>
        <v>865666.66666666698</v>
      </c>
      <c r="G34" s="160">
        <f t="shared" si="9"/>
        <v>28849.359448917596</v>
      </c>
      <c r="M34" s="18"/>
      <c r="V34">
        <f t="shared" si="11"/>
        <v>4</v>
      </c>
      <c r="W34" s="18">
        <f t="shared" ca="1" si="12"/>
        <v>46360</v>
      </c>
      <c r="X34" s="1">
        <f t="shared" ca="1" si="10"/>
        <v>17543.859649122805</v>
      </c>
      <c r="Y34">
        <f t="shared" ca="1" si="13"/>
        <v>120</v>
      </c>
      <c r="Z34" s="1">
        <f t="shared" ca="1" si="14"/>
        <v>86.315789473684205</v>
      </c>
    </row>
    <row r="35" spans="1:26" customFormat="1" x14ac:dyDescent="0.25">
      <c r="A35" s="68">
        <f t="shared" si="0"/>
        <v>12</v>
      </c>
      <c r="B35" s="68" t="str">
        <f t="shared" si="1"/>
        <v>amortização</v>
      </c>
      <c r="C35" s="158">
        <f t="shared" si="6"/>
        <v>3726.0100290952055</v>
      </c>
      <c r="D35" s="158">
        <f t="shared" si="5"/>
        <v>7233.0288975107042</v>
      </c>
      <c r="E35" s="157">
        <f t="shared" si="7"/>
        <v>17666.666666666668</v>
      </c>
      <c r="F35" s="158">
        <f t="shared" si="8"/>
        <v>848000.00000000035</v>
      </c>
      <c r="G35" s="160">
        <f t="shared" si="9"/>
        <v>28625.705593272578</v>
      </c>
      <c r="M35" s="18"/>
      <c r="V35">
        <f t="shared" si="11"/>
        <v>5</v>
      </c>
      <c r="W35" s="18">
        <f t="shared" ca="1" si="12"/>
        <v>46390</v>
      </c>
      <c r="X35" s="1">
        <f t="shared" ca="1" si="10"/>
        <v>17543.859649122805</v>
      </c>
      <c r="Y35">
        <f t="shared" ca="1" si="13"/>
        <v>150</v>
      </c>
      <c r="Z35" s="1">
        <f t="shared" ca="1" si="14"/>
        <v>107.89473684210525</v>
      </c>
    </row>
    <row r="36" spans="1:26" customFormat="1" x14ac:dyDescent="0.25">
      <c r="A36" s="68">
        <f t="shared" si="0"/>
        <v>13</v>
      </c>
      <c r="B36" s="68" t="str">
        <f t="shared" si="1"/>
        <v>amortização</v>
      </c>
      <c r="C36" s="158">
        <f t="shared" si="6"/>
        <v>3649.9690080932628</v>
      </c>
      <c r="D36" s="158">
        <f t="shared" si="5"/>
        <v>7085.4160628676291</v>
      </c>
      <c r="E36" s="157">
        <f t="shared" si="7"/>
        <v>17666.666666666668</v>
      </c>
      <c r="F36" s="158">
        <f t="shared" si="8"/>
        <v>830333.33333333372</v>
      </c>
      <c r="G36" s="160">
        <f t="shared" si="9"/>
        <v>28402.05173762756</v>
      </c>
      <c r="M36" s="18"/>
      <c r="V36">
        <f t="shared" si="11"/>
        <v>6</v>
      </c>
      <c r="W36" s="18">
        <f t="shared" ca="1" si="12"/>
        <v>46420</v>
      </c>
      <c r="X36" s="1">
        <f t="shared" ca="1" si="10"/>
        <v>17543.859649122805</v>
      </c>
      <c r="Y36">
        <f t="shared" ca="1" si="13"/>
        <v>180</v>
      </c>
      <c r="Z36" s="1">
        <f t="shared" ca="1" si="14"/>
        <v>129.4736842105263</v>
      </c>
    </row>
    <row r="37" spans="1:26" customFormat="1" x14ac:dyDescent="0.25">
      <c r="A37" s="68">
        <f t="shared" si="0"/>
        <v>14</v>
      </c>
      <c r="B37" s="68" t="str">
        <f t="shared" si="1"/>
        <v>amortização</v>
      </c>
      <c r="C37" s="158">
        <f t="shared" si="6"/>
        <v>3573.9279870913197</v>
      </c>
      <c r="D37" s="158">
        <f t="shared" si="5"/>
        <v>6937.803228224554</v>
      </c>
      <c r="E37" s="157">
        <f t="shared" si="7"/>
        <v>17666.666666666668</v>
      </c>
      <c r="F37" s="158">
        <f t="shared" si="8"/>
        <v>812666.66666666709</v>
      </c>
      <c r="G37" s="160">
        <f t="shared" si="9"/>
        <v>28178.397881982542</v>
      </c>
      <c r="M37" s="18"/>
      <c r="V37">
        <f t="shared" si="11"/>
        <v>7</v>
      </c>
      <c r="W37" s="18">
        <f t="shared" ca="1" si="12"/>
        <v>46450</v>
      </c>
      <c r="X37" s="1">
        <f t="shared" ca="1" si="10"/>
        <v>17543.859649122805</v>
      </c>
      <c r="Y37">
        <f t="shared" ca="1" si="13"/>
        <v>210</v>
      </c>
      <c r="Z37" s="1">
        <f t="shared" ca="1" si="14"/>
        <v>151.05263157894737</v>
      </c>
    </row>
    <row r="38" spans="1:26" customFormat="1" x14ac:dyDescent="0.25">
      <c r="A38" s="68">
        <f t="shared" si="0"/>
        <v>15</v>
      </c>
      <c r="B38" s="68" t="str">
        <f t="shared" si="1"/>
        <v>amortização</v>
      </c>
      <c r="C38" s="158">
        <f t="shared" si="6"/>
        <v>3497.8869660893774</v>
      </c>
      <c r="D38" s="158">
        <f t="shared" si="5"/>
        <v>6790.1903935814789</v>
      </c>
      <c r="E38" s="157">
        <f t="shared" si="7"/>
        <v>17666.666666666668</v>
      </c>
      <c r="F38" s="158">
        <f t="shared" si="8"/>
        <v>795000.00000000047</v>
      </c>
      <c r="G38" s="160">
        <f t="shared" si="9"/>
        <v>27954.744026337525</v>
      </c>
      <c r="M38" s="18"/>
      <c r="V38">
        <f t="shared" si="11"/>
        <v>8</v>
      </c>
      <c r="W38" s="18">
        <f t="shared" ca="1" si="12"/>
        <v>46480</v>
      </c>
      <c r="X38" s="1">
        <f t="shared" ca="1" si="10"/>
        <v>17543.859649122805</v>
      </c>
      <c r="Y38">
        <f t="shared" ca="1" si="13"/>
        <v>240</v>
      </c>
      <c r="Z38" s="1">
        <f t="shared" ca="1" si="14"/>
        <v>172.63157894736841</v>
      </c>
    </row>
    <row r="39" spans="1:26" customFormat="1" x14ac:dyDescent="0.25">
      <c r="A39" s="68">
        <f t="shared" si="0"/>
        <v>16</v>
      </c>
      <c r="B39" s="68" t="str">
        <f t="shared" si="1"/>
        <v>amortização</v>
      </c>
      <c r="C39" s="158">
        <f t="shared" si="6"/>
        <v>3421.8459450874343</v>
      </c>
      <c r="D39" s="158">
        <f t="shared" si="5"/>
        <v>6642.5775589384039</v>
      </c>
      <c r="E39" s="157">
        <f t="shared" si="7"/>
        <v>17666.666666666668</v>
      </c>
      <c r="F39" s="158">
        <f t="shared" si="8"/>
        <v>777333.33333333384</v>
      </c>
      <c r="G39" s="160">
        <f t="shared" si="9"/>
        <v>27731.090170692507</v>
      </c>
      <c r="M39" s="18"/>
      <c r="V39">
        <f t="shared" si="11"/>
        <v>9</v>
      </c>
      <c r="W39" s="18">
        <f t="shared" ca="1" si="12"/>
        <v>46510</v>
      </c>
      <c r="X39" s="1">
        <f t="shared" ca="1" si="10"/>
        <v>17543.859649122805</v>
      </c>
      <c r="Y39">
        <f t="shared" ca="1" si="13"/>
        <v>270</v>
      </c>
      <c r="Z39" s="1">
        <f t="shared" ca="1" si="14"/>
        <v>194.21052631578948</v>
      </c>
    </row>
    <row r="40" spans="1:26" customFormat="1" x14ac:dyDescent="0.25">
      <c r="A40" s="68">
        <f t="shared" si="0"/>
        <v>17</v>
      </c>
      <c r="B40" s="68" t="str">
        <f t="shared" si="1"/>
        <v>amortização</v>
      </c>
      <c r="C40" s="158">
        <f t="shared" si="6"/>
        <v>3345.8049240854916</v>
      </c>
      <c r="D40" s="158">
        <f t="shared" si="5"/>
        <v>6494.9647242953279</v>
      </c>
      <c r="E40" s="157">
        <f t="shared" si="7"/>
        <v>17666.666666666668</v>
      </c>
      <c r="F40" s="158">
        <f t="shared" si="8"/>
        <v>759666.66666666721</v>
      </c>
      <c r="G40" s="160">
        <f t="shared" si="9"/>
        <v>27507.436315047489</v>
      </c>
      <c r="M40" s="18"/>
      <c r="V40">
        <f t="shared" si="11"/>
        <v>10</v>
      </c>
      <c r="W40" s="18">
        <f t="shared" ca="1" si="12"/>
        <v>46540</v>
      </c>
      <c r="X40" s="1">
        <f t="shared" ca="1" si="10"/>
        <v>17543.859649122805</v>
      </c>
      <c r="Y40">
        <f t="shared" ca="1" si="13"/>
        <v>300</v>
      </c>
      <c r="Z40" s="1">
        <f t="shared" ca="1" si="14"/>
        <v>215.78947368421049</v>
      </c>
    </row>
    <row r="41" spans="1:26" customFormat="1" x14ac:dyDescent="0.25">
      <c r="A41" s="68">
        <f t="shared" si="0"/>
        <v>18</v>
      </c>
      <c r="B41" s="68" t="str">
        <f t="shared" si="1"/>
        <v>amortização</v>
      </c>
      <c r="C41" s="158">
        <f t="shared" si="6"/>
        <v>3269.7639030835485</v>
      </c>
      <c r="D41" s="158">
        <f t="shared" si="5"/>
        <v>6347.3518896522528</v>
      </c>
      <c r="E41" s="157">
        <f t="shared" si="7"/>
        <v>17666.666666666668</v>
      </c>
      <c r="F41" s="158">
        <f t="shared" si="8"/>
        <v>742000.00000000058</v>
      </c>
      <c r="G41" s="160">
        <f t="shared" si="9"/>
        <v>27283.782459402471</v>
      </c>
      <c r="M41" s="18"/>
      <c r="V41">
        <f t="shared" si="11"/>
        <v>11</v>
      </c>
      <c r="W41" s="18">
        <f t="shared" ca="1" si="12"/>
        <v>46570</v>
      </c>
      <c r="X41" s="1">
        <f t="shared" ca="1" si="10"/>
        <v>17543.859649122805</v>
      </c>
      <c r="Y41">
        <f t="shared" ca="1" si="13"/>
        <v>330</v>
      </c>
      <c r="Z41" s="1">
        <f t="shared" ca="1" si="14"/>
        <v>237.36842105263156</v>
      </c>
    </row>
    <row r="42" spans="1:26" customFormat="1" x14ac:dyDescent="0.25">
      <c r="A42" s="68">
        <f t="shared" si="0"/>
        <v>19</v>
      </c>
      <c r="B42" s="68" t="str">
        <f t="shared" si="1"/>
        <v>amortização</v>
      </c>
      <c r="C42" s="158">
        <f t="shared" si="6"/>
        <v>3193.7228820816063</v>
      </c>
      <c r="D42" s="158">
        <f t="shared" si="5"/>
        <v>6199.7390550091777</v>
      </c>
      <c r="E42" s="157">
        <f t="shared" si="7"/>
        <v>17666.666666666668</v>
      </c>
      <c r="F42" s="158">
        <f t="shared" si="8"/>
        <v>724333.33333333395</v>
      </c>
      <c r="G42" s="160">
        <f t="shared" si="9"/>
        <v>27060.128603757454</v>
      </c>
      <c r="M42" s="18"/>
      <c r="V42">
        <f t="shared" si="11"/>
        <v>12</v>
      </c>
      <c r="W42" s="18">
        <f t="shared" ca="1" si="12"/>
        <v>46600</v>
      </c>
      <c r="X42" s="1">
        <f t="shared" ca="1" si="10"/>
        <v>17543.859649122805</v>
      </c>
      <c r="Y42">
        <f t="shared" ca="1" si="13"/>
        <v>360</v>
      </c>
      <c r="Z42" s="1">
        <f t="shared" ca="1" si="14"/>
        <v>258.9473684210526</v>
      </c>
    </row>
    <row r="43" spans="1:26" customFormat="1" x14ac:dyDescent="0.25">
      <c r="A43" s="68">
        <f t="shared" si="0"/>
        <v>20</v>
      </c>
      <c r="B43" s="68" t="str">
        <f t="shared" si="1"/>
        <v>amortização</v>
      </c>
      <c r="C43" s="158">
        <f t="shared" si="6"/>
        <v>3117.6818610796631</v>
      </c>
      <c r="D43" s="158">
        <f t="shared" si="5"/>
        <v>6052.1262203661026</v>
      </c>
      <c r="E43" s="157">
        <f t="shared" si="7"/>
        <v>17666.666666666668</v>
      </c>
      <c r="F43" s="158">
        <f t="shared" si="8"/>
        <v>706666.66666666733</v>
      </c>
      <c r="G43" s="160">
        <f t="shared" si="9"/>
        <v>26836.474748112436</v>
      </c>
      <c r="M43" s="18"/>
      <c r="V43">
        <f t="shared" si="11"/>
        <v>13</v>
      </c>
      <c r="W43" s="18">
        <f t="shared" ca="1" si="12"/>
        <v>46630</v>
      </c>
      <c r="X43" s="1">
        <f t="shared" ca="1" si="10"/>
        <v>17543.859649122805</v>
      </c>
      <c r="Y43">
        <f t="shared" ca="1" si="13"/>
        <v>390</v>
      </c>
      <c r="Z43" s="1">
        <f t="shared" ca="1" si="14"/>
        <v>262.54385964912279</v>
      </c>
    </row>
    <row r="44" spans="1:26" customFormat="1" x14ac:dyDescent="0.25">
      <c r="A44" s="68">
        <f t="shared" si="0"/>
        <v>21</v>
      </c>
      <c r="B44" s="68" t="str">
        <f t="shared" si="1"/>
        <v>amortização</v>
      </c>
      <c r="C44" s="158">
        <f t="shared" si="6"/>
        <v>3041.6408400777204</v>
      </c>
      <c r="D44" s="158">
        <f t="shared" si="5"/>
        <v>5904.5133857230276</v>
      </c>
      <c r="E44" s="157">
        <f t="shared" si="7"/>
        <v>17666.666666666668</v>
      </c>
      <c r="F44" s="158">
        <f t="shared" si="8"/>
        <v>689000.0000000007</v>
      </c>
      <c r="G44" s="160">
        <f t="shared" si="9"/>
        <v>26612.820892467418</v>
      </c>
      <c r="M44" s="18"/>
      <c r="V44">
        <f t="shared" si="11"/>
        <v>14</v>
      </c>
      <c r="W44" s="18">
        <f t="shared" ca="1" si="12"/>
        <v>46660</v>
      </c>
      <c r="X44" s="1">
        <f t="shared" ca="1" si="10"/>
        <v>17543.859649122805</v>
      </c>
      <c r="Y44">
        <f t="shared" ca="1" si="13"/>
        <v>420</v>
      </c>
      <c r="Z44" s="1">
        <f t="shared" ca="1" si="14"/>
        <v>262.54385964912279</v>
      </c>
    </row>
    <row r="45" spans="1:26" customFormat="1" x14ac:dyDescent="0.25">
      <c r="A45" s="68">
        <f t="shared" si="0"/>
        <v>22</v>
      </c>
      <c r="B45" s="68" t="str">
        <f t="shared" si="1"/>
        <v>amortização</v>
      </c>
      <c r="C45" s="158">
        <f t="shared" si="6"/>
        <v>2965.5998190757778</v>
      </c>
      <c r="D45" s="158">
        <f t="shared" si="5"/>
        <v>5756.9005510799525</v>
      </c>
      <c r="E45" s="157">
        <f t="shared" si="7"/>
        <v>17666.666666666668</v>
      </c>
      <c r="F45" s="158">
        <f t="shared" si="8"/>
        <v>671333.33333333407</v>
      </c>
      <c r="G45" s="160">
        <f t="shared" si="9"/>
        <v>26389.1670368224</v>
      </c>
      <c r="M45" s="18"/>
      <c r="V45">
        <f t="shared" si="11"/>
        <v>15</v>
      </c>
      <c r="W45" s="18">
        <f t="shared" ca="1" si="12"/>
        <v>46690</v>
      </c>
      <c r="X45" s="1">
        <f t="shared" ca="1" si="10"/>
        <v>17543.859649122805</v>
      </c>
      <c r="Y45">
        <f t="shared" ca="1" si="13"/>
        <v>450</v>
      </c>
      <c r="Z45" s="1">
        <f t="shared" ca="1" si="14"/>
        <v>262.54385964912279</v>
      </c>
    </row>
    <row r="46" spans="1:26" customFormat="1" x14ac:dyDescent="0.25">
      <c r="A46" s="68">
        <f t="shared" si="0"/>
        <v>23</v>
      </c>
      <c r="B46" s="68" t="str">
        <f t="shared" si="1"/>
        <v>amortização</v>
      </c>
      <c r="C46" s="158">
        <f t="shared" si="6"/>
        <v>2889.5587980738351</v>
      </c>
      <c r="D46" s="158">
        <f t="shared" si="5"/>
        <v>5609.2877164368765</v>
      </c>
      <c r="E46" s="157">
        <f t="shared" si="7"/>
        <v>17666.666666666668</v>
      </c>
      <c r="F46" s="158">
        <f t="shared" si="8"/>
        <v>653666.66666666744</v>
      </c>
      <c r="G46" s="160">
        <f t="shared" si="9"/>
        <v>26165.513181177379</v>
      </c>
      <c r="M46" s="18"/>
      <c r="V46">
        <f t="shared" si="11"/>
        <v>16</v>
      </c>
      <c r="W46" s="18">
        <f t="shared" ca="1" si="12"/>
        <v>46720</v>
      </c>
      <c r="X46" s="1">
        <f t="shared" ca="1" si="10"/>
        <v>17543.859649122805</v>
      </c>
      <c r="Y46">
        <f t="shared" ca="1" si="13"/>
        <v>480</v>
      </c>
      <c r="Z46" s="1">
        <f t="shared" ca="1" si="14"/>
        <v>262.54385964912279</v>
      </c>
    </row>
    <row r="47" spans="1:26" customFormat="1" x14ac:dyDescent="0.25">
      <c r="A47" s="68">
        <f t="shared" si="0"/>
        <v>24</v>
      </c>
      <c r="B47" s="68" t="str">
        <f t="shared" si="1"/>
        <v>amortização</v>
      </c>
      <c r="C47" s="158">
        <f t="shared" si="6"/>
        <v>2813.5177770718919</v>
      </c>
      <c r="D47" s="158">
        <f t="shared" si="5"/>
        <v>5461.6748817938014</v>
      </c>
      <c r="E47" s="157">
        <f t="shared" si="7"/>
        <v>17666.666666666668</v>
      </c>
      <c r="F47" s="158">
        <f t="shared" si="8"/>
        <v>636000.00000000081</v>
      </c>
      <c r="G47" s="160">
        <f t="shared" si="9"/>
        <v>25941.859325532361</v>
      </c>
      <c r="M47" s="18"/>
      <c r="V47">
        <f t="shared" si="11"/>
        <v>17</v>
      </c>
      <c r="W47" s="18">
        <f t="shared" ca="1" si="12"/>
        <v>46750</v>
      </c>
      <c r="X47" s="1">
        <f t="shared" ca="1" si="10"/>
        <v>17543.859649122805</v>
      </c>
      <c r="Y47">
        <f t="shared" ca="1" si="13"/>
        <v>510</v>
      </c>
      <c r="Z47" s="1">
        <f t="shared" ca="1" si="14"/>
        <v>262.54385964912279</v>
      </c>
    </row>
    <row r="48" spans="1:26" customFormat="1" x14ac:dyDescent="0.25">
      <c r="A48" s="68">
        <f t="shared" si="0"/>
        <v>25</v>
      </c>
      <c r="B48" s="68" t="str">
        <f t="shared" si="1"/>
        <v>amortização</v>
      </c>
      <c r="C48" s="158">
        <f t="shared" si="6"/>
        <v>2737.4767560699493</v>
      </c>
      <c r="D48" s="158">
        <f t="shared" si="5"/>
        <v>5314.0620471507264</v>
      </c>
      <c r="E48" s="157">
        <f t="shared" si="7"/>
        <v>17666.666666666668</v>
      </c>
      <c r="F48" s="158">
        <f t="shared" si="8"/>
        <v>618333.33333333419</v>
      </c>
      <c r="G48" s="160">
        <f t="shared" si="9"/>
        <v>25718.205469887343</v>
      </c>
      <c r="M48" s="18"/>
      <c r="V48">
        <f t="shared" si="11"/>
        <v>18</v>
      </c>
      <c r="W48" s="18">
        <f t="shared" ca="1" si="12"/>
        <v>46780</v>
      </c>
      <c r="X48" s="1">
        <f t="shared" ca="1" si="10"/>
        <v>17543.859649122805</v>
      </c>
      <c r="Y48">
        <f t="shared" ca="1" si="13"/>
        <v>540</v>
      </c>
      <c r="Z48" s="1">
        <f t="shared" ca="1" si="14"/>
        <v>262.54385964912279</v>
      </c>
    </row>
    <row r="49" spans="1:26" customFormat="1" x14ac:dyDescent="0.25">
      <c r="A49" s="68">
        <f t="shared" si="0"/>
        <v>26</v>
      </c>
      <c r="B49" s="68" t="str">
        <f t="shared" si="1"/>
        <v>amortização</v>
      </c>
      <c r="C49" s="158">
        <f t="shared" si="6"/>
        <v>2661.435735068007</v>
      </c>
      <c r="D49" s="158">
        <f t="shared" si="5"/>
        <v>5166.4492125076513</v>
      </c>
      <c r="E49" s="157">
        <f t="shared" si="7"/>
        <v>17666.666666666668</v>
      </c>
      <c r="F49" s="158">
        <f t="shared" si="8"/>
        <v>600666.66666666756</v>
      </c>
      <c r="G49" s="160">
        <f t="shared" si="9"/>
        <v>25494.551614242326</v>
      </c>
      <c r="M49" s="18"/>
      <c r="V49">
        <f t="shared" si="11"/>
        <v>19</v>
      </c>
      <c r="W49" s="18">
        <f t="shared" ca="1" si="12"/>
        <v>46810</v>
      </c>
      <c r="X49" s="1">
        <f t="shared" ca="1" si="10"/>
        <v>17543.859649122805</v>
      </c>
      <c r="Y49">
        <f t="shared" ca="1" si="13"/>
        <v>570</v>
      </c>
      <c r="Z49" s="1">
        <f t="shared" ca="1" si="14"/>
        <v>262.54385964912279</v>
      </c>
    </row>
    <row r="50" spans="1:26" customFormat="1" x14ac:dyDescent="0.25">
      <c r="A50" s="68">
        <f t="shared" si="0"/>
        <v>27</v>
      </c>
      <c r="B50" s="68" t="str">
        <f t="shared" si="1"/>
        <v>amortização</v>
      </c>
      <c r="C50" s="158">
        <f t="shared" si="6"/>
        <v>2585.3947140660639</v>
      </c>
      <c r="D50" s="158">
        <f t="shared" si="5"/>
        <v>5018.8363778645762</v>
      </c>
      <c r="E50" s="157">
        <f t="shared" si="7"/>
        <v>17666.666666666668</v>
      </c>
      <c r="F50" s="158">
        <f t="shared" si="8"/>
        <v>583000.00000000093</v>
      </c>
      <c r="G50" s="160">
        <f t="shared" si="9"/>
        <v>25270.897758597308</v>
      </c>
      <c r="M50" s="18"/>
      <c r="V50">
        <f t="shared" si="11"/>
        <v>20</v>
      </c>
      <c r="W50" s="18">
        <f t="shared" ca="1" si="12"/>
        <v>46840</v>
      </c>
      <c r="X50" s="1">
        <f t="shared" ca="1" si="10"/>
        <v>17543.859649122805</v>
      </c>
      <c r="Y50">
        <f t="shared" ca="1" si="13"/>
        <v>600</v>
      </c>
      <c r="Z50" s="1">
        <f t="shared" ca="1" si="14"/>
        <v>262.54385964912279</v>
      </c>
    </row>
    <row r="51" spans="1:26" customFormat="1" x14ac:dyDescent="0.25">
      <c r="A51" s="68">
        <f t="shared" si="0"/>
        <v>28</v>
      </c>
      <c r="B51" s="68" t="str">
        <f t="shared" si="1"/>
        <v>amortização</v>
      </c>
      <c r="C51" s="158">
        <f t="shared" si="6"/>
        <v>2509.3536930641212</v>
      </c>
      <c r="D51" s="158">
        <f t="shared" si="5"/>
        <v>4871.2235432215011</v>
      </c>
      <c r="E51" s="157">
        <f t="shared" si="7"/>
        <v>17666.666666666668</v>
      </c>
      <c r="F51" s="158">
        <f t="shared" si="8"/>
        <v>565333.3333333343</v>
      </c>
      <c r="G51" s="160">
        <f t="shared" si="9"/>
        <v>25047.24390295229</v>
      </c>
      <c r="M51" s="18"/>
      <c r="V51">
        <f t="shared" si="11"/>
        <v>21</v>
      </c>
      <c r="W51" s="18">
        <f t="shared" ca="1" si="12"/>
        <v>46870</v>
      </c>
      <c r="X51" s="1">
        <f t="shared" ca="1" si="10"/>
        <v>17543.859649122805</v>
      </c>
      <c r="Y51">
        <f t="shared" ca="1" si="13"/>
        <v>630</v>
      </c>
      <c r="Z51" s="1">
        <f t="shared" ca="1" si="14"/>
        <v>262.54385964912279</v>
      </c>
    </row>
    <row r="52" spans="1:26" customFormat="1" x14ac:dyDescent="0.25">
      <c r="A52" s="68">
        <f t="shared" si="0"/>
        <v>29</v>
      </c>
      <c r="B52" s="68" t="str">
        <f t="shared" si="1"/>
        <v>amortização</v>
      </c>
      <c r="C52" s="158">
        <f t="shared" si="6"/>
        <v>2433.3126720621781</v>
      </c>
      <c r="D52" s="158">
        <f t="shared" si="5"/>
        <v>4723.6107085784251</v>
      </c>
      <c r="E52" s="157">
        <f t="shared" si="7"/>
        <v>17666.666666666668</v>
      </c>
      <c r="F52" s="158">
        <f t="shared" si="8"/>
        <v>547666.66666666768</v>
      </c>
      <c r="G52" s="160">
        <f t="shared" si="9"/>
        <v>24823.590047307269</v>
      </c>
      <c r="M52" s="18"/>
      <c r="V52">
        <f t="shared" si="11"/>
        <v>22</v>
      </c>
      <c r="W52" s="18">
        <f t="shared" ca="1" si="12"/>
        <v>46900</v>
      </c>
      <c r="X52" s="1">
        <f t="shared" ca="1" si="10"/>
        <v>17543.859649122805</v>
      </c>
      <c r="Y52">
        <f t="shared" ca="1" si="13"/>
        <v>660</v>
      </c>
      <c r="Z52" s="1">
        <f t="shared" ca="1" si="14"/>
        <v>262.54385964912279</v>
      </c>
    </row>
    <row r="53" spans="1:26" customFormat="1" x14ac:dyDescent="0.25">
      <c r="A53" s="68">
        <f t="shared" si="0"/>
        <v>30</v>
      </c>
      <c r="B53" s="68" t="str">
        <f t="shared" si="1"/>
        <v>amortização</v>
      </c>
      <c r="C53" s="158">
        <f t="shared" si="6"/>
        <v>2357.2716510602359</v>
      </c>
      <c r="D53" s="158">
        <f t="shared" si="5"/>
        <v>4575.9978739353501</v>
      </c>
      <c r="E53" s="157">
        <f t="shared" si="7"/>
        <v>17666.666666666668</v>
      </c>
      <c r="F53" s="158">
        <f t="shared" si="8"/>
        <v>530000.00000000105</v>
      </c>
      <c r="G53" s="160">
        <f t="shared" si="9"/>
        <v>24599.936191662255</v>
      </c>
      <c r="M53" s="18"/>
      <c r="V53">
        <f t="shared" si="11"/>
        <v>23</v>
      </c>
      <c r="W53" s="18">
        <f t="shared" ca="1" si="12"/>
        <v>46930</v>
      </c>
      <c r="X53" s="1">
        <f t="shared" ca="1" si="10"/>
        <v>17543.859649122805</v>
      </c>
      <c r="Y53">
        <f t="shared" ca="1" si="13"/>
        <v>690</v>
      </c>
      <c r="Z53" s="1">
        <f t="shared" ca="1" si="14"/>
        <v>262.54385964912279</v>
      </c>
    </row>
    <row r="54" spans="1:26" customFormat="1" x14ac:dyDescent="0.25">
      <c r="A54" s="68">
        <f t="shared" si="0"/>
        <v>31</v>
      </c>
      <c r="B54" s="68" t="str">
        <f t="shared" si="1"/>
        <v>amortização</v>
      </c>
      <c r="C54" s="158">
        <f t="shared" si="6"/>
        <v>2281.2306300582927</v>
      </c>
      <c r="D54" s="158">
        <f t="shared" si="5"/>
        <v>4428.385039292275</v>
      </c>
      <c r="E54" s="157">
        <f t="shared" si="7"/>
        <v>17666.666666666668</v>
      </c>
      <c r="F54" s="158">
        <f t="shared" si="8"/>
        <v>512333.33333333436</v>
      </c>
      <c r="G54" s="160">
        <f t="shared" si="9"/>
        <v>24376.282336017233</v>
      </c>
      <c r="M54" s="18"/>
      <c r="V54">
        <f t="shared" si="11"/>
        <v>24</v>
      </c>
      <c r="W54" s="18">
        <f t="shared" ca="1" si="12"/>
        <v>46960</v>
      </c>
      <c r="X54" s="1">
        <f t="shared" ca="1" si="10"/>
        <v>17543.859649122805</v>
      </c>
      <c r="Y54">
        <f t="shared" ca="1" si="13"/>
        <v>720</v>
      </c>
      <c r="Z54" s="1">
        <f t="shared" ca="1" si="14"/>
        <v>262.54385964912279</v>
      </c>
    </row>
    <row r="55" spans="1:26" customFormat="1" x14ac:dyDescent="0.25">
      <c r="A55" s="68">
        <f t="shared" si="0"/>
        <v>32</v>
      </c>
      <c r="B55" s="68" t="str">
        <f t="shared" si="1"/>
        <v>amortização</v>
      </c>
      <c r="C55" s="158">
        <f t="shared" si="6"/>
        <v>2205.18960905635</v>
      </c>
      <c r="D55" s="158">
        <f t="shared" si="5"/>
        <v>4280.772204649199</v>
      </c>
      <c r="E55" s="157">
        <f t="shared" si="7"/>
        <v>17666.666666666668</v>
      </c>
      <c r="F55" s="158">
        <f t="shared" si="8"/>
        <v>494666.66666666768</v>
      </c>
      <c r="G55" s="160">
        <f t="shared" si="9"/>
        <v>24152.628480372216</v>
      </c>
      <c r="M55" s="18"/>
      <c r="V55">
        <f t="shared" si="11"/>
        <v>25</v>
      </c>
      <c r="W55" s="18">
        <f t="shared" ca="1" si="12"/>
        <v>46990</v>
      </c>
      <c r="X55" s="1">
        <f t="shared" ca="1" si="10"/>
        <v>17543.859649122805</v>
      </c>
      <c r="Y55">
        <f t="shared" ca="1" si="13"/>
        <v>750</v>
      </c>
      <c r="Z55" s="1">
        <f t="shared" ca="1" si="14"/>
        <v>262.54385964912279</v>
      </c>
    </row>
    <row r="56" spans="1:26" customFormat="1" x14ac:dyDescent="0.25">
      <c r="A56" s="68">
        <f t="shared" si="0"/>
        <v>33</v>
      </c>
      <c r="B56" s="68" t="str">
        <f t="shared" si="1"/>
        <v>amortização</v>
      </c>
      <c r="C56" s="158">
        <f t="shared" si="6"/>
        <v>2129.1485880544069</v>
      </c>
      <c r="D56" s="158">
        <f t="shared" si="5"/>
        <v>4133.1593700061239</v>
      </c>
      <c r="E56" s="157">
        <f t="shared" si="7"/>
        <v>17666.666666666668</v>
      </c>
      <c r="F56" s="158">
        <f t="shared" si="8"/>
        <v>477000.00000000099</v>
      </c>
      <c r="G56" s="160">
        <f t="shared" si="9"/>
        <v>23928.974624727198</v>
      </c>
      <c r="M56" s="18"/>
      <c r="V56">
        <f t="shared" si="11"/>
        <v>26</v>
      </c>
      <c r="W56" s="18">
        <f t="shared" ca="1" si="12"/>
        <v>47020</v>
      </c>
      <c r="X56" s="1">
        <f t="shared" ca="1" si="10"/>
        <v>17543.859649122805</v>
      </c>
      <c r="Y56">
        <f t="shared" ca="1" si="13"/>
        <v>780</v>
      </c>
      <c r="Z56" s="1">
        <f t="shared" ca="1" si="14"/>
        <v>262.54385964912279</v>
      </c>
    </row>
    <row r="57" spans="1:26" customFormat="1" x14ac:dyDescent="0.25">
      <c r="A57" s="68">
        <f t="shared" si="0"/>
        <v>34</v>
      </c>
      <c r="B57" s="68" t="str">
        <f t="shared" si="1"/>
        <v>amortização</v>
      </c>
      <c r="C57" s="158">
        <f t="shared" si="6"/>
        <v>2053.1075670524638</v>
      </c>
      <c r="D57" s="158">
        <f t="shared" si="5"/>
        <v>3985.546535363048</v>
      </c>
      <c r="E57" s="157">
        <f t="shared" si="7"/>
        <v>17666.666666666668</v>
      </c>
      <c r="F57" s="158">
        <f t="shared" si="8"/>
        <v>459333.3333333343</v>
      </c>
      <c r="G57" s="160">
        <f t="shared" si="9"/>
        <v>23705.32076908218</v>
      </c>
      <c r="M57" s="18"/>
      <c r="V57">
        <f t="shared" si="11"/>
        <v>27</v>
      </c>
      <c r="W57" s="18">
        <f t="shared" ca="1" si="12"/>
        <v>47050</v>
      </c>
      <c r="X57" s="1">
        <f t="shared" ca="1" si="10"/>
        <v>17543.859649122805</v>
      </c>
      <c r="Y57">
        <f t="shared" ca="1" si="13"/>
        <v>810</v>
      </c>
      <c r="Z57" s="1">
        <f t="shared" ca="1" si="14"/>
        <v>262.54385964912279</v>
      </c>
    </row>
    <row r="58" spans="1:26" customFormat="1" x14ac:dyDescent="0.25">
      <c r="A58" s="68">
        <f t="shared" si="0"/>
        <v>35</v>
      </c>
      <c r="B58" s="68" t="str">
        <f t="shared" si="1"/>
        <v>amortização</v>
      </c>
      <c r="C58" s="158">
        <f t="shared" si="6"/>
        <v>1977.0665460505206</v>
      </c>
      <c r="D58" s="158">
        <f t="shared" si="5"/>
        <v>3837.9337007199724</v>
      </c>
      <c r="E58" s="157">
        <f t="shared" si="7"/>
        <v>17666.666666666668</v>
      </c>
      <c r="F58" s="158">
        <f t="shared" si="8"/>
        <v>441666.66666666762</v>
      </c>
      <c r="G58" s="160">
        <f t="shared" si="9"/>
        <v>23481.666913437162</v>
      </c>
      <c r="M58" s="18"/>
      <c r="V58">
        <f t="shared" si="11"/>
        <v>28</v>
      </c>
      <c r="W58" s="18">
        <f t="shared" ca="1" si="12"/>
        <v>47080</v>
      </c>
      <c r="X58" s="1">
        <f t="shared" ca="1" si="10"/>
        <v>17543.859649122805</v>
      </c>
      <c r="Y58">
        <f t="shared" ca="1" si="13"/>
        <v>840</v>
      </c>
      <c r="Z58" s="1">
        <f t="shared" ca="1" si="14"/>
        <v>262.54385964912279</v>
      </c>
    </row>
    <row r="59" spans="1:26" customFormat="1" x14ac:dyDescent="0.25">
      <c r="A59" s="68">
        <f t="shared" si="0"/>
        <v>36</v>
      </c>
      <c r="B59" s="68" t="str">
        <f t="shared" si="1"/>
        <v>amortização</v>
      </c>
      <c r="C59" s="158">
        <f t="shared" si="6"/>
        <v>1901.0255250485777</v>
      </c>
      <c r="D59" s="158">
        <f t="shared" si="5"/>
        <v>3690.3208660768964</v>
      </c>
      <c r="E59" s="157">
        <f t="shared" si="7"/>
        <v>17666.666666666668</v>
      </c>
      <c r="F59" s="158">
        <f t="shared" si="8"/>
        <v>424000.00000000093</v>
      </c>
      <c r="G59" s="160">
        <f t="shared" si="9"/>
        <v>23258.013057792141</v>
      </c>
      <c r="M59" s="18"/>
      <c r="V59">
        <f t="shared" si="11"/>
        <v>29</v>
      </c>
      <c r="W59" s="18">
        <f t="shared" ca="1" si="12"/>
        <v>47110</v>
      </c>
      <c r="X59" s="1">
        <f t="shared" ca="1" si="10"/>
        <v>17543.859649122805</v>
      </c>
      <c r="Y59">
        <f t="shared" ca="1" si="13"/>
        <v>870</v>
      </c>
      <c r="Z59" s="1">
        <f t="shared" ca="1" si="14"/>
        <v>262.54385964912279</v>
      </c>
    </row>
    <row r="60" spans="1:26" customFormat="1" x14ac:dyDescent="0.25">
      <c r="A60" s="68">
        <f t="shared" si="0"/>
        <v>37</v>
      </c>
      <c r="B60" s="68" t="str">
        <f t="shared" si="1"/>
        <v>amortização</v>
      </c>
      <c r="C60" s="158">
        <f t="shared" ref="C60:C83" si="15">IF(A60="","",IF(A60&gt;B$17,0,($C$23+1)^(22/252)-1)*(F59+D60))</f>
        <v>1824.9845040466346</v>
      </c>
      <c r="D60" s="158">
        <f t="shared" si="5"/>
        <v>3542.7080314338209</v>
      </c>
      <c r="E60" s="157">
        <f t="shared" ref="E60:E83" si="16">IF(A60="","",IF(A60&lt;=B$16,0,F$23/(B$17-B$16)))</f>
        <v>17666.666666666668</v>
      </c>
      <c r="F60" s="158">
        <f t="shared" ref="F60:F83" si="17">IF(A60="","",F59-E60)</f>
        <v>406333.33333333425</v>
      </c>
      <c r="G60" s="160">
        <f t="shared" ref="G60:G83" si="18">IF(A60="","",C60+D60+E60)</f>
        <v>23034.359202147123</v>
      </c>
      <c r="M60" s="18"/>
      <c r="V60">
        <f t="shared" si="11"/>
        <v>30</v>
      </c>
      <c r="W60" s="18">
        <f t="shared" ca="1" si="12"/>
        <v>47140</v>
      </c>
      <c r="X60" s="1">
        <f t="shared" ca="1" si="10"/>
        <v>17543.859649122805</v>
      </c>
      <c r="Y60">
        <f t="shared" ca="1" si="13"/>
        <v>900</v>
      </c>
      <c r="Z60" s="1">
        <f t="shared" ca="1" si="14"/>
        <v>262.54385964912279</v>
      </c>
    </row>
    <row r="61" spans="1:26" customFormat="1" x14ac:dyDescent="0.25">
      <c r="A61" s="68">
        <f t="shared" si="0"/>
        <v>38</v>
      </c>
      <c r="B61" s="68" t="str">
        <f t="shared" si="1"/>
        <v>amortização</v>
      </c>
      <c r="C61" s="158">
        <f t="shared" si="15"/>
        <v>1748.9434830446917</v>
      </c>
      <c r="D61" s="158">
        <f t="shared" si="5"/>
        <v>3395.0951967907454</v>
      </c>
      <c r="E61" s="157">
        <f t="shared" si="16"/>
        <v>17666.666666666668</v>
      </c>
      <c r="F61" s="158">
        <f t="shared" si="17"/>
        <v>388666.66666666756</v>
      </c>
      <c r="G61" s="160">
        <f t="shared" si="18"/>
        <v>22810.705346502105</v>
      </c>
      <c r="M61" s="18"/>
      <c r="V61">
        <f t="shared" si="11"/>
        <v>31</v>
      </c>
      <c r="W61" s="18">
        <f t="shared" ca="1" si="12"/>
        <v>47170</v>
      </c>
      <c r="X61" s="1">
        <f t="shared" ca="1" si="10"/>
        <v>17543.859649122805</v>
      </c>
      <c r="Y61">
        <f t="shared" ca="1" si="13"/>
        <v>930</v>
      </c>
      <c r="Z61" s="1">
        <f t="shared" ca="1" si="14"/>
        <v>262.54385964912279</v>
      </c>
    </row>
    <row r="62" spans="1:26" customFormat="1" x14ac:dyDescent="0.25">
      <c r="A62" s="68">
        <f t="shared" si="0"/>
        <v>39</v>
      </c>
      <c r="B62" s="68" t="str">
        <f t="shared" si="1"/>
        <v>amortização</v>
      </c>
      <c r="C62" s="158">
        <f t="shared" si="15"/>
        <v>1672.9024620427485</v>
      </c>
      <c r="D62" s="158">
        <f t="shared" si="5"/>
        <v>3247.4823621476694</v>
      </c>
      <c r="E62" s="157">
        <f t="shared" si="16"/>
        <v>17666.666666666668</v>
      </c>
      <c r="F62" s="158">
        <f t="shared" si="17"/>
        <v>371000.00000000087</v>
      </c>
      <c r="G62" s="160">
        <f t="shared" si="18"/>
        <v>22587.051490857084</v>
      </c>
      <c r="M62" s="18"/>
      <c r="V62">
        <f t="shared" si="11"/>
        <v>32</v>
      </c>
      <c r="W62" s="18">
        <f t="shared" ca="1" si="12"/>
        <v>47200</v>
      </c>
      <c r="X62" s="1">
        <f t="shared" ref="X62:X93" ca="1" si="19">IF(W62="","",IF(V62&lt;=B$16,0,X$27/(B$17-B$16)))</f>
        <v>17543.859649122805</v>
      </c>
      <c r="Y62">
        <f t="shared" ca="1" si="13"/>
        <v>960</v>
      </c>
      <c r="Z62" s="1">
        <f t="shared" ca="1" si="14"/>
        <v>262.54385964912279</v>
      </c>
    </row>
    <row r="63" spans="1:26" customFormat="1" x14ac:dyDescent="0.25">
      <c r="A63" s="68">
        <f t="shared" si="0"/>
        <v>40</v>
      </c>
      <c r="B63" s="68" t="str">
        <f t="shared" si="1"/>
        <v>amortização</v>
      </c>
      <c r="C63" s="158">
        <f t="shared" si="15"/>
        <v>1596.8614410408056</v>
      </c>
      <c r="D63" s="158">
        <f t="shared" si="5"/>
        <v>3099.8695275045939</v>
      </c>
      <c r="E63" s="157">
        <f t="shared" si="16"/>
        <v>17666.666666666668</v>
      </c>
      <c r="F63" s="158">
        <f t="shared" si="17"/>
        <v>353333.33333333419</v>
      </c>
      <c r="G63" s="160">
        <f t="shared" si="18"/>
        <v>22363.397635212066</v>
      </c>
      <c r="M63" s="18"/>
      <c r="V63">
        <f t="shared" si="11"/>
        <v>33</v>
      </c>
      <c r="W63" s="18">
        <f t="shared" ca="1" si="12"/>
        <v>47230</v>
      </c>
      <c r="X63" s="1">
        <f t="shared" ca="1" si="19"/>
        <v>17543.859649122805</v>
      </c>
      <c r="Y63">
        <f t="shared" ca="1" si="13"/>
        <v>990</v>
      </c>
      <c r="Z63" s="1">
        <f t="shared" ca="1" si="14"/>
        <v>262.54385964912279</v>
      </c>
    </row>
    <row r="64" spans="1:26" customFormat="1" x14ac:dyDescent="0.25">
      <c r="A64" s="68">
        <f t="shared" si="0"/>
        <v>41</v>
      </c>
      <c r="B64" s="68" t="str">
        <f t="shared" si="1"/>
        <v>amortização</v>
      </c>
      <c r="C64" s="158">
        <f t="shared" si="15"/>
        <v>1520.8204200388625</v>
      </c>
      <c r="D64" s="158">
        <f t="shared" si="5"/>
        <v>2952.2566928615179</v>
      </c>
      <c r="E64" s="157">
        <f t="shared" si="16"/>
        <v>17666.666666666668</v>
      </c>
      <c r="F64" s="158">
        <f t="shared" si="17"/>
        <v>335666.6666666675</v>
      </c>
      <c r="G64" s="160">
        <f t="shared" si="18"/>
        <v>22139.743779567048</v>
      </c>
      <c r="M64" s="18"/>
      <c r="V64">
        <f t="shared" si="11"/>
        <v>34</v>
      </c>
      <c r="W64" s="18">
        <f t="shared" ca="1" si="12"/>
        <v>47260</v>
      </c>
      <c r="X64" s="1">
        <f t="shared" ca="1" si="19"/>
        <v>17543.859649122805</v>
      </c>
      <c r="Y64">
        <f t="shared" ca="1" si="13"/>
        <v>1020</v>
      </c>
      <c r="Z64" s="1">
        <f t="shared" ca="1" si="14"/>
        <v>262.54385964912279</v>
      </c>
    </row>
    <row r="65" spans="1:26" customFormat="1" x14ac:dyDescent="0.25">
      <c r="A65" s="68">
        <f t="shared" si="0"/>
        <v>42</v>
      </c>
      <c r="B65" s="68" t="str">
        <f t="shared" si="1"/>
        <v>amortização</v>
      </c>
      <c r="C65" s="158">
        <f t="shared" si="15"/>
        <v>1444.7793990369196</v>
      </c>
      <c r="D65" s="158">
        <f t="shared" si="5"/>
        <v>2804.6438582184423</v>
      </c>
      <c r="E65" s="157">
        <f t="shared" si="16"/>
        <v>17666.666666666668</v>
      </c>
      <c r="F65" s="158">
        <f t="shared" si="17"/>
        <v>318000.00000000081</v>
      </c>
      <c r="G65" s="160">
        <f t="shared" si="18"/>
        <v>21916.089923922031</v>
      </c>
      <c r="M65" s="18"/>
      <c r="V65">
        <f t="shared" si="11"/>
        <v>35</v>
      </c>
      <c r="W65" s="18">
        <f t="shared" ca="1" si="12"/>
        <v>47290</v>
      </c>
      <c r="X65" s="1">
        <f t="shared" ca="1" si="19"/>
        <v>17543.859649122805</v>
      </c>
      <c r="Y65">
        <f t="shared" ca="1" si="13"/>
        <v>1050</v>
      </c>
      <c r="Z65" s="1">
        <f t="shared" ca="1" si="14"/>
        <v>262.54385964912279</v>
      </c>
    </row>
    <row r="66" spans="1:26" customFormat="1" x14ac:dyDescent="0.25">
      <c r="A66" s="68">
        <f t="shared" si="0"/>
        <v>43</v>
      </c>
      <c r="B66" s="68" t="str">
        <f t="shared" si="1"/>
        <v>amortização</v>
      </c>
      <c r="C66" s="158">
        <f t="shared" si="15"/>
        <v>1368.7383780349764</v>
      </c>
      <c r="D66" s="158">
        <f t="shared" si="5"/>
        <v>2657.0310235753668</v>
      </c>
      <c r="E66" s="157">
        <f t="shared" si="16"/>
        <v>17666.666666666668</v>
      </c>
      <c r="F66" s="158">
        <f t="shared" si="17"/>
        <v>300333.33333333413</v>
      </c>
      <c r="G66" s="160">
        <f t="shared" si="18"/>
        <v>21692.436068277013</v>
      </c>
      <c r="M66" s="18"/>
      <c r="V66">
        <f t="shared" si="11"/>
        <v>36</v>
      </c>
      <c r="W66" s="18">
        <f t="shared" ca="1" si="12"/>
        <v>47320</v>
      </c>
      <c r="X66" s="1">
        <f t="shared" ca="1" si="19"/>
        <v>17543.859649122805</v>
      </c>
      <c r="Y66">
        <f t="shared" ca="1" si="13"/>
        <v>1080</v>
      </c>
      <c r="Z66" s="1">
        <f t="shared" ca="1" si="14"/>
        <v>262.54385964912279</v>
      </c>
    </row>
    <row r="67" spans="1:26" customFormat="1" x14ac:dyDescent="0.25">
      <c r="A67" s="68">
        <f t="shared" si="0"/>
        <v>44</v>
      </c>
      <c r="B67" s="68" t="str">
        <f t="shared" si="1"/>
        <v>amortização</v>
      </c>
      <c r="C67" s="158">
        <f t="shared" si="15"/>
        <v>1292.6973570330335</v>
      </c>
      <c r="D67" s="158">
        <f t="shared" si="5"/>
        <v>2509.4181889322908</v>
      </c>
      <c r="E67" s="157">
        <f t="shared" si="16"/>
        <v>17666.666666666668</v>
      </c>
      <c r="F67" s="158">
        <f t="shared" si="17"/>
        <v>282666.66666666744</v>
      </c>
      <c r="G67" s="160">
        <f t="shared" si="18"/>
        <v>21468.782212631992</v>
      </c>
      <c r="M67" s="18"/>
      <c r="V67">
        <f t="shared" si="11"/>
        <v>37</v>
      </c>
      <c r="W67" s="18">
        <f t="shared" ca="1" si="12"/>
        <v>47350</v>
      </c>
      <c r="X67" s="1">
        <f t="shared" ca="1" si="19"/>
        <v>17543.859649122805</v>
      </c>
      <c r="Y67">
        <f t="shared" ca="1" si="13"/>
        <v>1110</v>
      </c>
      <c r="Z67" s="1">
        <f t="shared" ca="1" si="14"/>
        <v>262.54385964912279</v>
      </c>
    </row>
    <row r="68" spans="1:26" customFormat="1" x14ac:dyDescent="0.25">
      <c r="A68" s="68">
        <f t="shared" si="0"/>
        <v>45</v>
      </c>
      <c r="B68" s="68" t="str">
        <f t="shared" si="1"/>
        <v>amortização</v>
      </c>
      <c r="C68" s="158">
        <f t="shared" si="15"/>
        <v>1216.6563360310902</v>
      </c>
      <c r="D68" s="158">
        <f t="shared" si="5"/>
        <v>2361.8053542892153</v>
      </c>
      <c r="E68" s="157">
        <f t="shared" si="16"/>
        <v>17666.666666666668</v>
      </c>
      <c r="F68" s="158">
        <f t="shared" si="17"/>
        <v>265000.00000000076</v>
      </c>
      <c r="G68" s="160">
        <f t="shared" si="18"/>
        <v>21245.128356986974</v>
      </c>
      <c r="M68" s="18"/>
      <c r="V68">
        <f t="shared" si="11"/>
        <v>38</v>
      </c>
      <c r="W68" s="18">
        <f t="shared" ca="1" si="12"/>
        <v>47380</v>
      </c>
      <c r="X68" s="1">
        <f t="shared" ca="1" si="19"/>
        <v>17543.859649122805</v>
      </c>
      <c r="Y68">
        <f t="shared" ca="1" si="13"/>
        <v>1140</v>
      </c>
      <c r="Z68" s="1">
        <f t="shared" ca="1" si="14"/>
        <v>262.54385964912279</v>
      </c>
    </row>
    <row r="69" spans="1:26" customFormat="1" x14ac:dyDescent="0.25">
      <c r="A69" s="68">
        <f t="shared" si="0"/>
        <v>46</v>
      </c>
      <c r="B69" s="68" t="str">
        <f t="shared" si="1"/>
        <v>amortização</v>
      </c>
      <c r="C69" s="158">
        <f t="shared" si="15"/>
        <v>1140.6153150291473</v>
      </c>
      <c r="D69" s="158">
        <f t="shared" si="5"/>
        <v>2214.1925196461393</v>
      </c>
      <c r="E69" s="157">
        <f t="shared" si="16"/>
        <v>17666.666666666668</v>
      </c>
      <c r="F69" s="158">
        <f t="shared" si="17"/>
        <v>247333.3333333341</v>
      </c>
      <c r="G69" s="160">
        <f t="shared" si="18"/>
        <v>21021.474501341952</v>
      </c>
      <c r="M69" s="18"/>
      <c r="V69">
        <f t="shared" si="11"/>
        <v>39</v>
      </c>
      <c r="W69" s="18">
        <f t="shared" ca="1" si="12"/>
        <v>47410</v>
      </c>
      <c r="X69" s="1">
        <f t="shared" ca="1" si="19"/>
        <v>17543.859649122805</v>
      </c>
      <c r="Y69">
        <f t="shared" ca="1" si="13"/>
        <v>1170</v>
      </c>
      <c r="Z69" s="1">
        <f t="shared" ca="1" si="14"/>
        <v>262.54385964912279</v>
      </c>
    </row>
    <row r="70" spans="1:26" customFormat="1" x14ac:dyDescent="0.25">
      <c r="A70" s="68">
        <f t="shared" si="0"/>
        <v>47</v>
      </c>
      <c r="B70" s="68" t="str">
        <f t="shared" si="1"/>
        <v>amortização</v>
      </c>
      <c r="C70" s="158">
        <f t="shared" si="15"/>
        <v>1064.5742940272044</v>
      </c>
      <c r="D70" s="158">
        <f t="shared" si="5"/>
        <v>2066.5796850030642</v>
      </c>
      <c r="E70" s="157">
        <f t="shared" si="16"/>
        <v>17666.666666666668</v>
      </c>
      <c r="F70" s="158">
        <f t="shared" si="17"/>
        <v>229666.66666666744</v>
      </c>
      <c r="G70" s="160">
        <f t="shared" si="18"/>
        <v>20797.820645696935</v>
      </c>
      <c r="M70" s="18"/>
      <c r="V70">
        <f t="shared" si="11"/>
        <v>40</v>
      </c>
      <c r="W70" s="18">
        <f t="shared" ca="1" si="12"/>
        <v>47440</v>
      </c>
      <c r="X70" s="1">
        <f t="shared" ca="1" si="19"/>
        <v>17543.859649122805</v>
      </c>
      <c r="Y70">
        <f t="shared" ca="1" si="13"/>
        <v>1200</v>
      </c>
      <c r="Z70" s="1">
        <f t="shared" ca="1" si="14"/>
        <v>262.54385964912279</v>
      </c>
    </row>
    <row r="71" spans="1:26" customFormat="1" x14ac:dyDescent="0.25">
      <c r="A71" s="68">
        <f t="shared" si="0"/>
        <v>48</v>
      </c>
      <c r="B71" s="68" t="str">
        <f t="shared" si="1"/>
        <v>amortização</v>
      </c>
      <c r="C71" s="158">
        <f t="shared" si="15"/>
        <v>988.53327302526156</v>
      </c>
      <c r="D71" s="158">
        <f t="shared" si="5"/>
        <v>1918.9668503599885</v>
      </c>
      <c r="E71" s="157">
        <f t="shared" si="16"/>
        <v>17666.666666666668</v>
      </c>
      <c r="F71" s="158">
        <f t="shared" si="17"/>
        <v>212000.00000000079</v>
      </c>
      <c r="G71" s="160">
        <f t="shared" si="18"/>
        <v>20574.166790051917</v>
      </c>
      <c r="M71" s="18"/>
      <c r="V71">
        <f t="shared" si="11"/>
        <v>41</v>
      </c>
      <c r="W71" s="18">
        <f t="shared" ca="1" si="12"/>
        <v>47470</v>
      </c>
      <c r="X71" s="1">
        <f t="shared" ca="1" si="19"/>
        <v>17543.859649122805</v>
      </c>
      <c r="Y71">
        <f t="shared" ca="1" si="13"/>
        <v>1230</v>
      </c>
      <c r="Z71" s="1">
        <f t="shared" ca="1" si="14"/>
        <v>262.54385964912279</v>
      </c>
    </row>
    <row r="72" spans="1:26" customFormat="1" x14ac:dyDescent="0.25">
      <c r="A72" s="68">
        <f t="shared" si="0"/>
        <v>49</v>
      </c>
      <c r="B72" s="68" t="str">
        <f t="shared" si="1"/>
        <v>amortização</v>
      </c>
      <c r="C72" s="158">
        <f t="shared" si="15"/>
        <v>912.49225202331866</v>
      </c>
      <c r="D72" s="158">
        <f t="shared" si="5"/>
        <v>1771.3540157169132</v>
      </c>
      <c r="E72" s="157">
        <f t="shared" si="16"/>
        <v>17666.666666666668</v>
      </c>
      <c r="F72" s="158">
        <f t="shared" si="17"/>
        <v>194333.33333333413</v>
      </c>
      <c r="G72" s="160">
        <f t="shared" si="18"/>
        <v>20350.512934406899</v>
      </c>
      <c r="M72" s="18"/>
      <c r="V72">
        <f t="shared" si="11"/>
        <v>42</v>
      </c>
      <c r="W72" s="18">
        <f t="shared" ca="1" si="12"/>
        <v>47500</v>
      </c>
      <c r="X72" s="1">
        <f t="shared" ca="1" si="19"/>
        <v>17543.859649122805</v>
      </c>
      <c r="Y72">
        <f t="shared" ca="1" si="13"/>
        <v>1260</v>
      </c>
      <c r="Z72" s="1">
        <f t="shared" ca="1" si="14"/>
        <v>262.54385964912279</v>
      </c>
    </row>
    <row r="73" spans="1:26" customFormat="1" x14ac:dyDescent="0.25">
      <c r="A73" s="68">
        <f t="shared" si="0"/>
        <v>50</v>
      </c>
      <c r="B73" s="68" t="str">
        <f t="shared" si="1"/>
        <v>amortização</v>
      </c>
      <c r="C73" s="158">
        <f t="shared" si="15"/>
        <v>836.45123102137575</v>
      </c>
      <c r="D73" s="158">
        <f t="shared" si="5"/>
        <v>1623.7411810738377</v>
      </c>
      <c r="E73" s="157">
        <f t="shared" si="16"/>
        <v>17666.666666666668</v>
      </c>
      <c r="F73" s="158">
        <f t="shared" si="17"/>
        <v>176666.66666666747</v>
      </c>
      <c r="G73" s="160">
        <f t="shared" si="18"/>
        <v>20126.859078761881</v>
      </c>
      <c r="M73" s="18"/>
      <c r="V73">
        <f t="shared" si="11"/>
        <v>43</v>
      </c>
      <c r="W73" s="18">
        <f t="shared" ca="1" si="12"/>
        <v>47530</v>
      </c>
      <c r="X73" s="1">
        <f t="shared" ca="1" si="19"/>
        <v>17543.859649122805</v>
      </c>
      <c r="Y73">
        <f t="shared" ca="1" si="13"/>
        <v>1290</v>
      </c>
      <c r="Z73" s="1">
        <f t="shared" ca="1" si="14"/>
        <v>262.54385964912279</v>
      </c>
    </row>
    <row r="74" spans="1:26" customFormat="1" x14ac:dyDescent="0.25">
      <c r="A74" s="68">
        <f t="shared" ref="A74:A83" si="20">IF(A73&lt;B$17,A73+1,"")</f>
        <v>51</v>
      </c>
      <c r="B74" s="68" t="str">
        <f t="shared" ref="B74:B83" si="21">IF(A74="","",IF(A74&lt;=B$16,"carência","amortização"))</f>
        <v>amortização</v>
      </c>
      <c r="C74" s="158">
        <f t="shared" si="15"/>
        <v>760.41021001943284</v>
      </c>
      <c r="D74" s="158">
        <f t="shared" si="5"/>
        <v>1476.1283464307621</v>
      </c>
      <c r="E74" s="157">
        <f t="shared" si="16"/>
        <v>17666.666666666668</v>
      </c>
      <c r="F74" s="158">
        <f t="shared" si="17"/>
        <v>159000.00000000081</v>
      </c>
      <c r="G74" s="160">
        <f t="shared" si="18"/>
        <v>19903.205223116864</v>
      </c>
      <c r="M74" s="18"/>
      <c r="V74">
        <f t="shared" si="11"/>
        <v>44</v>
      </c>
      <c r="W74" s="18">
        <f t="shared" ca="1" si="12"/>
        <v>47560</v>
      </c>
      <c r="X74" s="1">
        <f t="shared" ca="1" si="19"/>
        <v>17543.859649122805</v>
      </c>
      <c r="Y74">
        <f t="shared" ca="1" si="13"/>
        <v>1320</v>
      </c>
      <c r="Z74" s="1">
        <f t="shared" ca="1" si="14"/>
        <v>262.54385964912279</v>
      </c>
    </row>
    <row r="75" spans="1:26" customFormat="1" x14ac:dyDescent="0.25">
      <c r="A75" s="68">
        <f t="shared" si="20"/>
        <v>52</v>
      </c>
      <c r="B75" s="68" t="str">
        <f t="shared" si="21"/>
        <v>amortização</v>
      </c>
      <c r="C75" s="158">
        <f t="shared" si="15"/>
        <v>684.36918901749004</v>
      </c>
      <c r="D75" s="158">
        <f t="shared" si="5"/>
        <v>1328.5155117876868</v>
      </c>
      <c r="E75" s="157">
        <f t="shared" si="16"/>
        <v>17666.666666666668</v>
      </c>
      <c r="F75" s="158">
        <f t="shared" si="17"/>
        <v>141333.33333333416</v>
      </c>
      <c r="G75" s="160">
        <f t="shared" si="18"/>
        <v>19679.551367471846</v>
      </c>
      <c r="M75" s="18"/>
      <c r="V75">
        <f t="shared" si="11"/>
        <v>45</v>
      </c>
      <c r="W75" s="18">
        <f t="shared" ca="1" si="12"/>
        <v>47590</v>
      </c>
      <c r="X75" s="1">
        <f t="shared" ca="1" si="19"/>
        <v>17543.859649122805</v>
      </c>
      <c r="Y75">
        <f t="shared" ca="1" si="13"/>
        <v>1350</v>
      </c>
      <c r="Z75" s="1">
        <f t="shared" ca="1" si="14"/>
        <v>262.54385964912279</v>
      </c>
    </row>
    <row r="76" spans="1:26" customFormat="1" x14ac:dyDescent="0.25">
      <c r="A76" s="68">
        <f t="shared" si="20"/>
        <v>53</v>
      </c>
      <c r="B76" s="68" t="str">
        <f t="shared" si="21"/>
        <v>amortização</v>
      </c>
      <c r="C76" s="158">
        <f t="shared" si="15"/>
        <v>608.32816801554713</v>
      </c>
      <c r="D76" s="158">
        <f t="shared" si="5"/>
        <v>1180.9026771446113</v>
      </c>
      <c r="E76" s="157">
        <f t="shared" si="16"/>
        <v>17666.666666666668</v>
      </c>
      <c r="F76" s="158">
        <f t="shared" si="17"/>
        <v>123666.66666666749</v>
      </c>
      <c r="G76" s="160">
        <f t="shared" si="18"/>
        <v>19455.897511826828</v>
      </c>
      <c r="M76" s="18"/>
      <c r="V76">
        <f t="shared" si="11"/>
        <v>46</v>
      </c>
      <c r="W76" s="18">
        <f t="shared" ca="1" si="12"/>
        <v>47620</v>
      </c>
      <c r="X76" s="1">
        <f t="shared" ca="1" si="19"/>
        <v>17543.859649122805</v>
      </c>
      <c r="Y76">
        <f t="shared" ca="1" si="13"/>
        <v>1380</v>
      </c>
      <c r="Z76" s="1">
        <f t="shared" ca="1" si="14"/>
        <v>262.54385964912279</v>
      </c>
    </row>
    <row r="77" spans="1:26" customFormat="1" x14ac:dyDescent="0.25">
      <c r="A77" s="68">
        <f t="shared" si="20"/>
        <v>54</v>
      </c>
      <c r="B77" s="68" t="str">
        <f t="shared" si="21"/>
        <v>amortização</v>
      </c>
      <c r="C77" s="158">
        <f t="shared" si="15"/>
        <v>532.28714701360411</v>
      </c>
      <c r="D77" s="158">
        <f t="shared" si="5"/>
        <v>1033.2898425015358</v>
      </c>
      <c r="E77" s="157">
        <f t="shared" si="16"/>
        <v>17666.666666666668</v>
      </c>
      <c r="F77" s="158">
        <f t="shared" si="17"/>
        <v>106000.00000000081</v>
      </c>
      <c r="G77" s="160">
        <f t="shared" si="18"/>
        <v>19232.243656181807</v>
      </c>
      <c r="M77" s="18"/>
      <c r="V77">
        <f t="shared" si="11"/>
        <v>47</v>
      </c>
      <c r="W77" s="18">
        <f t="shared" ca="1" si="12"/>
        <v>47650</v>
      </c>
      <c r="X77" s="1">
        <f t="shared" ca="1" si="19"/>
        <v>17543.859649122805</v>
      </c>
      <c r="Y77">
        <f t="shared" ca="1" si="13"/>
        <v>1410</v>
      </c>
      <c r="Z77" s="1">
        <f t="shared" ca="1" si="14"/>
        <v>262.54385964912279</v>
      </c>
    </row>
    <row r="78" spans="1:26" customFormat="1" x14ac:dyDescent="0.25">
      <c r="A78" s="68">
        <f t="shared" si="20"/>
        <v>55</v>
      </c>
      <c r="B78" s="68" t="str">
        <f t="shared" si="21"/>
        <v>amortização</v>
      </c>
      <c r="C78" s="158">
        <f t="shared" si="15"/>
        <v>456.2461260116612</v>
      </c>
      <c r="D78" s="158">
        <f t="shared" si="5"/>
        <v>885.67700785846012</v>
      </c>
      <c r="E78" s="157">
        <f t="shared" si="16"/>
        <v>17666.666666666668</v>
      </c>
      <c r="F78" s="158">
        <f t="shared" si="17"/>
        <v>88333.333333334143</v>
      </c>
      <c r="G78" s="160">
        <f t="shared" si="18"/>
        <v>19008.589800536789</v>
      </c>
      <c r="M78" s="18"/>
      <c r="V78">
        <f t="shared" si="11"/>
        <v>48</v>
      </c>
      <c r="W78" s="18">
        <f t="shared" ca="1" si="12"/>
        <v>47680</v>
      </c>
      <c r="X78" s="1">
        <f t="shared" ca="1" si="19"/>
        <v>17543.859649122805</v>
      </c>
      <c r="Y78">
        <f t="shared" ca="1" si="13"/>
        <v>1440</v>
      </c>
      <c r="Z78" s="1">
        <f t="shared" ca="1" si="14"/>
        <v>262.54385964912279</v>
      </c>
    </row>
    <row r="79" spans="1:26" customFormat="1" x14ac:dyDescent="0.25">
      <c r="A79" s="68">
        <f t="shared" si="20"/>
        <v>56</v>
      </c>
      <c r="B79" s="68" t="str">
        <f t="shared" si="21"/>
        <v>amortização</v>
      </c>
      <c r="C79" s="158">
        <f t="shared" si="15"/>
        <v>380.20510500971824</v>
      </c>
      <c r="D79" s="158">
        <f t="shared" si="5"/>
        <v>738.06417321538447</v>
      </c>
      <c r="E79" s="157">
        <f t="shared" si="16"/>
        <v>17666.666666666668</v>
      </c>
      <c r="F79" s="158">
        <f t="shared" si="17"/>
        <v>70666.666666667472</v>
      </c>
      <c r="G79" s="160">
        <f t="shared" si="18"/>
        <v>18784.935944891771</v>
      </c>
      <c r="M79" s="18"/>
      <c r="V79">
        <f t="shared" si="11"/>
        <v>49</v>
      </c>
      <c r="W79" s="18">
        <f t="shared" ca="1" si="12"/>
        <v>47710</v>
      </c>
      <c r="X79" s="1">
        <f t="shared" ca="1" si="19"/>
        <v>17543.859649122805</v>
      </c>
      <c r="Y79">
        <f t="shared" ca="1" si="13"/>
        <v>1470</v>
      </c>
      <c r="Z79" s="1">
        <f t="shared" ca="1" si="14"/>
        <v>262.54385964912279</v>
      </c>
    </row>
    <row r="80" spans="1:26" customFormat="1" x14ac:dyDescent="0.25">
      <c r="A80" s="68">
        <f t="shared" si="20"/>
        <v>57</v>
      </c>
      <c r="B80" s="68" t="str">
        <f t="shared" si="21"/>
        <v>amortização</v>
      </c>
      <c r="C80" s="158">
        <f t="shared" si="15"/>
        <v>304.16408400777522</v>
      </c>
      <c r="D80" s="158">
        <f t="shared" si="5"/>
        <v>590.45133857230894</v>
      </c>
      <c r="E80" s="157">
        <f t="shared" si="16"/>
        <v>17666.666666666668</v>
      </c>
      <c r="F80" s="158">
        <f t="shared" si="17"/>
        <v>53000.0000000008</v>
      </c>
      <c r="G80" s="160">
        <f t="shared" si="18"/>
        <v>18561.282089246753</v>
      </c>
      <c r="M80" s="18"/>
      <c r="V80">
        <f t="shared" si="11"/>
        <v>50</v>
      </c>
      <c r="W80" s="18">
        <f t="shared" ca="1" si="12"/>
        <v>47740</v>
      </c>
      <c r="X80" s="1">
        <f t="shared" ca="1" si="19"/>
        <v>17543.859649122805</v>
      </c>
      <c r="Y80">
        <f t="shared" ca="1" si="13"/>
        <v>1500</v>
      </c>
      <c r="Z80" s="1">
        <f t="shared" ca="1" si="14"/>
        <v>262.54385964912279</v>
      </c>
    </row>
    <row r="81" spans="1:26" customFormat="1" x14ac:dyDescent="0.25">
      <c r="A81" s="68">
        <f t="shared" si="20"/>
        <v>58</v>
      </c>
      <c r="B81" s="68" t="str">
        <f t="shared" si="21"/>
        <v>amortização</v>
      </c>
      <c r="C81" s="158">
        <f t="shared" si="15"/>
        <v>228.12306300583228</v>
      </c>
      <c r="D81" s="158">
        <f t="shared" si="5"/>
        <v>442.8385039292333</v>
      </c>
      <c r="E81" s="157">
        <f t="shared" si="16"/>
        <v>17666.666666666668</v>
      </c>
      <c r="F81" s="158">
        <f t="shared" si="17"/>
        <v>35333.333333334129</v>
      </c>
      <c r="G81" s="160">
        <f t="shared" si="18"/>
        <v>18337.628233601732</v>
      </c>
      <c r="M81" s="18"/>
      <c r="V81">
        <f t="shared" si="11"/>
        <v>51</v>
      </c>
      <c r="W81" s="18">
        <f t="shared" ca="1" si="12"/>
        <v>47770</v>
      </c>
      <c r="X81" s="1">
        <f t="shared" ca="1" si="19"/>
        <v>17543.859649122805</v>
      </c>
      <c r="Y81">
        <f t="shared" ca="1" si="13"/>
        <v>1530</v>
      </c>
      <c r="Z81" s="1">
        <f t="shared" ca="1" si="14"/>
        <v>262.54385964912279</v>
      </c>
    </row>
    <row r="82" spans="1:26" customFormat="1" x14ac:dyDescent="0.25">
      <c r="A82" s="68">
        <f t="shared" si="20"/>
        <v>59</v>
      </c>
      <c r="B82" s="68" t="str">
        <f t="shared" si="21"/>
        <v>amortização</v>
      </c>
      <c r="C82" s="158">
        <f t="shared" si="15"/>
        <v>152.08204200388928</v>
      </c>
      <c r="D82" s="158">
        <f t="shared" si="5"/>
        <v>295.22566928615771</v>
      </c>
      <c r="E82" s="157">
        <f t="shared" si="16"/>
        <v>17666.666666666668</v>
      </c>
      <c r="F82" s="158">
        <f t="shared" si="17"/>
        <v>17666.666666667461</v>
      </c>
      <c r="G82" s="160">
        <f t="shared" si="18"/>
        <v>18113.974377956714</v>
      </c>
      <c r="M82" s="18"/>
      <c r="V82">
        <f t="shared" si="11"/>
        <v>52</v>
      </c>
      <c r="W82" s="18">
        <f t="shared" ca="1" si="12"/>
        <v>47800</v>
      </c>
      <c r="X82" s="1">
        <f t="shared" ca="1" si="19"/>
        <v>17543.859649122805</v>
      </c>
      <c r="Y82">
        <f t="shared" ca="1" si="13"/>
        <v>1560</v>
      </c>
      <c r="Z82" s="1">
        <f t="shared" ca="1" si="14"/>
        <v>262.54385964912279</v>
      </c>
    </row>
    <row r="83" spans="1:26" customFormat="1" x14ac:dyDescent="0.25">
      <c r="A83" s="68">
        <f t="shared" si="20"/>
        <v>60</v>
      </c>
      <c r="B83" s="68" t="str">
        <f t="shared" si="21"/>
        <v>amortização</v>
      </c>
      <c r="C83" s="158">
        <f t="shared" si="15"/>
        <v>76.041021001946362</v>
      </c>
      <c r="D83" s="158">
        <f t="shared" si="5"/>
        <v>147.61283464308218</v>
      </c>
      <c r="E83" s="157">
        <f t="shared" si="16"/>
        <v>17666.666666666668</v>
      </c>
      <c r="F83" s="158">
        <f t="shared" si="17"/>
        <v>7.9307937994599342E-10</v>
      </c>
      <c r="G83" s="160">
        <f t="shared" si="18"/>
        <v>17890.320522311697</v>
      </c>
      <c r="M83" s="18"/>
      <c r="V83">
        <f t="shared" si="11"/>
        <v>53</v>
      </c>
      <c r="W83" s="18">
        <f t="shared" ca="1" si="12"/>
        <v>47830</v>
      </c>
      <c r="X83" s="1">
        <f t="shared" ca="1" si="19"/>
        <v>17543.859649122805</v>
      </c>
      <c r="Y83">
        <f t="shared" ca="1" si="13"/>
        <v>1590</v>
      </c>
      <c r="Z83" s="1">
        <f t="shared" ca="1" si="14"/>
        <v>262.54385964912279</v>
      </c>
    </row>
    <row r="84" spans="1:26" customFormat="1" x14ac:dyDescent="0.25">
      <c r="A84" s="68" t="str">
        <f t="shared" ref="A84:A147" si="22">IF(A83&lt;B$17,A83+1,"")</f>
        <v/>
      </c>
      <c r="B84" s="68" t="str">
        <f t="shared" ref="B84:B147" si="23">IF(A84="","",IF(A84&lt;=B$16,"carência","amortização"))</f>
        <v/>
      </c>
      <c r="C84" s="158" t="str">
        <f>IF(A84="","",IF(A84&gt;B$17,0,($C$23+1)^(22/252)-1)*(F83+D84))</f>
        <v/>
      </c>
      <c r="D84" s="158" t="str">
        <f t="shared" si="5"/>
        <v/>
      </c>
      <c r="E84" s="157" t="str">
        <f t="shared" si="7"/>
        <v/>
      </c>
      <c r="F84" s="158" t="str">
        <f t="shared" si="8"/>
        <v/>
      </c>
      <c r="G84" s="160" t="str">
        <f t="shared" si="9"/>
        <v/>
      </c>
      <c r="M84" s="18"/>
      <c r="V84">
        <f t="shared" si="11"/>
        <v>54</v>
      </c>
      <c r="W84" s="18">
        <f t="shared" ca="1" si="12"/>
        <v>47860</v>
      </c>
      <c r="X84" s="1">
        <f t="shared" ca="1" si="19"/>
        <v>17543.859649122805</v>
      </c>
      <c r="Y84">
        <f t="shared" ca="1" si="13"/>
        <v>1620</v>
      </c>
      <c r="Z84" s="1">
        <f t="shared" ca="1" si="14"/>
        <v>262.54385964912279</v>
      </c>
    </row>
    <row r="85" spans="1:26" customFormat="1" x14ac:dyDescent="0.25">
      <c r="A85" s="68" t="str">
        <f t="shared" si="22"/>
        <v/>
      </c>
      <c r="B85" s="68" t="str">
        <f t="shared" si="23"/>
        <v/>
      </c>
      <c r="C85" s="158" t="str">
        <f>IF(A85="","",IF(A85&gt;B$17,0,($C$23+1)^(22/252)-1)*(F84+D85))</f>
        <v/>
      </c>
      <c r="D85" s="158" t="str">
        <f t="shared" si="5"/>
        <v/>
      </c>
      <c r="E85" s="157" t="str">
        <f t="shared" si="7"/>
        <v/>
      </c>
      <c r="F85" s="158" t="str">
        <f t="shared" si="8"/>
        <v/>
      </c>
      <c r="G85" s="160" t="str">
        <f t="shared" si="9"/>
        <v/>
      </c>
      <c r="M85" s="18"/>
      <c r="V85">
        <f t="shared" si="11"/>
        <v>55</v>
      </c>
      <c r="W85" s="18">
        <f t="shared" ca="1" si="12"/>
        <v>47890</v>
      </c>
      <c r="X85" s="1">
        <f t="shared" ca="1" si="19"/>
        <v>17543.859649122805</v>
      </c>
      <c r="Y85">
        <f t="shared" ca="1" si="13"/>
        <v>1650</v>
      </c>
      <c r="Z85" s="1">
        <f t="shared" ca="1" si="14"/>
        <v>262.54385964912279</v>
      </c>
    </row>
    <row r="86" spans="1:26" customFormat="1" x14ac:dyDescent="0.25">
      <c r="A86" s="68" t="str">
        <f t="shared" si="22"/>
        <v/>
      </c>
      <c r="B86" s="68" t="str">
        <f t="shared" si="23"/>
        <v/>
      </c>
      <c r="C86" s="158" t="str">
        <f t="shared" ref="C86:C149" si="24">IF(A86="","",IF(A86&gt;B$17,0,($C$23+1)^(22/252)-1)*(F85+D86))</f>
        <v/>
      </c>
      <c r="D86" s="158" t="str">
        <f t="shared" si="5"/>
        <v/>
      </c>
      <c r="E86" s="157" t="str">
        <f t="shared" si="7"/>
        <v/>
      </c>
      <c r="F86" s="158" t="str">
        <f t="shared" si="8"/>
        <v/>
      </c>
      <c r="G86" s="160" t="str">
        <f t="shared" si="9"/>
        <v/>
      </c>
      <c r="M86" s="18"/>
      <c r="V86">
        <f t="shared" si="11"/>
        <v>56</v>
      </c>
      <c r="W86" s="18">
        <f t="shared" ca="1" si="12"/>
        <v>47920</v>
      </c>
      <c r="X86" s="1">
        <f t="shared" ca="1" si="19"/>
        <v>17543.859649122805</v>
      </c>
      <c r="Y86">
        <f t="shared" ca="1" si="13"/>
        <v>1680</v>
      </c>
      <c r="Z86" s="1">
        <f t="shared" ca="1" si="14"/>
        <v>262.54385964912279</v>
      </c>
    </row>
    <row r="87" spans="1:26" customFormat="1" x14ac:dyDescent="0.25">
      <c r="A87" s="68" t="str">
        <f t="shared" si="22"/>
        <v/>
      </c>
      <c r="B87" s="68" t="str">
        <f t="shared" si="23"/>
        <v/>
      </c>
      <c r="C87" s="158" t="str">
        <f t="shared" si="24"/>
        <v/>
      </c>
      <c r="D87" s="158" t="str">
        <f t="shared" si="5"/>
        <v/>
      </c>
      <c r="E87" s="157" t="str">
        <f t="shared" si="7"/>
        <v/>
      </c>
      <c r="F87" s="158" t="str">
        <f t="shared" si="8"/>
        <v/>
      </c>
      <c r="G87" s="160" t="str">
        <f t="shared" si="9"/>
        <v/>
      </c>
      <c r="M87" s="18"/>
      <c r="V87">
        <f t="shared" si="11"/>
        <v>57</v>
      </c>
      <c r="W87" s="18">
        <f t="shared" ca="1" si="12"/>
        <v>47950</v>
      </c>
      <c r="X87" s="1">
        <f t="shared" ca="1" si="19"/>
        <v>17543.859649122805</v>
      </c>
      <c r="Y87">
        <f t="shared" ca="1" si="13"/>
        <v>1710</v>
      </c>
      <c r="Z87" s="1">
        <f t="shared" ca="1" si="14"/>
        <v>262.54385964912279</v>
      </c>
    </row>
    <row r="88" spans="1:26" customFormat="1" x14ac:dyDescent="0.25">
      <c r="A88" s="68" t="str">
        <f t="shared" si="22"/>
        <v/>
      </c>
      <c r="B88" s="68" t="str">
        <f t="shared" si="23"/>
        <v/>
      </c>
      <c r="C88" s="158" t="str">
        <f t="shared" si="24"/>
        <v/>
      </c>
      <c r="D88" s="158" t="str">
        <f t="shared" ref="D88:D151" si="25">IF(A88="","",IF(A88&gt;B$17,0,($D$23+1)^(22/252)-1)*(F87))</f>
        <v/>
      </c>
      <c r="E88" s="157" t="str">
        <f t="shared" si="7"/>
        <v/>
      </c>
      <c r="F88" s="158" t="str">
        <f t="shared" si="8"/>
        <v/>
      </c>
      <c r="G88" s="160" t="str">
        <f t="shared" si="9"/>
        <v/>
      </c>
      <c r="M88" s="18"/>
      <c r="V88">
        <f t="shared" si="11"/>
        <v>58</v>
      </c>
      <c r="W88" s="18">
        <f t="shared" ca="1" si="12"/>
        <v>47980</v>
      </c>
      <c r="X88" s="1">
        <f t="shared" ca="1" si="19"/>
        <v>17543.859649122805</v>
      </c>
      <c r="Y88">
        <f t="shared" ca="1" si="13"/>
        <v>1740</v>
      </c>
      <c r="Z88" s="1">
        <f t="shared" ca="1" si="14"/>
        <v>262.54385964912279</v>
      </c>
    </row>
    <row r="89" spans="1:26" customFormat="1" x14ac:dyDescent="0.25">
      <c r="A89" s="68" t="str">
        <f t="shared" si="22"/>
        <v/>
      </c>
      <c r="B89" s="68" t="str">
        <f t="shared" si="23"/>
        <v/>
      </c>
      <c r="C89" s="158" t="str">
        <f t="shared" si="24"/>
        <v/>
      </c>
      <c r="D89" s="158" t="str">
        <f t="shared" si="25"/>
        <v/>
      </c>
      <c r="E89" s="157" t="str">
        <f t="shared" si="7"/>
        <v/>
      </c>
      <c r="F89" s="158" t="str">
        <f t="shared" si="8"/>
        <v/>
      </c>
      <c r="G89" s="160" t="str">
        <f t="shared" si="9"/>
        <v/>
      </c>
      <c r="M89" s="18"/>
      <c r="V89">
        <f t="shared" si="11"/>
        <v>59</v>
      </c>
      <c r="W89" s="18">
        <f t="shared" ca="1" si="12"/>
        <v>48010</v>
      </c>
      <c r="X89" s="1">
        <f t="shared" ca="1" si="19"/>
        <v>17543.859649122805</v>
      </c>
      <c r="Y89">
        <f t="shared" ca="1" si="13"/>
        <v>1770</v>
      </c>
      <c r="Z89" s="1">
        <f t="shared" ca="1" si="14"/>
        <v>262.54385964912279</v>
      </c>
    </row>
    <row r="90" spans="1:26" customFormat="1" x14ac:dyDescent="0.25">
      <c r="A90" s="68" t="str">
        <f t="shared" si="22"/>
        <v/>
      </c>
      <c r="B90" s="68" t="str">
        <f t="shared" si="23"/>
        <v/>
      </c>
      <c r="C90" s="158" t="str">
        <f t="shared" si="24"/>
        <v/>
      </c>
      <c r="D90" s="158" t="str">
        <f t="shared" si="25"/>
        <v/>
      </c>
      <c r="E90" s="157" t="str">
        <f t="shared" si="7"/>
        <v/>
      </c>
      <c r="F90" s="158" t="str">
        <f t="shared" si="8"/>
        <v/>
      </c>
      <c r="G90" s="160" t="str">
        <f t="shared" si="9"/>
        <v/>
      </c>
      <c r="M90" s="18"/>
      <c r="V90">
        <f t="shared" si="11"/>
        <v>60</v>
      </c>
      <c r="W90" s="18">
        <f t="shared" ca="1" si="12"/>
        <v>48040</v>
      </c>
      <c r="X90" s="1">
        <f t="shared" ca="1" si="19"/>
        <v>17543.859649122805</v>
      </c>
      <c r="Y90">
        <f t="shared" ca="1" si="13"/>
        <v>1800</v>
      </c>
      <c r="Z90" s="1">
        <f t="shared" ca="1" si="14"/>
        <v>262.54385964912279</v>
      </c>
    </row>
    <row r="91" spans="1:26" customFormat="1" x14ac:dyDescent="0.25">
      <c r="A91" s="68" t="str">
        <f t="shared" si="22"/>
        <v/>
      </c>
      <c r="B91" s="68" t="str">
        <f t="shared" si="23"/>
        <v/>
      </c>
      <c r="C91" s="158" t="str">
        <f t="shared" si="24"/>
        <v/>
      </c>
      <c r="D91" s="158" t="str">
        <f t="shared" si="25"/>
        <v/>
      </c>
      <c r="E91" s="157" t="str">
        <f t="shared" ref="E91:E154" si="26">IF(A91="","",IF(A91&lt;=B$16,0,F$23/(B$17-B$16)))</f>
        <v/>
      </c>
      <c r="F91" s="158" t="str">
        <f t="shared" ref="F91:F154" si="27">IF(A91="","",F90-E91)</f>
        <v/>
      </c>
      <c r="G91" s="160" t="str">
        <f t="shared" ref="G91:G154" si="28">IF(A91="","",C91+D91+E91)</f>
        <v/>
      </c>
      <c r="M91" s="18"/>
      <c r="V91" t="str">
        <f t="shared" si="11"/>
        <v/>
      </c>
      <c r="W91" s="18" t="str">
        <f t="shared" si="12"/>
        <v/>
      </c>
      <c r="X91" s="1" t="str">
        <f t="shared" si="19"/>
        <v/>
      </c>
      <c r="Y91" t="str">
        <f t="shared" si="13"/>
        <v/>
      </c>
      <c r="Z91" s="1" t="str">
        <f t="shared" si="14"/>
        <v/>
      </c>
    </row>
    <row r="92" spans="1:26" customFormat="1" x14ac:dyDescent="0.25">
      <c r="A92" s="68" t="str">
        <f t="shared" si="22"/>
        <v/>
      </c>
      <c r="B92" s="68" t="str">
        <f t="shared" si="23"/>
        <v/>
      </c>
      <c r="C92" s="158" t="str">
        <f t="shared" si="24"/>
        <v/>
      </c>
      <c r="D92" s="158" t="str">
        <f t="shared" si="25"/>
        <v/>
      </c>
      <c r="E92" s="157" t="str">
        <f t="shared" si="26"/>
        <v/>
      </c>
      <c r="F92" s="158" t="str">
        <f t="shared" si="27"/>
        <v/>
      </c>
      <c r="G92" s="160" t="str">
        <f t="shared" si="28"/>
        <v/>
      </c>
      <c r="M92" s="18"/>
      <c r="V92" t="str">
        <f t="shared" si="11"/>
        <v/>
      </c>
      <c r="W92" s="18" t="str">
        <f t="shared" si="12"/>
        <v/>
      </c>
      <c r="X92" s="1" t="str">
        <f t="shared" si="19"/>
        <v/>
      </c>
      <c r="Y92" t="str">
        <f t="shared" si="13"/>
        <v/>
      </c>
      <c r="Z92" s="1" t="str">
        <f t="shared" si="14"/>
        <v/>
      </c>
    </row>
    <row r="93" spans="1:26" customFormat="1" x14ac:dyDescent="0.25">
      <c r="A93" s="68" t="str">
        <f t="shared" si="22"/>
        <v/>
      </c>
      <c r="B93" s="68" t="str">
        <f t="shared" si="23"/>
        <v/>
      </c>
      <c r="C93" s="158" t="str">
        <f t="shared" si="24"/>
        <v/>
      </c>
      <c r="D93" s="158" t="str">
        <f t="shared" si="25"/>
        <v/>
      </c>
      <c r="E93" s="157" t="str">
        <f t="shared" si="26"/>
        <v/>
      </c>
      <c r="F93" s="158" t="str">
        <f t="shared" si="27"/>
        <v/>
      </c>
      <c r="G93" s="160" t="str">
        <f t="shared" si="28"/>
        <v/>
      </c>
      <c r="M93" s="18"/>
      <c r="V93" t="str">
        <f t="shared" si="11"/>
        <v/>
      </c>
      <c r="W93" s="18" t="str">
        <f t="shared" si="12"/>
        <v/>
      </c>
      <c r="X93" s="1" t="str">
        <f t="shared" si="19"/>
        <v/>
      </c>
      <c r="Y93" t="str">
        <f t="shared" si="13"/>
        <v/>
      </c>
      <c r="Z93" s="1" t="str">
        <f t="shared" si="14"/>
        <v/>
      </c>
    </row>
    <row r="94" spans="1:26" customFormat="1" x14ac:dyDescent="0.25">
      <c r="A94" s="68" t="str">
        <f t="shared" si="22"/>
        <v/>
      </c>
      <c r="B94" s="68" t="str">
        <f t="shared" si="23"/>
        <v/>
      </c>
      <c r="C94" s="158" t="str">
        <f t="shared" si="24"/>
        <v/>
      </c>
      <c r="D94" s="158" t="str">
        <f t="shared" si="25"/>
        <v/>
      </c>
      <c r="E94" s="157" t="str">
        <f t="shared" si="26"/>
        <v/>
      </c>
      <c r="F94" s="158" t="str">
        <f t="shared" si="27"/>
        <v/>
      </c>
      <c r="G94" s="160" t="str">
        <f t="shared" si="28"/>
        <v/>
      </c>
      <c r="M94" s="18"/>
      <c r="V94" t="str">
        <f t="shared" si="11"/>
        <v/>
      </c>
      <c r="W94" s="18" t="str">
        <f t="shared" si="12"/>
        <v/>
      </c>
      <c r="X94" s="1" t="str">
        <f t="shared" ref="X94:X125" si="29">IF(W94="","",IF(V94&lt;=B$16,0,X$27/(B$17-B$16)))</f>
        <v/>
      </c>
      <c r="Y94" t="str">
        <f t="shared" si="13"/>
        <v/>
      </c>
      <c r="Z94" s="1" t="str">
        <f t="shared" si="14"/>
        <v/>
      </c>
    </row>
    <row r="95" spans="1:26" customFormat="1" x14ac:dyDescent="0.25">
      <c r="A95" s="68" t="str">
        <f t="shared" si="22"/>
        <v/>
      </c>
      <c r="B95" s="68" t="str">
        <f t="shared" si="23"/>
        <v/>
      </c>
      <c r="C95" s="158" t="str">
        <f t="shared" si="24"/>
        <v/>
      </c>
      <c r="D95" s="158" t="str">
        <f t="shared" si="25"/>
        <v/>
      </c>
      <c r="E95" s="157" t="str">
        <f t="shared" si="26"/>
        <v/>
      </c>
      <c r="F95" s="158" t="str">
        <f t="shared" si="27"/>
        <v/>
      </c>
      <c r="G95" s="160" t="str">
        <f t="shared" si="28"/>
        <v/>
      </c>
      <c r="M95" s="18"/>
      <c r="V95" t="str">
        <f t="shared" si="11"/>
        <v/>
      </c>
      <c r="W95" s="18" t="str">
        <f t="shared" si="12"/>
        <v/>
      </c>
      <c r="X95" s="1" t="str">
        <f t="shared" si="29"/>
        <v/>
      </c>
      <c r="Y95" t="str">
        <f t="shared" si="13"/>
        <v/>
      </c>
      <c r="Z95" s="1" t="str">
        <f t="shared" si="14"/>
        <v/>
      </c>
    </row>
    <row r="96" spans="1:26" customFormat="1" x14ac:dyDescent="0.25">
      <c r="A96" s="68" t="str">
        <f t="shared" si="22"/>
        <v/>
      </c>
      <c r="B96" s="68" t="str">
        <f t="shared" si="23"/>
        <v/>
      </c>
      <c r="C96" s="158" t="str">
        <f t="shared" si="24"/>
        <v/>
      </c>
      <c r="D96" s="158" t="str">
        <f t="shared" si="25"/>
        <v/>
      </c>
      <c r="E96" s="157" t="str">
        <f t="shared" si="26"/>
        <v/>
      </c>
      <c r="F96" s="158" t="str">
        <f t="shared" si="27"/>
        <v/>
      </c>
      <c r="G96" s="160" t="str">
        <f t="shared" si="28"/>
        <v/>
      </c>
      <c r="M96" s="18"/>
      <c r="V96" t="str">
        <f t="shared" ref="V96:V159" si="30">IF(V95&lt;B$17,V95+1,"")</f>
        <v/>
      </c>
      <c r="W96" s="18" t="str">
        <f t="shared" ref="W96:W159" si="31">IF(V96="","",W95+30)</f>
        <v/>
      </c>
      <c r="X96" s="1" t="str">
        <f t="shared" si="29"/>
        <v/>
      </c>
      <c r="Y96" t="str">
        <f t="shared" ref="Y96:Y159" si="32">IF(X96="","",W96-W$30)</f>
        <v/>
      </c>
      <c r="Z96" s="1" t="str">
        <f t="shared" ref="Z96:Z159" si="33">IF(Y96="","",IF(Y96&lt;365,Y96*X96*X$26,365*X96*X$26))</f>
        <v/>
      </c>
    </row>
    <row r="97" spans="1:26" customFormat="1" x14ac:dyDescent="0.25">
      <c r="A97" s="68" t="str">
        <f t="shared" si="22"/>
        <v/>
      </c>
      <c r="B97" s="68" t="str">
        <f t="shared" si="23"/>
        <v/>
      </c>
      <c r="C97" s="158" t="str">
        <f t="shared" si="24"/>
        <v/>
      </c>
      <c r="D97" s="158" t="str">
        <f t="shared" si="25"/>
        <v/>
      </c>
      <c r="E97" s="157" t="str">
        <f t="shared" si="26"/>
        <v/>
      </c>
      <c r="F97" s="158" t="str">
        <f t="shared" si="27"/>
        <v/>
      </c>
      <c r="G97" s="160" t="str">
        <f t="shared" si="28"/>
        <v/>
      </c>
      <c r="M97" s="18"/>
      <c r="V97" t="str">
        <f t="shared" si="30"/>
        <v/>
      </c>
      <c r="W97" s="18" t="str">
        <f t="shared" si="31"/>
        <v/>
      </c>
      <c r="X97" s="1" t="str">
        <f t="shared" si="29"/>
        <v/>
      </c>
      <c r="Y97" t="str">
        <f t="shared" si="32"/>
        <v/>
      </c>
      <c r="Z97" s="1" t="str">
        <f t="shared" si="33"/>
        <v/>
      </c>
    </row>
    <row r="98" spans="1:26" customFormat="1" x14ac:dyDescent="0.25">
      <c r="A98" s="68" t="str">
        <f t="shared" si="22"/>
        <v/>
      </c>
      <c r="B98" s="68" t="str">
        <f t="shared" si="23"/>
        <v/>
      </c>
      <c r="C98" s="158" t="str">
        <f t="shared" si="24"/>
        <v/>
      </c>
      <c r="D98" s="158" t="str">
        <f t="shared" si="25"/>
        <v/>
      </c>
      <c r="E98" s="157" t="str">
        <f t="shared" si="26"/>
        <v/>
      </c>
      <c r="F98" s="158" t="str">
        <f t="shared" si="27"/>
        <v/>
      </c>
      <c r="G98" s="160" t="str">
        <f t="shared" si="28"/>
        <v/>
      </c>
      <c r="M98" s="18"/>
      <c r="V98" t="str">
        <f t="shared" si="30"/>
        <v/>
      </c>
      <c r="W98" s="18" t="str">
        <f t="shared" si="31"/>
        <v/>
      </c>
      <c r="X98" s="1" t="str">
        <f t="shared" si="29"/>
        <v/>
      </c>
      <c r="Y98" t="str">
        <f t="shared" si="32"/>
        <v/>
      </c>
      <c r="Z98" s="1" t="str">
        <f t="shared" si="33"/>
        <v/>
      </c>
    </row>
    <row r="99" spans="1:26" customFormat="1" x14ac:dyDescent="0.25">
      <c r="A99" s="68" t="str">
        <f t="shared" si="22"/>
        <v/>
      </c>
      <c r="B99" s="68" t="str">
        <f t="shared" si="23"/>
        <v/>
      </c>
      <c r="C99" s="158" t="str">
        <f t="shared" si="24"/>
        <v/>
      </c>
      <c r="D99" s="158" t="str">
        <f t="shared" si="25"/>
        <v/>
      </c>
      <c r="E99" s="157" t="str">
        <f t="shared" si="26"/>
        <v/>
      </c>
      <c r="F99" s="158" t="str">
        <f t="shared" si="27"/>
        <v/>
      </c>
      <c r="G99" s="160" t="str">
        <f t="shared" si="28"/>
        <v/>
      </c>
      <c r="M99" s="18"/>
      <c r="V99" t="str">
        <f t="shared" si="30"/>
        <v/>
      </c>
      <c r="W99" s="18" t="str">
        <f t="shared" si="31"/>
        <v/>
      </c>
      <c r="X99" s="1" t="str">
        <f t="shared" si="29"/>
        <v/>
      </c>
      <c r="Y99" t="str">
        <f t="shared" si="32"/>
        <v/>
      </c>
      <c r="Z99" s="1" t="str">
        <f t="shared" si="33"/>
        <v/>
      </c>
    </row>
    <row r="100" spans="1:26" customFormat="1" x14ac:dyDescent="0.25">
      <c r="A100" s="68" t="str">
        <f t="shared" si="22"/>
        <v/>
      </c>
      <c r="B100" s="68" t="str">
        <f t="shared" si="23"/>
        <v/>
      </c>
      <c r="C100" s="158" t="str">
        <f t="shared" si="24"/>
        <v/>
      </c>
      <c r="D100" s="158" t="str">
        <f t="shared" si="25"/>
        <v/>
      </c>
      <c r="E100" s="157" t="str">
        <f t="shared" si="26"/>
        <v/>
      </c>
      <c r="F100" s="158" t="str">
        <f t="shared" si="27"/>
        <v/>
      </c>
      <c r="G100" s="160" t="str">
        <f t="shared" si="28"/>
        <v/>
      </c>
      <c r="M100" s="18"/>
      <c r="V100" t="str">
        <f t="shared" si="30"/>
        <v/>
      </c>
      <c r="W100" s="18" t="str">
        <f t="shared" si="31"/>
        <v/>
      </c>
      <c r="X100" s="1" t="str">
        <f t="shared" si="29"/>
        <v/>
      </c>
      <c r="Y100" t="str">
        <f t="shared" si="32"/>
        <v/>
      </c>
      <c r="Z100" s="1" t="str">
        <f t="shared" si="33"/>
        <v/>
      </c>
    </row>
    <row r="101" spans="1:26" customFormat="1" x14ac:dyDescent="0.25">
      <c r="A101" s="68" t="str">
        <f t="shared" si="22"/>
        <v/>
      </c>
      <c r="B101" s="68" t="str">
        <f t="shared" si="23"/>
        <v/>
      </c>
      <c r="C101" s="158" t="str">
        <f t="shared" si="24"/>
        <v/>
      </c>
      <c r="D101" s="158" t="str">
        <f t="shared" si="25"/>
        <v/>
      </c>
      <c r="E101" s="157" t="str">
        <f t="shared" si="26"/>
        <v/>
      </c>
      <c r="F101" s="158" t="str">
        <f t="shared" si="27"/>
        <v/>
      </c>
      <c r="G101" s="160" t="str">
        <f t="shared" si="28"/>
        <v/>
      </c>
      <c r="M101" s="18"/>
      <c r="V101" t="str">
        <f t="shared" si="30"/>
        <v/>
      </c>
      <c r="W101" s="18" t="str">
        <f t="shared" si="31"/>
        <v/>
      </c>
      <c r="X101" s="1" t="str">
        <f t="shared" si="29"/>
        <v/>
      </c>
      <c r="Y101" t="str">
        <f t="shared" si="32"/>
        <v/>
      </c>
      <c r="Z101" s="1" t="str">
        <f t="shared" si="33"/>
        <v/>
      </c>
    </row>
    <row r="102" spans="1:26" customFormat="1" x14ac:dyDescent="0.25">
      <c r="A102" s="68" t="str">
        <f t="shared" si="22"/>
        <v/>
      </c>
      <c r="B102" s="68" t="str">
        <f t="shared" si="23"/>
        <v/>
      </c>
      <c r="C102" s="158" t="str">
        <f t="shared" si="24"/>
        <v/>
      </c>
      <c r="D102" s="158" t="str">
        <f t="shared" si="25"/>
        <v/>
      </c>
      <c r="E102" s="157" t="str">
        <f t="shared" si="26"/>
        <v/>
      </c>
      <c r="F102" s="158" t="str">
        <f t="shared" si="27"/>
        <v/>
      </c>
      <c r="G102" s="160" t="str">
        <f t="shared" si="28"/>
        <v/>
      </c>
      <c r="M102" s="18"/>
      <c r="V102" t="str">
        <f t="shared" si="30"/>
        <v/>
      </c>
      <c r="W102" s="18" t="str">
        <f t="shared" si="31"/>
        <v/>
      </c>
      <c r="X102" s="1" t="str">
        <f t="shared" si="29"/>
        <v/>
      </c>
      <c r="Y102" t="str">
        <f t="shared" si="32"/>
        <v/>
      </c>
      <c r="Z102" s="1" t="str">
        <f t="shared" si="33"/>
        <v/>
      </c>
    </row>
    <row r="103" spans="1:26" customFormat="1" x14ac:dyDescent="0.25">
      <c r="A103" s="68" t="str">
        <f t="shared" si="22"/>
        <v/>
      </c>
      <c r="B103" s="68" t="str">
        <f t="shared" si="23"/>
        <v/>
      </c>
      <c r="C103" s="158" t="str">
        <f t="shared" si="24"/>
        <v/>
      </c>
      <c r="D103" s="158" t="str">
        <f t="shared" si="25"/>
        <v/>
      </c>
      <c r="E103" s="157" t="str">
        <f t="shared" si="26"/>
        <v/>
      </c>
      <c r="F103" s="158" t="str">
        <f t="shared" si="27"/>
        <v/>
      </c>
      <c r="G103" s="160" t="str">
        <f t="shared" si="28"/>
        <v/>
      </c>
      <c r="M103" s="18"/>
      <c r="V103" t="str">
        <f t="shared" si="30"/>
        <v/>
      </c>
      <c r="W103" s="18" t="str">
        <f t="shared" si="31"/>
        <v/>
      </c>
      <c r="X103" s="1" t="str">
        <f t="shared" si="29"/>
        <v/>
      </c>
      <c r="Y103" t="str">
        <f t="shared" si="32"/>
        <v/>
      </c>
      <c r="Z103" s="1" t="str">
        <f t="shared" si="33"/>
        <v/>
      </c>
    </row>
    <row r="104" spans="1:26" customFormat="1" x14ac:dyDescent="0.25">
      <c r="A104" s="68" t="str">
        <f t="shared" si="22"/>
        <v/>
      </c>
      <c r="B104" s="68" t="str">
        <f t="shared" si="23"/>
        <v/>
      </c>
      <c r="C104" s="158" t="str">
        <f t="shared" si="24"/>
        <v/>
      </c>
      <c r="D104" s="158" t="str">
        <f t="shared" si="25"/>
        <v/>
      </c>
      <c r="E104" s="157" t="str">
        <f t="shared" si="26"/>
        <v/>
      </c>
      <c r="F104" s="158" t="str">
        <f t="shared" si="27"/>
        <v/>
      </c>
      <c r="G104" s="160" t="str">
        <f t="shared" si="28"/>
        <v/>
      </c>
      <c r="M104" s="18"/>
      <c r="V104" t="str">
        <f t="shared" si="30"/>
        <v/>
      </c>
      <c r="W104" s="18" t="str">
        <f t="shared" si="31"/>
        <v/>
      </c>
      <c r="X104" s="1" t="str">
        <f t="shared" si="29"/>
        <v/>
      </c>
      <c r="Y104" t="str">
        <f t="shared" si="32"/>
        <v/>
      </c>
      <c r="Z104" s="1" t="str">
        <f t="shared" si="33"/>
        <v/>
      </c>
    </row>
    <row r="105" spans="1:26" customFormat="1" x14ac:dyDescent="0.25">
      <c r="A105" s="68" t="str">
        <f t="shared" si="22"/>
        <v/>
      </c>
      <c r="B105" s="68" t="str">
        <f t="shared" si="23"/>
        <v/>
      </c>
      <c r="C105" s="158" t="str">
        <f t="shared" si="24"/>
        <v/>
      </c>
      <c r="D105" s="158" t="str">
        <f t="shared" si="25"/>
        <v/>
      </c>
      <c r="E105" s="157" t="str">
        <f t="shared" si="26"/>
        <v/>
      </c>
      <c r="F105" s="158" t="str">
        <f t="shared" si="27"/>
        <v/>
      </c>
      <c r="G105" s="160" t="str">
        <f t="shared" si="28"/>
        <v/>
      </c>
      <c r="M105" s="18"/>
      <c r="V105" t="str">
        <f t="shared" si="30"/>
        <v/>
      </c>
      <c r="W105" s="18" t="str">
        <f t="shared" si="31"/>
        <v/>
      </c>
      <c r="X105" s="1" t="str">
        <f t="shared" si="29"/>
        <v/>
      </c>
      <c r="Y105" t="str">
        <f t="shared" si="32"/>
        <v/>
      </c>
      <c r="Z105" s="1" t="str">
        <f t="shared" si="33"/>
        <v/>
      </c>
    </row>
    <row r="106" spans="1:26" customFormat="1" x14ac:dyDescent="0.25">
      <c r="A106" s="68" t="str">
        <f t="shared" si="22"/>
        <v/>
      </c>
      <c r="B106" s="68" t="str">
        <f t="shared" si="23"/>
        <v/>
      </c>
      <c r="C106" s="158" t="str">
        <f t="shared" si="24"/>
        <v/>
      </c>
      <c r="D106" s="158" t="str">
        <f t="shared" si="25"/>
        <v/>
      </c>
      <c r="E106" s="157" t="str">
        <f t="shared" si="26"/>
        <v/>
      </c>
      <c r="F106" s="158" t="str">
        <f t="shared" si="27"/>
        <v/>
      </c>
      <c r="G106" s="160" t="str">
        <f t="shared" si="28"/>
        <v/>
      </c>
      <c r="M106" s="18"/>
      <c r="V106" t="str">
        <f t="shared" si="30"/>
        <v/>
      </c>
      <c r="W106" s="18" t="str">
        <f t="shared" si="31"/>
        <v/>
      </c>
      <c r="X106" s="1" t="str">
        <f t="shared" si="29"/>
        <v/>
      </c>
      <c r="Y106" t="str">
        <f t="shared" si="32"/>
        <v/>
      </c>
      <c r="Z106" s="1" t="str">
        <f t="shared" si="33"/>
        <v/>
      </c>
    </row>
    <row r="107" spans="1:26" customFormat="1" x14ac:dyDescent="0.25">
      <c r="A107" s="68" t="str">
        <f t="shared" si="22"/>
        <v/>
      </c>
      <c r="B107" s="68" t="str">
        <f t="shared" si="23"/>
        <v/>
      </c>
      <c r="C107" s="158" t="str">
        <f t="shared" si="24"/>
        <v/>
      </c>
      <c r="D107" s="158" t="str">
        <f t="shared" si="25"/>
        <v/>
      </c>
      <c r="E107" s="157" t="str">
        <f t="shared" si="26"/>
        <v/>
      </c>
      <c r="F107" s="158" t="str">
        <f t="shared" si="27"/>
        <v/>
      </c>
      <c r="G107" s="160" t="str">
        <f t="shared" si="28"/>
        <v/>
      </c>
      <c r="M107" s="18"/>
      <c r="V107" t="str">
        <f t="shared" si="30"/>
        <v/>
      </c>
      <c r="W107" s="18" t="str">
        <f t="shared" si="31"/>
        <v/>
      </c>
      <c r="X107" s="1" t="str">
        <f t="shared" si="29"/>
        <v/>
      </c>
      <c r="Y107" t="str">
        <f t="shared" si="32"/>
        <v/>
      </c>
      <c r="Z107" s="1" t="str">
        <f t="shared" si="33"/>
        <v/>
      </c>
    </row>
    <row r="108" spans="1:26" customFormat="1" x14ac:dyDescent="0.25">
      <c r="A108" s="68" t="str">
        <f t="shared" si="22"/>
        <v/>
      </c>
      <c r="B108" s="68" t="str">
        <f t="shared" si="23"/>
        <v/>
      </c>
      <c r="C108" s="158" t="str">
        <f t="shared" si="24"/>
        <v/>
      </c>
      <c r="D108" s="158" t="str">
        <f t="shared" si="25"/>
        <v/>
      </c>
      <c r="E108" s="157" t="str">
        <f t="shared" si="26"/>
        <v/>
      </c>
      <c r="F108" s="158" t="str">
        <f t="shared" si="27"/>
        <v/>
      </c>
      <c r="G108" s="160" t="str">
        <f t="shared" si="28"/>
        <v/>
      </c>
      <c r="M108" s="18"/>
      <c r="V108" t="str">
        <f t="shared" si="30"/>
        <v/>
      </c>
      <c r="W108" s="18" t="str">
        <f t="shared" si="31"/>
        <v/>
      </c>
      <c r="X108" s="1" t="str">
        <f t="shared" si="29"/>
        <v/>
      </c>
      <c r="Y108" t="str">
        <f t="shared" si="32"/>
        <v/>
      </c>
      <c r="Z108" s="1" t="str">
        <f t="shared" si="33"/>
        <v/>
      </c>
    </row>
    <row r="109" spans="1:26" customFormat="1" x14ac:dyDescent="0.25">
      <c r="A109" s="68" t="str">
        <f t="shared" si="22"/>
        <v/>
      </c>
      <c r="B109" s="68" t="str">
        <f t="shared" si="23"/>
        <v/>
      </c>
      <c r="C109" s="158" t="str">
        <f t="shared" si="24"/>
        <v/>
      </c>
      <c r="D109" s="158" t="str">
        <f t="shared" si="25"/>
        <v/>
      </c>
      <c r="E109" s="157" t="str">
        <f t="shared" si="26"/>
        <v/>
      </c>
      <c r="F109" s="158" t="str">
        <f t="shared" si="27"/>
        <v/>
      </c>
      <c r="G109" s="160" t="str">
        <f t="shared" si="28"/>
        <v/>
      </c>
      <c r="M109" s="18"/>
      <c r="V109" t="str">
        <f t="shared" si="30"/>
        <v/>
      </c>
      <c r="W109" s="18" t="str">
        <f t="shared" si="31"/>
        <v/>
      </c>
      <c r="X109" s="1" t="str">
        <f t="shared" si="29"/>
        <v/>
      </c>
      <c r="Y109" t="str">
        <f t="shared" si="32"/>
        <v/>
      </c>
      <c r="Z109" s="1" t="str">
        <f t="shared" si="33"/>
        <v/>
      </c>
    </row>
    <row r="110" spans="1:26" customFormat="1" x14ac:dyDescent="0.25">
      <c r="A110" s="68" t="str">
        <f t="shared" si="22"/>
        <v/>
      </c>
      <c r="B110" s="68" t="str">
        <f t="shared" si="23"/>
        <v/>
      </c>
      <c r="C110" s="158" t="str">
        <f t="shared" si="24"/>
        <v/>
      </c>
      <c r="D110" s="158" t="str">
        <f t="shared" si="25"/>
        <v/>
      </c>
      <c r="E110" s="157" t="str">
        <f t="shared" si="26"/>
        <v/>
      </c>
      <c r="F110" s="158" t="str">
        <f t="shared" si="27"/>
        <v/>
      </c>
      <c r="G110" s="160" t="str">
        <f t="shared" si="28"/>
        <v/>
      </c>
      <c r="M110" s="18"/>
      <c r="V110" t="str">
        <f t="shared" si="30"/>
        <v/>
      </c>
      <c r="W110" s="18" t="str">
        <f t="shared" si="31"/>
        <v/>
      </c>
      <c r="X110" s="1" t="str">
        <f t="shared" si="29"/>
        <v/>
      </c>
      <c r="Y110" t="str">
        <f t="shared" si="32"/>
        <v/>
      </c>
      <c r="Z110" s="1" t="str">
        <f t="shared" si="33"/>
        <v/>
      </c>
    </row>
    <row r="111" spans="1:26" customFormat="1" x14ac:dyDescent="0.25">
      <c r="A111" s="68" t="str">
        <f t="shared" si="22"/>
        <v/>
      </c>
      <c r="B111" s="68" t="str">
        <f t="shared" si="23"/>
        <v/>
      </c>
      <c r="C111" s="158" t="str">
        <f t="shared" si="24"/>
        <v/>
      </c>
      <c r="D111" s="158" t="str">
        <f t="shared" si="25"/>
        <v/>
      </c>
      <c r="E111" s="157" t="str">
        <f t="shared" si="26"/>
        <v/>
      </c>
      <c r="F111" s="158" t="str">
        <f t="shared" si="27"/>
        <v/>
      </c>
      <c r="G111" s="160" t="str">
        <f t="shared" si="28"/>
        <v/>
      </c>
      <c r="M111" s="18"/>
      <c r="V111" t="str">
        <f t="shared" si="30"/>
        <v/>
      </c>
      <c r="W111" s="18" t="str">
        <f t="shared" si="31"/>
        <v/>
      </c>
      <c r="X111" s="1" t="str">
        <f t="shared" si="29"/>
        <v/>
      </c>
      <c r="Y111" t="str">
        <f t="shared" si="32"/>
        <v/>
      </c>
      <c r="Z111" s="1" t="str">
        <f t="shared" si="33"/>
        <v/>
      </c>
    </row>
    <row r="112" spans="1:26" customFormat="1" x14ac:dyDescent="0.25">
      <c r="A112" s="68" t="str">
        <f t="shared" si="22"/>
        <v/>
      </c>
      <c r="B112" s="68" t="str">
        <f t="shared" si="23"/>
        <v/>
      </c>
      <c r="C112" s="158" t="str">
        <f t="shared" si="24"/>
        <v/>
      </c>
      <c r="D112" s="158" t="str">
        <f t="shared" si="25"/>
        <v/>
      </c>
      <c r="E112" s="157" t="str">
        <f t="shared" si="26"/>
        <v/>
      </c>
      <c r="F112" s="158" t="str">
        <f t="shared" si="27"/>
        <v/>
      </c>
      <c r="G112" s="160" t="str">
        <f t="shared" si="28"/>
        <v/>
      </c>
      <c r="M112" s="18"/>
      <c r="V112" t="str">
        <f t="shared" si="30"/>
        <v/>
      </c>
      <c r="W112" s="18" t="str">
        <f t="shared" si="31"/>
        <v/>
      </c>
      <c r="X112" s="1" t="str">
        <f t="shared" si="29"/>
        <v/>
      </c>
      <c r="Y112" t="str">
        <f t="shared" si="32"/>
        <v/>
      </c>
      <c r="Z112" s="1" t="str">
        <f t="shared" si="33"/>
        <v/>
      </c>
    </row>
    <row r="113" spans="1:26" customFormat="1" x14ac:dyDescent="0.25">
      <c r="A113" s="68" t="str">
        <f t="shared" si="22"/>
        <v/>
      </c>
      <c r="B113" s="68" t="str">
        <f t="shared" si="23"/>
        <v/>
      </c>
      <c r="C113" s="158" t="str">
        <f t="shared" si="24"/>
        <v/>
      </c>
      <c r="D113" s="158" t="str">
        <f t="shared" si="25"/>
        <v/>
      </c>
      <c r="E113" s="157" t="str">
        <f t="shared" si="26"/>
        <v/>
      </c>
      <c r="F113" s="158" t="str">
        <f t="shared" si="27"/>
        <v/>
      </c>
      <c r="G113" s="160" t="str">
        <f t="shared" si="28"/>
        <v/>
      </c>
      <c r="M113" s="18"/>
      <c r="V113" t="str">
        <f t="shared" si="30"/>
        <v/>
      </c>
      <c r="W113" s="18" t="str">
        <f t="shared" si="31"/>
        <v/>
      </c>
      <c r="X113" s="1" t="str">
        <f t="shared" si="29"/>
        <v/>
      </c>
      <c r="Y113" t="str">
        <f t="shared" si="32"/>
        <v/>
      </c>
      <c r="Z113" s="1" t="str">
        <f t="shared" si="33"/>
        <v/>
      </c>
    </row>
    <row r="114" spans="1:26" customFormat="1" x14ac:dyDescent="0.25">
      <c r="A114" s="68" t="str">
        <f t="shared" si="22"/>
        <v/>
      </c>
      <c r="B114" s="68" t="str">
        <f t="shared" si="23"/>
        <v/>
      </c>
      <c r="C114" s="158" t="str">
        <f t="shared" si="24"/>
        <v/>
      </c>
      <c r="D114" s="158" t="str">
        <f t="shared" si="25"/>
        <v/>
      </c>
      <c r="E114" s="157" t="str">
        <f t="shared" si="26"/>
        <v/>
      </c>
      <c r="F114" s="158" t="str">
        <f t="shared" si="27"/>
        <v/>
      </c>
      <c r="G114" s="160" t="str">
        <f t="shared" si="28"/>
        <v/>
      </c>
      <c r="M114" s="18"/>
      <c r="V114" t="str">
        <f t="shared" si="30"/>
        <v/>
      </c>
      <c r="W114" s="18" t="str">
        <f t="shared" si="31"/>
        <v/>
      </c>
      <c r="X114" s="1" t="str">
        <f t="shared" si="29"/>
        <v/>
      </c>
      <c r="Y114" t="str">
        <f t="shared" si="32"/>
        <v/>
      </c>
      <c r="Z114" s="1" t="str">
        <f t="shared" si="33"/>
        <v/>
      </c>
    </row>
    <row r="115" spans="1:26" customFormat="1" x14ac:dyDescent="0.25">
      <c r="A115" s="68" t="str">
        <f t="shared" si="22"/>
        <v/>
      </c>
      <c r="B115" s="68" t="str">
        <f t="shared" si="23"/>
        <v/>
      </c>
      <c r="C115" s="158" t="str">
        <f t="shared" si="24"/>
        <v/>
      </c>
      <c r="D115" s="158" t="str">
        <f t="shared" si="25"/>
        <v/>
      </c>
      <c r="E115" s="157" t="str">
        <f t="shared" si="26"/>
        <v/>
      </c>
      <c r="F115" s="158" t="str">
        <f t="shared" si="27"/>
        <v/>
      </c>
      <c r="G115" s="160" t="str">
        <f t="shared" si="28"/>
        <v/>
      </c>
      <c r="M115" s="18"/>
      <c r="V115" t="str">
        <f t="shared" si="30"/>
        <v/>
      </c>
      <c r="W115" s="18" t="str">
        <f t="shared" si="31"/>
        <v/>
      </c>
      <c r="X115" s="1" t="str">
        <f t="shared" si="29"/>
        <v/>
      </c>
      <c r="Y115" t="str">
        <f t="shared" si="32"/>
        <v/>
      </c>
      <c r="Z115" s="1" t="str">
        <f t="shared" si="33"/>
        <v/>
      </c>
    </row>
    <row r="116" spans="1:26" customFormat="1" x14ac:dyDescent="0.25">
      <c r="A116" s="68" t="str">
        <f t="shared" si="22"/>
        <v/>
      </c>
      <c r="B116" s="68" t="str">
        <f t="shared" si="23"/>
        <v/>
      </c>
      <c r="C116" s="158" t="str">
        <f t="shared" si="24"/>
        <v/>
      </c>
      <c r="D116" s="158" t="str">
        <f t="shared" si="25"/>
        <v/>
      </c>
      <c r="E116" s="157" t="str">
        <f t="shared" si="26"/>
        <v/>
      </c>
      <c r="F116" s="158" t="str">
        <f t="shared" si="27"/>
        <v/>
      </c>
      <c r="G116" s="160" t="str">
        <f t="shared" si="28"/>
        <v/>
      </c>
      <c r="V116" t="str">
        <f t="shared" si="30"/>
        <v/>
      </c>
      <c r="W116" s="18" t="str">
        <f t="shared" si="31"/>
        <v/>
      </c>
      <c r="X116" s="1" t="str">
        <f t="shared" si="29"/>
        <v/>
      </c>
      <c r="Y116" t="str">
        <f t="shared" si="32"/>
        <v/>
      </c>
      <c r="Z116" s="1" t="str">
        <f t="shared" si="33"/>
        <v/>
      </c>
    </row>
    <row r="117" spans="1:26" customFormat="1" x14ac:dyDescent="0.25">
      <c r="A117" s="68" t="str">
        <f t="shared" si="22"/>
        <v/>
      </c>
      <c r="B117" s="68" t="str">
        <f t="shared" si="23"/>
        <v/>
      </c>
      <c r="C117" s="158" t="str">
        <f t="shared" si="24"/>
        <v/>
      </c>
      <c r="D117" s="158" t="str">
        <f t="shared" si="25"/>
        <v/>
      </c>
      <c r="E117" s="157" t="str">
        <f t="shared" si="26"/>
        <v/>
      </c>
      <c r="F117" s="158" t="str">
        <f t="shared" si="27"/>
        <v/>
      </c>
      <c r="G117" s="160" t="str">
        <f t="shared" si="28"/>
        <v/>
      </c>
      <c r="V117" t="str">
        <f t="shared" si="30"/>
        <v/>
      </c>
      <c r="W117" s="18" t="str">
        <f t="shared" si="31"/>
        <v/>
      </c>
      <c r="X117" s="1" t="str">
        <f t="shared" si="29"/>
        <v/>
      </c>
      <c r="Y117" t="str">
        <f t="shared" si="32"/>
        <v/>
      </c>
      <c r="Z117" s="1" t="str">
        <f t="shared" si="33"/>
        <v/>
      </c>
    </row>
    <row r="118" spans="1:26" customFormat="1" x14ac:dyDescent="0.25">
      <c r="A118" s="68" t="str">
        <f t="shared" si="22"/>
        <v/>
      </c>
      <c r="B118" s="68" t="str">
        <f t="shared" si="23"/>
        <v/>
      </c>
      <c r="C118" s="158" t="str">
        <f t="shared" si="24"/>
        <v/>
      </c>
      <c r="D118" s="158" t="str">
        <f t="shared" si="25"/>
        <v/>
      </c>
      <c r="E118" s="157" t="str">
        <f t="shared" si="26"/>
        <v/>
      </c>
      <c r="F118" s="158" t="str">
        <f t="shared" si="27"/>
        <v/>
      </c>
      <c r="G118" s="160" t="str">
        <f t="shared" si="28"/>
        <v/>
      </c>
      <c r="V118" t="str">
        <f t="shared" si="30"/>
        <v/>
      </c>
      <c r="W118" s="18" t="str">
        <f t="shared" si="31"/>
        <v/>
      </c>
      <c r="X118" s="1" t="str">
        <f t="shared" si="29"/>
        <v/>
      </c>
      <c r="Y118" t="str">
        <f t="shared" si="32"/>
        <v/>
      </c>
      <c r="Z118" s="1" t="str">
        <f t="shared" si="33"/>
        <v/>
      </c>
    </row>
    <row r="119" spans="1:26" customFormat="1" x14ac:dyDescent="0.25">
      <c r="A119" s="68" t="str">
        <f t="shared" si="22"/>
        <v/>
      </c>
      <c r="B119" s="68" t="str">
        <f t="shared" si="23"/>
        <v/>
      </c>
      <c r="C119" s="158" t="str">
        <f t="shared" si="24"/>
        <v/>
      </c>
      <c r="D119" s="158" t="str">
        <f t="shared" si="25"/>
        <v/>
      </c>
      <c r="E119" s="157" t="str">
        <f t="shared" si="26"/>
        <v/>
      </c>
      <c r="F119" s="158" t="str">
        <f t="shared" si="27"/>
        <v/>
      </c>
      <c r="G119" s="160" t="str">
        <f t="shared" si="28"/>
        <v/>
      </c>
      <c r="V119" t="str">
        <f t="shared" si="30"/>
        <v/>
      </c>
      <c r="W119" s="18" t="str">
        <f t="shared" si="31"/>
        <v/>
      </c>
      <c r="X119" s="1" t="str">
        <f t="shared" si="29"/>
        <v/>
      </c>
      <c r="Y119" t="str">
        <f t="shared" si="32"/>
        <v/>
      </c>
      <c r="Z119" s="1" t="str">
        <f t="shared" si="33"/>
        <v/>
      </c>
    </row>
    <row r="120" spans="1:26" customFormat="1" x14ac:dyDescent="0.25">
      <c r="A120" s="68" t="str">
        <f t="shared" si="22"/>
        <v/>
      </c>
      <c r="B120" s="68" t="str">
        <f t="shared" si="23"/>
        <v/>
      </c>
      <c r="C120" s="158" t="str">
        <f t="shared" si="24"/>
        <v/>
      </c>
      <c r="D120" s="158" t="str">
        <f t="shared" si="25"/>
        <v/>
      </c>
      <c r="E120" s="157" t="str">
        <f t="shared" si="26"/>
        <v/>
      </c>
      <c r="F120" s="158" t="str">
        <f t="shared" si="27"/>
        <v/>
      </c>
      <c r="G120" s="160" t="str">
        <f t="shared" si="28"/>
        <v/>
      </c>
      <c r="V120" t="str">
        <f t="shared" si="30"/>
        <v/>
      </c>
      <c r="W120" s="18" t="str">
        <f t="shared" si="31"/>
        <v/>
      </c>
      <c r="X120" s="1" t="str">
        <f t="shared" si="29"/>
        <v/>
      </c>
      <c r="Y120" t="str">
        <f t="shared" si="32"/>
        <v/>
      </c>
      <c r="Z120" s="1" t="str">
        <f t="shared" si="33"/>
        <v/>
      </c>
    </row>
    <row r="121" spans="1:26" customFormat="1" x14ac:dyDescent="0.25">
      <c r="A121" s="68" t="str">
        <f t="shared" si="22"/>
        <v/>
      </c>
      <c r="B121" s="68" t="str">
        <f t="shared" si="23"/>
        <v/>
      </c>
      <c r="C121" s="158" t="str">
        <f t="shared" si="24"/>
        <v/>
      </c>
      <c r="D121" s="158" t="str">
        <f t="shared" si="25"/>
        <v/>
      </c>
      <c r="E121" s="157" t="str">
        <f t="shared" si="26"/>
        <v/>
      </c>
      <c r="F121" s="158" t="str">
        <f t="shared" si="27"/>
        <v/>
      </c>
      <c r="G121" s="160" t="str">
        <f t="shared" si="28"/>
        <v/>
      </c>
      <c r="V121" t="str">
        <f t="shared" si="30"/>
        <v/>
      </c>
      <c r="W121" s="18" t="str">
        <f t="shared" si="31"/>
        <v/>
      </c>
      <c r="X121" s="1" t="str">
        <f t="shared" si="29"/>
        <v/>
      </c>
      <c r="Y121" t="str">
        <f t="shared" si="32"/>
        <v/>
      </c>
      <c r="Z121" s="1" t="str">
        <f t="shared" si="33"/>
        <v/>
      </c>
    </row>
    <row r="122" spans="1:26" customFormat="1" x14ac:dyDescent="0.25">
      <c r="A122" s="68" t="str">
        <f t="shared" si="22"/>
        <v/>
      </c>
      <c r="B122" s="68" t="str">
        <f t="shared" si="23"/>
        <v/>
      </c>
      <c r="C122" s="158" t="str">
        <f t="shared" si="24"/>
        <v/>
      </c>
      <c r="D122" s="158" t="str">
        <f t="shared" si="25"/>
        <v/>
      </c>
      <c r="E122" s="157" t="str">
        <f t="shared" si="26"/>
        <v/>
      </c>
      <c r="F122" s="158" t="str">
        <f t="shared" si="27"/>
        <v/>
      </c>
      <c r="G122" s="160" t="str">
        <f t="shared" si="28"/>
        <v/>
      </c>
      <c r="V122" t="str">
        <f t="shared" si="30"/>
        <v/>
      </c>
      <c r="W122" s="18" t="str">
        <f t="shared" si="31"/>
        <v/>
      </c>
      <c r="X122" s="1" t="str">
        <f t="shared" si="29"/>
        <v/>
      </c>
      <c r="Y122" t="str">
        <f t="shared" si="32"/>
        <v/>
      </c>
      <c r="Z122" s="1" t="str">
        <f t="shared" si="33"/>
        <v/>
      </c>
    </row>
    <row r="123" spans="1:26" customFormat="1" x14ac:dyDescent="0.25">
      <c r="A123" s="68" t="str">
        <f t="shared" si="22"/>
        <v/>
      </c>
      <c r="B123" s="68" t="str">
        <f t="shared" si="23"/>
        <v/>
      </c>
      <c r="C123" s="158" t="str">
        <f t="shared" si="24"/>
        <v/>
      </c>
      <c r="D123" s="158" t="str">
        <f t="shared" si="25"/>
        <v/>
      </c>
      <c r="E123" s="157" t="str">
        <f t="shared" si="26"/>
        <v/>
      </c>
      <c r="F123" s="158" t="str">
        <f t="shared" si="27"/>
        <v/>
      </c>
      <c r="G123" s="160" t="str">
        <f t="shared" si="28"/>
        <v/>
      </c>
      <c r="V123" t="str">
        <f t="shared" si="30"/>
        <v/>
      </c>
      <c r="W123" s="18" t="str">
        <f t="shared" si="31"/>
        <v/>
      </c>
      <c r="X123" s="1" t="str">
        <f t="shared" si="29"/>
        <v/>
      </c>
      <c r="Y123" t="str">
        <f t="shared" si="32"/>
        <v/>
      </c>
      <c r="Z123" s="1" t="str">
        <f t="shared" si="33"/>
        <v/>
      </c>
    </row>
    <row r="124" spans="1:26" customFormat="1" x14ac:dyDescent="0.25">
      <c r="A124" s="68" t="str">
        <f t="shared" si="22"/>
        <v/>
      </c>
      <c r="B124" s="68" t="str">
        <f t="shared" si="23"/>
        <v/>
      </c>
      <c r="C124" s="158" t="str">
        <f t="shared" si="24"/>
        <v/>
      </c>
      <c r="D124" s="158" t="str">
        <f t="shared" si="25"/>
        <v/>
      </c>
      <c r="E124" s="157" t="str">
        <f t="shared" si="26"/>
        <v/>
      </c>
      <c r="F124" s="158" t="str">
        <f t="shared" si="27"/>
        <v/>
      </c>
      <c r="G124" s="160" t="str">
        <f t="shared" si="28"/>
        <v/>
      </c>
      <c r="V124" t="str">
        <f t="shared" si="30"/>
        <v/>
      </c>
      <c r="W124" s="18" t="str">
        <f t="shared" si="31"/>
        <v/>
      </c>
      <c r="X124" s="1" t="str">
        <f t="shared" si="29"/>
        <v/>
      </c>
      <c r="Y124" t="str">
        <f t="shared" si="32"/>
        <v/>
      </c>
      <c r="Z124" s="1" t="str">
        <f t="shared" si="33"/>
        <v/>
      </c>
    </row>
    <row r="125" spans="1:26" customFormat="1" x14ac:dyDescent="0.25">
      <c r="A125" s="68" t="str">
        <f t="shared" si="22"/>
        <v/>
      </c>
      <c r="B125" s="68" t="str">
        <f t="shared" si="23"/>
        <v/>
      </c>
      <c r="C125" s="158" t="str">
        <f t="shared" si="24"/>
        <v/>
      </c>
      <c r="D125" s="158" t="str">
        <f t="shared" si="25"/>
        <v/>
      </c>
      <c r="E125" s="157" t="str">
        <f t="shared" si="26"/>
        <v/>
      </c>
      <c r="F125" s="158" t="str">
        <f t="shared" si="27"/>
        <v/>
      </c>
      <c r="G125" s="160" t="str">
        <f t="shared" si="28"/>
        <v/>
      </c>
      <c r="V125" t="str">
        <f t="shared" si="30"/>
        <v/>
      </c>
      <c r="W125" s="18" t="str">
        <f t="shared" si="31"/>
        <v/>
      </c>
      <c r="X125" s="1" t="str">
        <f t="shared" si="29"/>
        <v/>
      </c>
      <c r="Y125" t="str">
        <f t="shared" si="32"/>
        <v/>
      </c>
      <c r="Z125" s="1" t="str">
        <f t="shared" si="33"/>
        <v/>
      </c>
    </row>
    <row r="126" spans="1:26" customFormat="1" x14ac:dyDescent="0.25">
      <c r="A126" s="68" t="str">
        <f t="shared" si="22"/>
        <v/>
      </c>
      <c r="B126" s="68" t="str">
        <f t="shared" si="23"/>
        <v/>
      </c>
      <c r="C126" s="158" t="str">
        <f t="shared" si="24"/>
        <v/>
      </c>
      <c r="D126" s="158" t="str">
        <f t="shared" si="25"/>
        <v/>
      </c>
      <c r="E126" s="157" t="str">
        <f t="shared" si="26"/>
        <v/>
      </c>
      <c r="F126" s="158" t="str">
        <f t="shared" si="27"/>
        <v/>
      </c>
      <c r="G126" s="160" t="str">
        <f t="shared" si="28"/>
        <v/>
      </c>
      <c r="V126" t="str">
        <f t="shared" si="30"/>
        <v/>
      </c>
      <c r="W126" s="18" t="str">
        <f t="shared" si="31"/>
        <v/>
      </c>
      <c r="X126" s="1" t="str">
        <f t="shared" ref="X126:X157" si="34">IF(W126="","",IF(V126&lt;=B$16,0,X$27/(B$17-B$16)))</f>
        <v/>
      </c>
      <c r="Y126" t="str">
        <f t="shared" si="32"/>
        <v/>
      </c>
      <c r="Z126" s="1" t="str">
        <f t="shared" si="33"/>
        <v/>
      </c>
    </row>
    <row r="127" spans="1:26" customFormat="1" x14ac:dyDescent="0.25">
      <c r="A127" s="68" t="str">
        <f t="shared" si="22"/>
        <v/>
      </c>
      <c r="B127" s="68" t="str">
        <f t="shared" si="23"/>
        <v/>
      </c>
      <c r="C127" s="158" t="str">
        <f t="shared" si="24"/>
        <v/>
      </c>
      <c r="D127" s="158" t="str">
        <f t="shared" si="25"/>
        <v/>
      </c>
      <c r="E127" s="157" t="str">
        <f t="shared" si="26"/>
        <v/>
      </c>
      <c r="F127" s="158" t="str">
        <f t="shared" si="27"/>
        <v/>
      </c>
      <c r="G127" s="160" t="str">
        <f t="shared" si="28"/>
        <v/>
      </c>
      <c r="V127" t="str">
        <f t="shared" si="30"/>
        <v/>
      </c>
      <c r="W127" s="18" t="str">
        <f t="shared" si="31"/>
        <v/>
      </c>
      <c r="X127" s="1" t="str">
        <f t="shared" si="34"/>
        <v/>
      </c>
      <c r="Y127" t="str">
        <f t="shared" si="32"/>
        <v/>
      </c>
      <c r="Z127" s="1" t="str">
        <f t="shared" si="33"/>
        <v/>
      </c>
    </row>
    <row r="128" spans="1:26" customFormat="1" x14ac:dyDescent="0.25">
      <c r="A128" s="68" t="str">
        <f t="shared" si="22"/>
        <v/>
      </c>
      <c r="B128" s="68" t="str">
        <f t="shared" si="23"/>
        <v/>
      </c>
      <c r="C128" s="158" t="str">
        <f t="shared" si="24"/>
        <v/>
      </c>
      <c r="D128" s="158" t="str">
        <f t="shared" si="25"/>
        <v/>
      </c>
      <c r="E128" s="157" t="str">
        <f t="shared" si="26"/>
        <v/>
      </c>
      <c r="F128" s="158" t="str">
        <f t="shared" si="27"/>
        <v/>
      </c>
      <c r="G128" s="160" t="str">
        <f t="shared" si="28"/>
        <v/>
      </c>
      <c r="V128" t="str">
        <f t="shared" si="30"/>
        <v/>
      </c>
      <c r="W128" s="18" t="str">
        <f t="shared" si="31"/>
        <v/>
      </c>
      <c r="X128" s="1" t="str">
        <f t="shared" si="34"/>
        <v/>
      </c>
      <c r="Y128" t="str">
        <f t="shared" si="32"/>
        <v/>
      </c>
      <c r="Z128" s="1" t="str">
        <f t="shared" si="33"/>
        <v/>
      </c>
    </row>
    <row r="129" spans="1:26" customFormat="1" x14ac:dyDescent="0.25">
      <c r="A129" s="68" t="str">
        <f t="shared" si="22"/>
        <v/>
      </c>
      <c r="B129" s="68" t="str">
        <f t="shared" si="23"/>
        <v/>
      </c>
      <c r="C129" s="158" t="str">
        <f t="shared" si="24"/>
        <v/>
      </c>
      <c r="D129" s="158" t="str">
        <f t="shared" si="25"/>
        <v/>
      </c>
      <c r="E129" s="157" t="str">
        <f t="shared" si="26"/>
        <v/>
      </c>
      <c r="F129" s="158" t="str">
        <f t="shared" si="27"/>
        <v/>
      </c>
      <c r="G129" s="160" t="str">
        <f t="shared" si="28"/>
        <v/>
      </c>
      <c r="V129" t="str">
        <f t="shared" si="30"/>
        <v/>
      </c>
      <c r="W129" s="18" t="str">
        <f t="shared" si="31"/>
        <v/>
      </c>
      <c r="X129" s="1" t="str">
        <f t="shared" si="34"/>
        <v/>
      </c>
      <c r="Y129" t="str">
        <f t="shared" si="32"/>
        <v/>
      </c>
      <c r="Z129" s="1" t="str">
        <f t="shared" si="33"/>
        <v/>
      </c>
    </row>
    <row r="130" spans="1:26" customFormat="1" x14ac:dyDescent="0.25">
      <c r="A130" s="68" t="str">
        <f t="shared" si="22"/>
        <v/>
      </c>
      <c r="B130" s="68" t="str">
        <f t="shared" si="23"/>
        <v/>
      </c>
      <c r="C130" s="158" t="str">
        <f t="shared" si="24"/>
        <v/>
      </c>
      <c r="D130" s="158" t="str">
        <f t="shared" si="25"/>
        <v/>
      </c>
      <c r="E130" s="157" t="str">
        <f t="shared" si="26"/>
        <v/>
      </c>
      <c r="F130" s="158" t="str">
        <f t="shared" si="27"/>
        <v/>
      </c>
      <c r="G130" s="160" t="str">
        <f t="shared" si="28"/>
        <v/>
      </c>
      <c r="V130" t="str">
        <f t="shared" si="30"/>
        <v/>
      </c>
      <c r="W130" s="18" t="str">
        <f t="shared" si="31"/>
        <v/>
      </c>
      <c r="X130" s="1" t="str">
        <f t="shared" si="34"/>
        <v/>
      </c>
      <c r="Y130" t="str">
        <f t="shared" si="32"/>
        <v/>
      </c>
      <c r="Z130" s="1" t="str">
        <f t="shared" si="33"/>
        <v/>
      </c>
    </row>
    <row r="131" spans="1:26" customFormat="1" x14ac:dyDescent="0.25">
      <c r="A131" s="68" t="str">
        <f t="shared" si="22"/>
        <v/>
      </c>
      <c r="B131" s="68" t="str">
        <f t="shared" si="23"/>
        <v/>
      </c>
      <c r="C131" s="158" t="str">
        <f t="shared" si="24"/>
        <v/>
      </c>
      <c r="D131" s="158" t="str">
        <f t="shared" si="25"/>
        <v/>
      </c>
      <c r="E131" s="157" t="str">
        <f t="shared" si="26"/>
        <v/>
      </c>
      <c r="F131" s="158" t="str">
        <f t="shared" si="27"/>
        <v/>
      </c>
      <c r="G131" s="160" t="str">
        <f t="shared" si="28"/>
        <v/>
      </c>
      <c r="V131" t="str">
        <f t="shared" si="30"/>
        <v/>
      </c>
      <c r="W131" s="18" t="str">
        <f t="shared" si="31"/>
        <v/>
      </c>
      <c r="X131" s="1" t="str">
        <f t="shared" si="34"/>
        <v/>
      </c>
      <c r="Y131" t="str">
        <f t="shared" si="32"/>
        <v/>
      </c>
      <c r="Z131" s="1" t="str">
        <f t="shared" si="33"/>
        <v/>
      </c>
    </row>
    <row r="132" spans="1:26" customFormat="1" x14ac:dyDescent="0.25">
      <c r="A132" s="68" t="str">
        <f t="shared" si="22"/>
        <v/>
      </c>
      <c r="B132" s="68" t="str">
        <f t="shared" si="23"/>
        <v/>
      </c>
      <c r="C132" s="158" t="str">
        <f t="shared" si="24"/>
        <v/>
      </c>
      <c r="D132" s="158" t="str">
        <f t="shared" si="25"/>
        <v/>
      </c>
      <c r="E132" s="157" t="str">
        <f t="shared" si="26"/>
        <v/>
      </c>
      <c r="F132" s="158" t="str">
        <f t="shared" si="27"/>
        <v/>
      </c>
      <c r="G132" s="160" t="str">
        <f t="shared" si="28"/>
        <v/>
      </c>
      <c r="V132" t="str">
        <f t="shared" si="30"/>
        <v/>
      </c>
      <c r="W132" s="18" t="str">
        <f t="shared" si="31"/>
        <v/>
      </c>
      <c r="X132" s="1" t="str">
        <f t="shared" si="34"/>
        <v/>
      </c>
      <c r="Y132" t="str">
        <f t="shared" si="32"/>
        <v/>
      </c>
      <c r="Z132" s="1" t="str">
        <f t="shared" si="33"/>
        <v/>
      </c>
    </row>
    <row r="133" spans="1:26" customFormat="1" x14ac:dyDescent="0.25">
      <c r="A133" s="68" t="str">
        <f t="shared" si="22"/>
        <v/>
      </c>
      <c r="B133" s="68" t="str">
        <f t="shared" si="23"/>
        <v/>
      </c>
      <c r="C133" s="158" t="str">
        <f t="shared" si="24"/>
        <v/>
      </c>
      <c r="D133" s="158" t="str">
        <f t="shared" si="25"/>
        <v/>
      </c>
      <c r="E133" s="157" t="str">
        <f t="shared" si="26"/>
        <v/>
      </c>
      <c r="F133" s="158" t="str">
        <f t="shared" si="27"/>
        <v/>
      </c>
      <c r="G133" s="160" t="str">
        <f t="shared" si="28"/>
        <v/>
      </c>
      <c r="V133" t="str">
        <f t="shared" si="30"/>
        <v/>
      </c>
      <c r="W133" s="18" t="str">
        <f t="shared" si="31"/>
        <v/>
      </c>
      <c r="X133" s="1" t="str">
        <f t="shared" si="34"/>
        <v/>
      </c>
      <c r="Y133" t="str">
        <f t="shared" si="32"/>
        <v/>
      </c>
      <c r="Z133" s="1" t="str">
        <f t="shared" si="33"/>
        <v/>
      </c>
    </row>
    <row r="134" spans="1:26" customFormat="1" x14ac:dyDescent="0.25">
      <c r="A134" s="68" t="str">
        <f t="shared" si="22"/>
        <v/>
      </c>
      <c r="B134" s="68" t="str">
        <f t="shared" si="23"/>
        <v/>
      </c>
      <c r="C134" s="158" t="str">
        <f t="shared" si="24"/>
        <v/>
      </c>
      <c r="D134" s="158" t="str">
        <f t="shared" si="25"/>
        <v/>
      </c>
      <c r="E134" s="157" t="str">
        <f t="shared" si="26"/>
        <v/>
      </c>
      <c r="F134" s="158" t="str">
        <f t="shared" si="27"/>
        <v/>
      </c>
      <c r="G134" s="160" t="str">
        <f t="shared" si="28"/>
        <v/>
      </c>
      <c r="V134" t="str">
        <f t="shared" si="30"/>
        <v/>
      </c>
      <c r="W134" s="18" t="str">
        <f t="shared" si="31"/>
        <v/>
      </c>
      <c r="X134" s="1" t="str">
        <f t="shared" si="34"/>
        <v/>
      </c>
      <c r="Y134" t="str">
        <f t="shared" si="32"/>
        <v/>
      </c>
      <c r="Z134" s="1" t="str">
        <f t="shared" si="33"/>
        <v/>
      </c>
    </row>
    <row r="135" spans="1:26" customFormat="1" x14ac:dyDescent="0.25">
      <c r="A135" s="68" t="str">
        <f t="shared" si="22"/>
        <v/>
      </c>
      <c r="B135" s="68" t="str">
        <f t="shared" si="23"/>
        <v/>
      </c>
      <c r="C135" s="158" t="str">
        <f t="shared" si="24"/>
        <v/>
      </c>
      <c r="D135" s="158" t="str">
        <f t="shared" si="25"/>
        <v/>
      </c>
      <c r="E135" s="157" t="str">
        <f t="shared" si="26"/>
        <v/>
      </c>
      <c r="F135" s="158" t="str">
        <f t="shared" si="27"/>
        <v/>
      </c>
      <c r="G135" s="160" t="str">
        <f t="shared" si="28"/>
        <v/>
      </c>
      <c r="V135" t="str">
        <f t="shared" si="30"/>
        <v/>
      </c>
      <c r="W135" s="18" t="str">
        <f t="shared" si="31"/>
        <v/>
      </c>
      <c r="X135" s="1" t="str">
        <f t="shared" si="34"/>
        <v/>
      </c>
      <c r="Y135" t="str">
        <f t="shared" si="32"/>
        <v/>
      </c>
      <c r="Z135" s="1" t="str">
        <f t="shared" si="33"/>
        <v/>
      </c>
    </row>
    <row r="136" spans="1:26" customFormat="1" x14ac:dyDescent="0.25">
      <c r="A136" s="68" t="str">
        <f t="shared" si="22"/>
        <v/>
      </c>
      <c r="B136" s="68" t="str">
        <f t="shared" si="23"/>
        <v/>
      </c>
      <c r="C136" s="158" t="str">
        <f t="shared" si="24"/>
        <v/>
      </c>
      <c r="D136" s="158" t="str">
        <f t="shared" si="25"/>
        <v/>
      </c>
      <c r="E136" s="157" t="str">
        <f t="shared" si="26"/>
        <v/>
      </c>
      <c r="F136" s="158" t="str">
        <f t="shared" si="27"/>
        <v/>
      </c>
      <c r="G136" s="160" t="str">
        <f t="shared" si="28"/>
        <v/>
      </c>
      <c r="V136" t="str">
        <f t="shared" si="30"/>
        <v/>
      </c>
      <c r="W136" s="18" t="str">
        <f t="shared" si="31"/>
        <v/>
      </c>
      <c r="X136" s="1" t="str">
        <f t="shared" si="34"/>
        <v/>
      </c>
      <c r="Y136" t="str">
        <f t="shared" si="32"/>
        <v/>
      </c>
      <c r="Z136" s="1" t="str">
        <f t="shared" si="33"/>
        <v/>
      </c>
    </row>
    <row r="137" spans="1:26" customFormat="1" x14ac:dyDescent="0.25">
      <c r="A137" s="68" t="str">
        <f t="shared" si="22"/>
        <v/>
      </c>
      <c r="B137" s="68" t="str">
        <f t="shared" si="23"/>
        <v/>
      </c>
      <c r="C137" s="158" t="str">
        <f t="shared" si="24"/>
        <v/>
      </c>
      <c r="D137" s="158" t="str">
        <f t="shared" si="25"/>
        <v/>
      </c>
      <c r="E137" s="157" t="str">
        <f t="shared" si="26"/>
        <v/>
      </c>
      <c r="F137" s="158" t="str">
        <f t="shared" si="27"/>
        <v/>
      </c>
      <c r="G137" s="160" t="str">
        <f t="shared" si="28"/>
        <v/>
      </c>
      <c r="V137" t="str">
        <f t="shared" si="30"/>
        <v/>
      </c>
      <c r="W137" s="18" t="str">
        <f t="shared" si="31"/>
        <v/>
      </c>
      <c r="X137" s="1" t="str">
        <f t="shared" si="34"/>
        <v/>
      </c>
      <c r="Y137" t="str">
        <f t="shared" si="32"/>
        <v/>
      </c>
      <c r="Z137" s="1" t="str">
        <f t="shared" si="33"/>
        <v/>
      </c>
    </row>
    <row r="138" spans="1:26" customFormat="1" x14ac:dyDescent="0.25">
      <c r="A138" s="68" t="str">
        <f t="shared" si="22"/>
        <v/>
      </c>
      <c r="B138" s="68" t="str">
        <f t="shared" si="23"/>
        <v/>
      </c>
      <c r="C138" s="158" t="str">
        <f t="shared" si="24"/>
        <v/>
      </c>
      <c r="D138" s="158" t="str">
        <f t="shared" si="25"/>
        <v/>
      </c>
      <c r="E138" s="157" t="str">
        <f t="shared" si="26"/>
        <v/>
      </c>
      <c r="F138" s="158" t="str">
        <f t="shared" si="27"/>
        <v/>
      </c>
      <c r="G138" s="160" t="str">
        <f t="shared" si="28"/>
        <v/>
      </c>
      <c r="V138" t="str">
        <f t="shared" si="30"/>
        <v/>
      </c>
      <c r="W138" s="18" t="str">
        <f t="shared" si="31"/>
        <v/>
      </c>
      <c r="X138" s="1" t="str">
        <f t="shared" si="34"/>
        <v/>
      </c>
      <c r="Y138" t="str">
        <f t="shared" si="32"/>
        <v/>
      </c>
      <c r="Z138" s="1" t="str">
        <f t="shared" si="33"/>
        <v/>
      </c>
    </row>
    <row r="139" spans="1:26" customFormat="1" x14ac:dyDescent="0.25">
      <c r="A139" s="68" t="str">
        <f t="shared" si="22"/>
        <v/>
      </c>
      <c r="B139" s="68" t="str">
        <f t="shared" si="23"/>
        <v/>
      </c>
      <c r="C139" s="158" t="str">
        <f t="shared" si="24"/>
        <v/>
      </c>
      <c r="D139" s="158" t="str">
        <f t="shared" si="25"/>
        <v/>
      </c>
      <c r="E139" s="157" t="str">
        <f t="shared" si="26"/>
        <v/>
      </c>
      <c r="F139" s="158" t="str">
        <f t="shared" si="27"/>
        <v/>
      </c>
      <c r="G139" s="160" t="str">
        <f t="shared" si="28"/>
        <v/>
      </c>
      <c r="V139" t="str">
        <f t="shared" si="30"/>
        <v/>
      </c>
      <c r="W139" s="18" t="str">
        <f t="shared" si="31"/>
        <v/>
      </c>
      <c r="X139" s="1" t="str">
        <f t="shared" si="34"/>
        <v/>
      </c>
      <c r="Y139" t="str">
        <f t="shared" si="32"/>
        <v/>
      </c>
      <c r="Z139" s="1" t="str">
        <f t="shared" si="33"/>
        <v/>
      </c>
    </row>
    <row r="140" spans="1:26" customFormat="1" x14ac:dyDescent="0.25">
      <c r="A140" s="68" t="str">
        <f t="shared" si="22"/>
        <v/>
      </c>
      <c r="B140" s="68" t="str">
        <f t="shared" si="23"/>
        <v/>
      </c>
      <c r="C140" s="158" t="str">
        <f t="shared" si="24"/>
        <v/>
      </c>
      <c r="D140" s="158" t="str">
        <f t="shared" si="25"/>
        <v/>
      </c>
      <c r="E140" s="157" t="str">
        <f t="shared" si="26"/>
        <v/>
      </c>
      <c r="F140" s="158" t="str">
        <f t="shared" si="27"/>
        <v/>
      </c>
      <c r="G140" s="160" t="str">
        <f t="shared" si="28"/>
        <v/>
      </c>
      <c r="V140" t="str">
        <f t="shared" si="30"/>
        <v/>
      </c>
      <c r="W140" s="18" t="str">
        <f t="shared" si="31"/>
        <v/>
      </c>
      <c r="X140" s="1" t="str">
        <f t="shared" si="34"/>
        <v/>
      </c>
      <c r="Y140" t="str">
        <f t="shared" si="32"/>
        <v/>
      </c>
      <c r="Z140" s="1" t="str">
        <f t="shared" si="33"/>
        <v/>
      </c>
    </row>
    <row r="141" spans="1:26" customFormat="1" x14ac:dyDescent="0.25">
      <c r="A141" s="68" t="str">
        <f t="shared" si="22"/>
        <v/>
      </c>
      <c r="B141" s="68" t="str">
        <f t="shared" si="23"/>
        <v/>
      </c>
      <c r="C141" s="158" t="str">
        <f t="shared" si="24"/>
        <v/>
      </c>
      <c r="D141" s="158" t="str">
        <f t="shared" si="25"/>
        <v/>
      </c>
      <c r="E141" s="157" t="str">
        <f t="shared" si="26"/>
        <v/>
      </c>
      <c r="F141" s="158" t="str">
        <f t="shared" si="27"/>
        <v/>
      </c>
      <c r="G141" s="160" t="str">
        <f t="shared" si="28"/>
        <v/>
      </c>
      <c r="V141" t="str">
        <f t="shared" si="30"/>
        <v/>
      </c>
      <c r="W141" s="18" t="str">
        <f t="shared" si="31"/>
        <v/>
      </c>
      <c r="X141" s="1" t="str">
        <f t="shared" si="34"/>
        <v/>
      </c>
      <c r="Y141" t="str">
        <f t="shared" si="32"/>
        <v/>
      </c>
      <c r="Z141" s="1" t="str">
        <f t="shared" si="33"/>
        <v/>
      </c>
    </row>
    <row r="142" spans="1:26" customFormat="1" x14ac:dyDescent="0.25">
      <c r="A142" s="68" t="str">
        <f t="shared" si="22"/>
        <v/>
      </c>
      <c r="B142" s="68" t="str">
        <f t="shared" si="23"/>
        <v/>
      </c>
      <c r="C142" s="158" t="str">
        <f t="shared" si="24"/>
        <v/>
      </c>
      <c r="D142" s="158" t="str">
        <f t="shared" si="25"/>
        <v/>
      </c>
      <c r="E142" s="157" t="str">
        <f t="shared" si="26"/>
        <v/>
      </c>
      <c r="F142" s="158" t="str">
        <f t="shared" si="27"/>
        <v/>
      </c>
      <c r="G142" s="160" t="str">
        <f t="shared" si="28"/>
        <v/>
      </c>
      <c r="V142" t="str">
        <f t="shared" si="30"/>
        <v/>
      </c>
      <c r="W142" s="18" t="str">
        <f t="shared" si="31"/>
        <v/>
      </c>
      <c r="X142" s="1" t="str">
        <f t="shared" si="34"/>
        <v/>
      </c>
      <c r="Y142" t="str">
        <f t="shared" si="32"/>
        <v/>
      </c>
      <c r="Z142" s="1" t="str">
        <f t="shared" si="33"/>
        <v/>
      </c>
    </row>
    <row r="143" spans="1:26" customFormat="1" x14ac:dyDescent="0.25">
      <c r="A143" s="68" t="str">
        <f t="shared" si="22"/>
        <v/>
      </c>
      <c r="B143" s="68" t="str">
        <f t="shared" si="23"/>
        <v/>
      </c>
      <c r="C143" s="158" t="str">
        <f t="shared" si="24"/>
        <v/>
      </c>
      <c r="D143" s="158" t="str">
        <f t="shared" si="25"/>
        <v/>
      </c>
      <c r="E143" s="157" t="str">
        <f t="shared" si="26"/>
        <v/>
      </c>
      <c r="F143" s="158" t="str">
        <f t="shared" si="27"/>
        <v/>
      </c>
      <c r="G143" s="160" t="str">
        <f t="shared" si="28"/>
        <v/>
      </c>
      <c r="V143" t="str">
        <f t="shared" si="30"/>
        <v/>
      </c>
      <c r="W143" s="18" t="str">
        <f t="shared" si="31"/>
        <v/>
      </c>
      <c r="X143" s="1" t="str">
        <f t="shared" si="34"/>
        <v/>
      </c>
      <c r="Y143" t="str">
        <f t="shared" si="32"/>
        <v/>
      </c>
      <c r="Z143" s="1" t="str">
        <f t="shared" si="33"/>
        <v/>
      </c>
    </row>
    <row r="144" spans="1:26" customFormat="1" x14ac:dyDescent="0.25">
      <c r="A144" s="68" t="str">
        <f t="shared" si="22"/>
        <v/>
      </c>
      <c r="B144" s="68" t="str">
        <f t="shared" si="23"/>
        <v/>
      </c>
      <c r="C144" s="158" t="str">
        <f t="shared" si="24"/>
        <v/>
      </c>
      <c r="D144" s="158" t="str">
        <f t="shared" si="25"/>
        <v/>
      </c>
      <c r="E144" s="157" t="str">
        <f t="shared" si="26"/>
        <v/>
      </c>
      <c r="F144" s="158" t="str">
        <f t="shared" si="27"/>
        <v/>
      </c>
      <c r="G144" s="160" t="str">
        <f t="shared" si="28"/>
        <v/>
      </c>
      <c r="V144" t="str">
        <f t="shared" si="30"/>
        <v/>
      </c>
      <c r="W144" s="18" t="str">
        <f t="shared" si="31"/>
        <v/>
      </c>
      <c r="X144" s="1" t="str">
        <f t="shared" si="34"/>
        <v/>
      </c>
      <c r="Y144" t="str">
        <f t="shared" si="32"/>
        <v/>
      </c>
      <c r="Z144" s="1" t="str">
        <f t="shared" si="33"/>
        <v/>
      </c>
    </row>
    <row r="145" spans="1:26" customFormat="1" x14ac:dyDescent="0.25">
      <c r="A145" s="68" t="str">
        <f t="shared" si="22"/>
        <v/>
      </c>
      <c r="B145" s="68" t="str">
        <f t="shared" si="23"/>
        <v/>
      </c>
      <c r="C145" s="158" t="str">
        <f t="shared" si="24"/>
        <v/>
      </c>
      <c r="D145" s="158" t="str">
        <f t="shared" si="25"/>
        <v/>
      </c>
      <c r="E145" s="157" t="str">
        <f t="shared" si="26"/>
        <v/>
      </c>
      <c r="F145" s="158" t="str">
        <f t="shared" si="27"/>
        <v/>
      </c>
      <c r="G145" s="160" t="str">
        <f t="shared" si="28"/>
        <v/>
      </c>
      <c r="V145" t="str">
        <f t="shared" si="30"/>
        <v/>
      </c>
      <c r="W145" s="18" t="str">
        <f t="shared" si="31"/>
        <v/>
      </c>
      <c r="X145" s="1" t="str">
        <f t="shared" si="34"/>
        <v/>
      </c>
      <c r="Y145" t="str">
        <f t="shared" si="32"/>
        <v/>
      </c>
      <c r="Z145" s="1" t="str">
        <f t="shared" si="33"/>
        <v/>
      </c>
    </row>
    <row r="146" spans="1:26" customFormat="1" x14ac:dyDescent="0.25">
      <c r="A146" s="68" t="str">
        <f t="shared" si="22"/>
        <v/>
      </c>
      <c r="B146" s="68" t="str">
        <f t="shared" si="23"/>
        <v/>
      </c>
      <c r="C146" s="158" t="str">
        <f t="shared" si="24"/>
        <v/>
      </c>
      <c r="D146" s="158" t="str">
        <f t="shared" si="25"/>
        <v/>
      </c>
      <c r="E146" s="157" t="str">
        <f t="shared" si="26"/>
        <v/>
      </c>
      <c r="F146" s="158" t="str">
        <f t="shared" si="27"/>
        <v/>
      </c>
      <c r="G146" s="160" t="str">
        <f t="shared" si="28"/>
        <v/>
      </c>
      <c r="V146" t="str">
        <f t="shared" si="30"/>
        <v/>
      </c>
      <c r="W146" s="18" t="str">
        <f t="shared" si="31"/>
        <v/>
      </c>
      <c r="X146" s="1" t="str">
        <f t="shared" si="34"/>
        <v/>
      </c>
      <c r="Y146" t="str">
        <f t="shared" si="32"/>
        <v/>
      </c>
      <c r="Z146" s="1" t="str">
        <f t="shared" si="33"/>
        <v/>
      </c>
    </row>
    <row r="147" spans="1:26" customFormat="1" x14ac:dyDescent="0.25">
      <c r="A147" s="68" t="str">
        <f t="shared" si="22"/>
        <v/>
      </c>
      <c r="B147" s="68" t="str">
        <f t="shared" si="23"/>
        <v/>
      </c>
      <c r="C147" s="158" t="str">
        <f t="shared" si="24"/>
        <v/>
      </c>
      <c r="D147" s="158" t="str">
        <f t="shared" si="25"/>
        <v/>
      </c>
      <c r="E147" s="157" t="str">
        <f t="shared" si="26"/>
        <v/>
      </c>
      <c r="F147" s="158" t="str">
        <f t="shared" si="27"/>
        <v/>
      </c>
      <c r="G147" s="160" t="str">
        <f t="shared" si="28"/>
        <v/>
      </c>
      <c r="V147" t="str">
        <f t="shared" si="30"/>
        <v/>
      </c>
      <c r="W147" s="18" t="str">
        <f t="shared" si="31"/>
        <v/>
      </c>
      <c r="X147" s="1" t="str">
        <f t="shared" si="34"/>
        <v/>
      </c>
      <c r="Y147" t="str">
        <f t="shared" si="32"/>
        <v/>
      </c>
      <c r="Z147" s="1" t="str">
        <f t="shared" si="33"/>
        <v/>
      </c>
    </row>
    <row r="148" spans="1:26" customFormat="1" x14ac:dyDescent="0.25">
      <c r="A148" s="68" t="str">
        <f t="shared" ref="A148:A211" si="35">IF(A147&lt;B$17,A147+1,"")</f>
        <v/>
      </c>
      <c r="B148" s="68" t="str">
        <f t="shared" ref="B148:B211" si="36">IF(A148="","",IF(A148&lt;=B$16,"carência","amortização"))</f>
        <v/>
      </c>
      <c r="C148" s="158" t="str">
        <f t="shared" si="24"/>
        <v/>
      </c>
      <c r="D148" s="158" t="str">
        <f t="shared" si="25"/>
        <v/>
      </c>
      <c r="E148" s="157" t="str">
        <f t="shared" si="26"/>
        <v/>
      </c>
      <c r="F148" s="158" t="str">
        <f t="shared" si="27"/>
        <v/>
      </c>
      <c r="G148" s="160" t="str">
        <f t="shared" si="28"/>
        <v/>
      </c>
      <c r="V148" t="str">
        <f t="shared" si="30"/>
        <v/>
      </c>
      <c r="W148" s="18" t="str">
        <f t="shared" si="31"/>
        <v/>
      </c>
      <c r="X148" s="1" t="str">
        <f t="shared" si="34"/>
        <v/>
      </c>
      <c r="Y148" t="str">
        <f t="shared" si="32"/>
        <v/>
      </c>
      <c r="Z148" s="1" t="str">
        <f t="shared" si="33"/>
        <v/>
      </c>
    </row>
    <row r="149" spans="1:26" customFormat="1" x14ac:dyDescent="0.25">
      <c r="A149" s="68" t="str">
        <f t="shared" si="35"/>
        <v/>
      </c>
      <c r="B149" s="68" t="str">
        <f t="shared" si="36"/>
        <v/>
      </c>
      <c r="C149" s="158" t="str">
        <f t="shared" si="24"/>
        <v/>
      </c>
      <c r="D149" s="158" t="str">
        <f t="shared" si="25"/>
        <v/>
      </c>
      <c r="E149" s="157" t="str">
        <f t="shared" si="26"/>
        <v/>
      </c>
      <c r="F149" s="158" t="str">
        <f t="shared" si="27"/>
        <v/>
      </c>
      <c r="G149" s="160" t="str">
        <f t="shared" si="28"/>
        <v/>
      </c>
      <c r="V149" t="str">
        <f t="shared" si="30"/>
        <v/>
      </c>
      <c r="W149" s="18" t="str">
        <f t="shared" si="31"/>
        <v/>
      </c>
      <c r="X149" s="1" t="str">
        <f t="shared" si="34"/>
        <v/>
      </c>
      <c r="Y149" t="str">
        <f t="shared" si="32"/>
        <v/>
      </c>
      <c r="Z149" s="1" t="str">
        <f t="shared" si="33"/>
        <v/>
      </c>
    </row>
    <row r="150" spans="1:26" customFormat="1" x14ac:dyDescent="0.25">
      <c r="A150" s="68" t="str">
        <f t="shared" si="35"/>
        <v/>
      </c>
      <c r="B150" s="68" t="str">
        <f t="shared" si="36"/>
        <v/>
      </c>
      <c r="C150" s="158" t="str">
        <f t="shared" ref="C150:C213" si="37">IF(A150="","",IF(A150&gt;B$17,0,($C$23+1)^(22/252)-1)*(F149+D150))</f>
        <v/>
      </c>
      <c r="D150" s="158" t="str">
        <f t="shared" si="25"/>
        <v/>
      </c>
      <c r="E150" s="157" t="str">
        <f t="shared" si="26"/>
        <v/>
      </c>
      <c r="F150" s="158" t="str">
        <f t="shared" si="27"/>
        <v/>
      </c>
      <c r="G150" s="160" t="str">
        <f t="shared" si="28"/>
        <v/>
      </c>
      <c r="V150" t="str">
        <f t="shared" si="30"/>
        <v/>
      </c>
      <c r="W150" s="18" t="str">
        <f t="shared" si="31"/>
        <v/>
      </c>
      <c r="X150" s="1" t="str">
        <f t="shared" si="34"/>
        <v/>
      </c>
      <c r="Y150" t="str">
        <f t="shared" si="32"/>
        <v/>
      </c>
      <c r="Z150" s="1" t="str">
        <f t="shared" si="33"/>
        <v/>
      </c>
    </row>
    <row r="151" spans="1:26" customFormat="1" x14ac:dyDescent="0.25">
      <c r="A151" s="68" t="str">
        <f t="shared" si="35"/>
        <v/>
      </c>
      <c r="B151" s="68" t="str">
        <f t="shared" si="36"/>
        <v/>
      </c>
      <c r="C151" s="158" t="str">
        <f t="shared" si="37"/>
        <v/>
      </c>
      <c r="D151" s="158" t="str">
        <f t="shared" si="25"/>
        <v/>
      </c>
      <c r="E151" s="157" t="str">
        <f t="shared" si="26"/>
        <v/>
      </c>
      <c r="F151" s="158" t="str">
        <f t="shared" si="27"/>
        <v/>
      </c>
      <c r="G151" s="160" t="str">
        <f t="shared" si="28"/>
        <v/>
      </c>
      <c r="V151" t="str">
        <f t="shared" si="30"/>
        <v/>
      </c>
      <c r="W151" s="18" t="str">
        <f t="shared" si="31"/>
        <v/>
      </c>
      <c r="X151" s="1" t="str">
        <f t="shared" si="34"/>
        <v/>
      </c>
      <c r="Y151" t="str">
        <f t="shared" si="32"/>
        <v/>
      </c>
      <c r="Z151" s="1" t="str">
        <f t="shared" si="33"/>
        <v/>
      </c>
    </row>
    <row r="152" spans="1:26" customFormat="1" x14ac:dyDescent="0.25">
      <c r="A152" s="68" t="str">
        <f t="shared" si="35"/>
        <v/>
      </c>
      <c r="B152" s="68" t="str">
        <f t="shared" si="36"/>
        <v/>
      </c>
      <c r="C152" s="158" t="str">
        <f t="shared" si="37"/>
        <v/>
      </c>
      <c r="D152" s="158" t="str">
        <f t="shared" ref="D152:D215" si="38">IF(A152="","",IF(A152&gt;B$17,0,($D$23+1)^(22/252)-1)*(F151))</f>
        <v/>
      </c>
      <c r="E152" s="157" t="str">
        <f t="shared" si="26"/>
        <v/>
      </c>
      <c r="F152" s="158" t="str">
        <f t="shared" si="27"/>
        <v/>
      </c>
      <c r="G152" s="160" t="str">
        <f t="shared" si="28"/>
        <v/>
      </c>
      <c r="V152" t="str">
        <f t="shared" si="30"/>
        <v/>
      </c>
      <c r="W152" s="18" t="str">
        <f t="shared" si="31"/>
        <v/>
      </c>
      <c r="X152" s="1" t="str">
        <f t="shared" si="34"/>
        <v/>
      </c>
      <c r="Y152" t="str">
        <f t="shared" si="32"/>
        <v/>
      </c>
      <c r="Z152" s="1" t="str">
        <f t="shared" si="33"/>
        <v/>
      </c>
    </row>
    <row r="153" spans="1:26" customFormat="1" x14ac:dyDescent="0.25">
      <c r="A153" s="68" t="str">
        <f t="shared" si="35"/>
        <v/>
      </c>
      <c r="B153" s="68" t="str">
        <f t="shared" si="36"/>
        <v/>
      </c>
      <c r="C153" s="158" t="str">
        <f t="shared" si="37"/>
        <v/>
      </c>
      <c r="D153" s="158" t="str">
        <f t="shared" si="38"/>
        <v/>
      </c>
      <c r="E153" s="157" t="str">
        <f t="shared" si="26"/>
        <v/>
      </c>
      <c r="F153" s="158" t="str">
        <f t="shared" si="27"/>
        <v/>
      </c>
      <c r="G153" s="160" t="str">
        <f t="shared" si="28"/>
        <v/>
      </c>
      <c r="V153" t="str">
        <f t="shared" si="30"/>
        <v/>
      </c>
      <c r="W153" s="18" t="str">
        <f t="shared" si="31"/>
        <v/>
      </c>
      <c r="X153" s="1" t="str">
        <f t="shared" si="34"/>
        <v/>
      </c>
      <c r="Y153" t="str">
        <f t="shared" si="32"/>
        <v/>
      </c>
      <c r="Z153" s="1" t="str">
        <f t="shared" si="33"/>
        <v/>
      </c>
    </row>
    <row r="154" spans="1:26" customFormat="1" x14ac:dyDescent="0.25">
      <c r="A154" s="68" t="str">
        <f t="shared" si="35"/>
        <v/>
      </c>
      <c r="B154" s="68" t="str">
        <f t="shared" si="36"/>
        <v/>
      </c>
      <c r="C154" s="158" t="str">
        <f t="shared" si="37"/>
        <v/>
      </c>
      <c r="D154" s="158" t="str">
        <f t="shared" si="38"/>
        <v/>
      </c>
      <c r="E154" s="157" t="str">
        <f t="shared" si="26"/>
        <v/>
      </c>
      <c r="F154" s="158" t="str">
        <f t="shared" si="27"/>
        <v/>
      </c>
      <c r="G154" s="160" t="str">
        <f t="shared" si="28"/>
        <v/>
      </c>
      <c r="V154" t="str">
        <f t="shared" si="30"/>
        <v/>
      </c>
      <c r="W154" s="18" t="str">
        <f t="shared" si="31"/>
        <v/>
      </c>
      <c r="X154" s="1" t="str">
        <f t="shared" si="34"/>
        <v/>
      </c>
      <c r="Y154" t="str">
        <f t="shared" si="32"/>
        <v/>
      </c>
      <c r="Z154" s="1" t="str">
        <f t="shared" si="33"/>
        <v/>
      </c>
    </row>
    <row r="155" spans="1:26" customFormat="1" x14ac:dyDescent="0.25">
      <c r="A155" s="68" t="str">
        <f t="shared" si="35"/>
        <v/>
      </c>
      <c r="B155" s="68" t="str">
        <f t="shared" si="36"/>
        <v/>
      </c>
      <c r="C155" s="158" t="str">
        <f t="shared" si="37"/>
        <v/>
      </c>
      <c r="D155" s="158" t="str">
        <f t="shared" si="38"/>
        <v/>
      </c>
      <c r="E155" s="157" t="str">
        <f t="shared" ref="E155:E218" si="39">IF(A155="","",IF(A155&lt;=B$16,0,F$23/(B$17-B$16)))</f>
        <v/>
      </c>
      <c r="F155" s="158" t="str">
        <f t="shared" ref="F155:F218" si="40">IF(A155="","",F154-E155)</f>
        <v/>
      </c>
      <c r="G155" s="160" t="str">
        <f t="shared" ref="G155:G218" si="41">IF(A155="","",C155+D155+E155)</f>
        <v/>
      </c>
      <c r="V155" t="str">
        <f t="shared" si="30"/>
        <v/>
      </c>
      <c r="W155" s="18" t="str">
        <f t="shared" si="31"/>
        <v/>
      </c>
      <c r="X155" s="1" t="str">
        <f t="shared" si="34"/>
        <v/>
      </c>
      <c r="Y155" t="str">
        <f t="shared" si="32"/>
        <v/>
      </c>
      <c r="Z155" s="1" t="str">
        <f t="shared" si="33"/>
        <v/>
      </c>
    </row>
    <row r="156" spans="1:26" customFormat="1" x14ac:dyDescent="0.25">
      <c r="A156" s="68" t="str">
        <f t="shared" si="35"/>
        <v/>
      </c>
      <c r="B156" s="68" t="str">
        <f t="shared" si="36"/>
        <v/>
      </c>
      <c r="C156" s="158" t="str">
        <f t="shared" si="37"/>
        <v/>
      </c>
      <c r="D156" s="158" t="str">
        <f t="shared" si="38"/>
        <v/>
      </c>
      <c r="E156" s="157" t="str">
        <f t="shared" si="39"/>
        <v/>
      </c>
      <c r="F156" s="158" t="str">
        <f t="shared" si="40"/>
        <v/>
      </c>
      <c r="G156" s="160" t="str">
        <f t="shared" si="41"/>
        <v/>
      </c>
      <c r="V156" t="str">
        <f t="shared" si="30"/>
        <v/>
      </c>
      <c r="W156" s="18" t="str">
        <f t="shared" si="31"/>
        <v/>
      </c>
      <c r="X156" s="1" t="str">
        <f t="shared" si="34"/>
        <v/>
      </c>
      <c r="Y156" t="str">
        <f t="shared" si="32"/>
        <v/>
      </c>
      <c r="Z156" s="1" t="str">
        <f t="shared" si="33"/>
        <v/>
      </c>
    </row>
    <row r="157" spans="1:26" customFormat="1" x14ac:dyDescent="0.25">
      <c r="A157" s="68" t="str">
        <f t="shared" si="35"/>
        <v/>
      </c>
      <c r="B157" s="68" t="str">
        <f t="shared" si="36"/>
        <v/>
      </c>
      <c r="C157" s="158" t="str">
        <f t="shared" si="37"/>
        <v/>
      </c>
      <c r="D157" s="158" t="str">
        <f t="shared" si="38"/>
        <v/>
      </c>
      <c r="E157" s="157" t="str">
        <f t="shared" si="39"/>
        <v/>
      </c>
      <c r="F157" s="158" t="str">
        <f t="shared" si="40"/>
        <v/>
      </c>
      <c r="G157" s="160" t="str">
        <f t="shared" si="41"/>
        <v/>
      </c>
      <c r="V157" t="str">
        <f t="shared" si="30"/>
        <v/>
      </c>
      <c r="W157" s="18" t="str">
        <f t="shared" si="31"/>
        <v/>
      </c>
      <c r="X157" s="1" t="str">
        <f t="shared" si="34"/>
        <v/>
      </c>
      <c r="Y157" t="str">
        <f t="shared" si="32"/>
        <v/>
      </c>
      <c r="Z157" s="1" t="str">
        <f t="shared" si="33"/>
        <v/>
      </c>
    </row>
    <row r="158" spans="1:26" customFormat="1" x14ac:dyDescent="0.25">
      <c r="A158" s="68" t="str">
        <f t="shared" si="35"/>
        <v/>
      </c>
      <c r="B158" s="68" t="str">
        <f t="shared" si="36"/>
        <v/>
      </c>
      <c r="C158" s="158" t="str">
        <f t="shared" si="37"/>
        <v/>
      </c>
      <c r="D158" s="158" t="str">
        <f t="shared" si="38"/>
        <v/>
      </c>
      <c r="E158" s="157" t="str">
        <f t="shared" si="39"/>
        <v/>
      </c>
      <c r="F158" s="158" t="str">
        <f t="shared" si="40"/>
        <v/>
      </c>
      <c r="G158" s="160" t="str">
        <f t="shared" si="41"/>
        <v/>
      </c>
      <c r="V158" t="str">
        <f t="shared" si="30"/>
        <v/>
      </c>
      <c r="W158" s="18" t="str">
        <f t="shared" si="31"/>
        <v/>
      </c>
      <c r="X158" s="1" t="str">
        <f t="shared" ref="X158:X189" si="42">IF(W158="","",IF(V158&lt;=B$16,0,X$27/(B$17-B$16)))</f>
        <v/>
      </c>
      <c r="Y158" t="str">
        <f t="shared" si="32"/>
        <v/>
      </c>
      <c r="Z158" s="1" t="str">
        <f t="shared" si="33"/>
        <v/>
      </c>
    </row>
    <row r="159" spans="1:26" customFormat="1" x14ac:dyDescent="0.25">
      <c r="A159" s="68" t="str">
        <f t="shared" si="35"/>
        <v/>
      </c>
      <c r="B159" s="68" t="str">
        <f t="shared" si="36"/>
        <v/>
      </c>
      <c r="C159" s="158" t="str">
        <f t="shared" si="37"/>
        <v/>
      </c>
      <c r="D159" s="158" t="str">
        <f t="shared" si="38"/>
        <v/>
      </c>
      <c r="E159" s="157" t="str">
        <f t="shared" si="39"/>
        <v/>
      </c>
      <c r="F159" s="158" t="str">
        <f t="shared" si="40"/>
        <v/>
      </c>
      <c r="G159" s="160" t="str">
        <f t="shared" si="41"/>
        <v/>
      </c>
      <c r="V159" t="str">
        <f t="shared" si="30"/>
        <v/>
      </c>
      <c r="W159" s="18" t="str">
        <f t="shared" si="31"/>
        <v/>
      </c>
      <c r="X159" s="1" t="str">
        <f t="shared" si="42"/>
        <v/>
      </c>
      <c r="Y159" t="str">
        <f t="shared" si="32"/>
        <v/>
      </c>
      <c r="Z159" s="1" t="str">
        <f t="shared" si="33"/>
        <v/>
      </c>
    </row>
    <row r="160" spans="1:26" customFormat="1" x14ac:dyDescent="0.25">
      <c r="A160" s="68" t="str">
        <f t="shared" si="35"/>
        <v/>
      </c>
      <c r="B160" s="68" t="str">
        <f t="shared" si="36"/>
        <v/>
      </c>
      <c r="C160" s="158" t="str">
        <f t="shared" si="37"/>
        <v/>
      </c>
      <c r="D160" s="158" t="str">
        <f t="shared" si="38"/>
        <v/>
      </c>
      <c r="E160" s="157" t="str">
        <f t="shared" si="39"/>
        <v/>
      </c>
      <c r="F160" s="158" t="str">
        <f t="shared" si="40"/>
        <v/>
      </c>
      <c r="G160" s="160" t="str">
        <f t="shared" si="41"/>
        <v/>
      </c>
      <c r="V160" t="str">
        <f t="shared" ref="V160:V223" si="43">IF(V159&lt;B$17,V159+1,"")</f>
        <v/>
      </c>
      <c r="W160" s="18" t="str">
        <f t="shared" ref="W160:W223" si="44">IF(V160="","",W159+30)</f>
        <v/>
      </c>
      <c r="X160" s="1" t="str">
        <f t="shared" si="42"/>
        <v/>
      </c>
      <c r="Y160" t="str">
        <f t="shared" ref="Y160:Y223" si="45">IF(X160="","",W160-W$30)</f>
        <v/>
      </c>
      <c r="Z160" s="1" t="str">
        <f t="shared" ref="Z160:Z223" si="46">IF(Y160="","",IF(Y160&lt;365,Y160*X160*X$26,365*X160*X$26))</f>
        <v/>
      </c>
    </row>
    <row r="161" spans="1:26" customFormat="1" x14ac:dyDescent="0.25">
      <c r="A161" s="68" t="str">
        <f t="shared" si="35"/>
        <v/>
      </c>
      <c r="B161" s="68" t="str">
        <f t="shared" si="36"/>
        <v/>
      </c>
      <c r="C161" s="158" t="str">
        <f t="shared" si="37"/>
        <v/>
      </c>
      <c r="D161" s="158" t="str">
        <f t="shared" si="38"/>
        <v/>
      </c>
      <c r="E161" s="157" t="str">
        <f t="shared" si="39"/>
        <v/>
      </c>
      <c r="F161" s="158" t="str">
        <f t="shared" si="40"/>
        <v/>
      </c>
      <c r="G161" s="160" t="str">
        <f t="shared" si="41"/>
        <v/>
      </c>
      <c r="V161" t="str">
        <f t="shared" si="43"/>
        <v/>
      </c>
      <c r="W161" s="18" t="str">
        <f t="shared" si="44"/>
        <v/>
      </c>
      <c r="X161" s="1" t="str">
        <f t="shared" si="42"/>
        <v/>
      </c>
      <c r="Y161" t="str">
        <f t="shared" si="45"/>
        <v/>
      </c>
      <c r="Z161" s="1" t="str">
        <f t="shared" si="46"/>
        <v/>
      </c>
    </row>
    <row r="162" spans="1:26" customFormat="1" x14ac:dyDescent="0.25">
      <c r="A162" s="68" t="str">
        <f t="shared" si="35"/>
        <v/>
      </c>
      <c r="B162" s="68" t="str">
        <f t="shared" si="36"/>
        <v/>
      </c>
      <c r="C162" s="158" t="str">
        <f t="shared" si="37"/>
        <v/>
      </c>
      <c r="D162" s="158" t="str">
        <f t="shared" si="38"/>
        <v/>
      </c>
      <c r="E162" s="157" t="str">
        <f t="shared" si="39"/>
        <v/>
      </c>
      <c r="F162" s="158" t="str">
        <f t="shared" si="40"/>
        <v/>
      </c>
      <c r="G162" s="160" t="str">
        <f t="shared" si="41"/>
        <v/>
      </c>
      <c r="V162" t="str">
        <f t="shared" si="43"/>
        <v/>
      </c>
      <c r="W162" s="18" t="str">
        <f t="shared" si="44"/>
        <v/>
      </c>
      <c r="X162" s="1" t="str">
        <f t="shared" si="42"/>
        <v/>
      </c>
      <c r="Y162" t="str">
        <f t="shared" si="45"/>
        <v/>
      </c>
      <c r="Z162" s="1" t="str">
        <f t="shared" si="46"/>
        <v/>
      </c>
    </row>
    <row r="163" spans="1:26" customFormat="1" x14ac:dyDescent="0.25">
      <c r="A163" s="68" t="str">
        <f t="shared" si="35"/>
        <v/>
      </c>
      <c r="B163" s="68" t="str">
        <f t="shared" si="36"/>
        <v/>
      </c>
      <c r="C163" s="158" t="str">
        <f t="shared" si="37"/>
        <v/>
      </c>
      <c r="D163" s="158" t="str">
        <f t="shared" si="38"/>
        <v/>
      </c>
      <c r="E163" s="157" t="str">
        <f t="shared" si="39"/>
        <v/>
      </c>
      <c r="F163" s="158" t="str">
        <f t="shared" si="40"/>
        <v/>
      </c>
      <c r="G163" s="160" t="str">
        <f t="shared" si="41"/>
        <v/>
      </c>
      <c r="V163" t="str">
        <f t="shared" si="43"/>
        <v/>
      </c>
      <c r="W163" s="18" t="str">
        <f t="shared" si="44"/>
        <v/>
      </c>
      <c r="X163" s="1" t="str">
        <f t="shared" si="42"/>
        <v/>
      </c>
      <c r="Y163" t="str">
        <f t="shared" si="45"/>
        <v/>
      </c>
      <c r="Z163" s="1" t="str">
        <f t="shared" si="46"/>
        <v/>
      </c>
    </row>
    <row r="164" spans="1:26" customFormat="1" x14ac:dyDescent="0.25">
      <c r="A164" s="68" t="str">
        <f t="shared" si="35"/>
        <v/>
      </c>
      <c r="B164" s="68" t="str">
        <f t="shared" si="36"/>
        <v/>
      </c>
      <c r="C164" s="158" t="str">
        <f t="shared" si="37"/>
        <v/>
      </c>
      <c r="D164" s="158" t="str">
        <f t="shared" si="38"/>
        <v/>
      </c>
      <c r="E164" s="157" t="str">
        <f t="shared" si="39"/>
        <v/>
      </c>
      <c r="F164" s="158" t="str">
        <f t="shared" si="40"/>
        <v/>
      </c>
      <c r="G164" s="160" t="str">
        <f t="shared" si="41"/>
        <v/>
      </c>
      <c r="V164" t="str">
        <f t="shared" si="43"/>
        <v/>
      </c>
      <c r="W164" s="18" t="str">
        <f t="shared" si="44"/>
        <v/>
      </c>
      <c r="X164" s="1" t="str">
        <f t="shared" si="42"/>
        <v/>
      </c>
      <c r="Y164" t="str">
        <f t="shared" si="45"/>
        <v/>
      </c>
      <c r="Z164" s="1" t="str">
        <f t="shared" si="46"/>
        <v/>
      </c>
    </row>
    <row r="165" spans="1:26" customFormat="1" x14ac:dyDescent="0.25">
      <c r="A165" s="68" t="str">
        <f t="shared" si="35"/>
        <v/>
      </c>
      <c r="B165" s="68" t="str">
        <f t="shared" si="36"/>
        <v/>
      </c>
      <c r="C165" s="158" t="str">
        <f t="shared" si="37"/>
        <v/>
      </c>
      <c r="D165" s="158" t="str">
        <f t="shared" si="38"/>
        <v/>
      </c>
      <c r="E165" s="157" t="str">
        <f t="shared" si="39"/>
        <v/>
      </c>
      <c r="F165" s="158" t="str">
        <f t="shared" si="40"/>
        <v/>
      </c>
      <c r="G165" s="160" t="str">
        <f t="shared" si="41"/>
        <v/>
      </c>
      <c r="V165" t="str">
        <f t="shared" si="43"/>
        <v/>
      </c>
      <c r="W165" s="18" t="str">
        <f t="shared" si="44"/>
        <v/>
      </c>
      <c r="X165" s="1" t="str">
        <f t="shared" si="42"/>
        <v/>
      </c>
      <c r="Y165" t="str">
        <f t="shared" si="45"/>
        <v/>
      </c>
      <c r="Z165" s="1" t="str">
        <f t="shared" si="46"/>
        <v/>
      </c>
    </row>
    <row r="166" spans="1:26" customFormat="1" x14ac:dyDescent="0.25">
      <c r="A166" s="68" t="str">
        <f t="shared" si="35"/>
        <v/>
      </c>
      <c r="B166" s="68" t="str">
        <f t="shared" si="36"/>
        <v/>
      </c>
      <c r="C166" s="158" t="str">
        <f t="shared" si="37"/>
        <v/>
      </c>
      <c r="D166" s="158" t="str">
        <f t="shared" si="38"/>
        <v/>
      </c>
      <c r="E166" s="157" t="str">
        <f t="shared" si="39"/>
        <v/>
      </c>
      <c r="F166" s="158" t="str">
        <f t="shared" si="40"/>
        <v/>
      </c>
      <c r="G166" s="160" t="str">
        <f t="shared" si="41"/>
        <v/>
      </c>
      <c r="V166" t="str">
        <f t="shared" si="43"/>
        <v/>
      </c>
      <c r="W166" s="18" t="str">
        <f t="shared" si="44"/>
        <v/>
      </c>
      <c r="X166" s="1" t="str">
        <f t="shared" si="42"/>
        <v/>
      </c>
      <c r="Y166" t="str">
        <f t="shared" si="45"/>
        <v/>
      </c>
      <c r="Z166" s="1" t="str">
        <f t="shared" si="46"/>
        <v/>
      </c>
    </row>
    <row r="167" spans="1:26" customFormat="1" x14ac:dyDescent="0.25">
      <c r="A167" s="68" t="str">
        <f t="shared" si="35"/>
        <v/>
      </c>
      <c r="B167" s="68" t="str">
        <f t="shared" si="36"/>
        <v/>
      </c>
      <c r="C167" s="158" t="str">
        <f t="shared" si="37"/>
        <v/>
      </c>
      <c r="D167" s="158" t="str">
        <f t="shared" si="38"/>
        <v/>
      </c>
      <c r="E167" s="157" t="str">
        <f t="shared" si="39"/>
        <v/>
      </c>
      <c r="F167" s="158" t="str">
        <f t="shared" si="40"/>
        <v/>
      </c>
      <c r="G167" s="160" t="str">
        <f t="shared" si="41"/>
        <v/>
      </c>
      <c r="V167" t="str">
        <f t="shared" si="43"/>
        <v/>
      </c>
      <c r="W167" s="18" t="str">
        <f t="shared" si="44"/>
        <v/>
      </c>
      <c r="X167" s="1" t="str">
        <f t="shared" si="42"/>
        <v/>
      </c>
      <c r="Y167" t="str">
        <f t="shared" si="45"/>
        <v/>
      </c>
      <c r="Z167" s="1" t="str">
        <f t="shared" si="46"/>
        <v/>
      </c>
    </row>
    <row r="168" spans="1:26" customFormat="1" x14ac:dyDescent="0.25">
      <c r="A168" s="68" t="str">
        <f t="shared" si="35"/>
        <v/>
      </c>
      <c r="B168" s="68" t="str">
        <f t="shared" si="36"/>
        <v/>
      </c>
      <c r="C168" s="158" t="str">
        <f t="shared" si="37"/>
        <v/>
      </c>
      <c r="D168" s="158" t="str">
        <f t="shared" si="38"/>
        <v/>
      </c>
      <c r="E168" s="157" t="str">
        <f t="shared" si="39"/>
        <v/>
      </c>
      <c r="F168" s="158" t="str">
        <f t="shared" si="40"/>
        <v/>
      </c>
      <c r="G168" s="160" t="str">
        <f t="shared" si="41"/>
        <v/>
      </c>
      <c r="V168" t="str">
        <f t="shared" si="43"/>
        <v/>
      </c>
      <c r="W168" s="18" t="str">
        <f t="shared" si="44"/>
        <v/>
      </c>
      <c r="X168" s="1" t="str">
        <f t="shared" si="42"/>
        <v/>
      </c>
      <c r="Y168" t="str">
        <f t="shared" si="45"/>
        <v/>
      </c>
      <c r="Z168" s="1" t="str">
        <f t="shared" si="46"/>
        <v/>
      </c>
    </row>
    <row r="169" spans="1:26" customFormat="1" x14ac:dyDescent="0.25">
      <c r="A169" s="68" t="str">
        <f t="shared" si="35"/>
        <v/>
      </c>
      <c r="B169" s="68" t="str">
        <f t="shared" si="36"/>
        <v/>
      </c>
      <c r="C169" s="158" t="str">
        <f t="shared" si="37"/>
        <v/>
      </c>
      <c r="D169" s="158" t="str">
        <f t="shared" si="38"/>
        <v/>
      </c>
      <c r="E169" s="157" t="str">
        <f t="shared" si="39"/>
        <v/>
      </c>
      <c r="F169" s="158" t="str">
        <f t="shared" si="40"/>
        <v/>
      </c>
      <c r="G169" s="160" t="str">
        <f t="shared" si="41"/>
        <v/>
      </c>
      <c r="V169" t="str">
        <f t="shared" si="43"/>
        <v/>
      </c>
      <c r="W169" s="18" t="str">
        <f t="shared" si="44"/>
        <v/>
      </c>
      <c r="X169" s="1" t="str">
        <f t="shared" si="42"/>
        <v/>
      </c>
      <c r="Y169" t="str">
        <f t="shared" si="45"/>
        <v/>
      </c>
      <c r="Z169" s="1" t="str">
        <f t="shared" si="46"/>
        <v/>
      </c>
    </row>
    <row r="170" spans="1:26" customFormat="1" x14ac:dyDescent="0.25">
      <c r="A170" s="68" t="str">
        <f t="shared" si="35"/>
        <v/>
      </c>
      <c r="B170" s="68" t="str">
        <f t="shared" si="36"/>
        <v/>
      </c>
      <c r="C170" s="158" t="str">
        <f t="shared" si="37"/>
        <v/>
      </c>
      <c r="D170" s="158" t="str">
        <f t="shared" si="38"/>
        <v/>
      </c>
      <c r="E170" s="157" t="str">
        <f t="shared" si="39"/>
        <v/>
      </c>
      <c r="F170" s="158" t="str">
        <f t="shared" si="40"/>
        <v/>
      </c>
      <c r="G170" s="160" t="str">
        <f t="shared" si="41"/>
        <v/>
      </c>
      <c r="V170" t="str">
        <f t="shared" si="43"/>
        <v/>
      </c>
      <c r="W170" s="18" t="str">
        <f t="shared" si="44"/>
        <v/>
      </c>
      <c r="X170" s="1" t="str">
        <f t="shared" si="42"/>
        <v/>
      </c>
      <c r="Y170" t="str">
        <f t="shared" si="45"/>
        <v/>
      </c>
      <c r="Z170" s="1" t="str">
        <f t="shared" si="46"/>
        <v/>
      </c>
    </row>
    <row r="171" spans="1:26" customFormat="1" x14ac:dyDescent="0.25">
      <c r="A171" s="68" t="str">
        <f t="shared" si="35"/>
        <v/>
      </c>
      <c r="B171" s="68" t="str">
        <f t="shared" si="36"/>
        <v/>
      </c>
      <c r="C171" s="158" t="str">
        <f t="shared" si="37"/>
        <v/>
      </c>
      <c r="D171" s="158" t="str">
        <f t="shared" si="38"/>
        <v/>
      </c>
      <c r="E171" s="157" t="str">
        <f t="shared" si="39"/>
        <v/>
      </c>
      <c r="F171" s="158" t="str">
        <f t="shared" si="40"/>
        <v/>
      </c>
      <c r="G171" s="160" t="str">
        <f t="shared" si="41"/>
        <v/>
      </c>
      <c r="V171" t="str">
        <f t="shared" si="43"/>
        <v/>
      </c>
      <c r="W171" s="18" t="str">
        <f t="shared" si="44"/>
        <v/>
      </c>
      <c r="X171" s="1" t="str">
        <f t="shared" si="42"/>
        <v/>
      </c>
      <c r="Y171" t="str">
        <f t="shared" si="45"/>
        <v/>
      </c>
      <c r="Z171" s="1" t="str">
        <f t="shared" si="46"/>
        <v/>
      </c>
    </row>
    <row r="172" spans="1:26" customFormat="1" x14ac:dyDescent="0.25">
      <c r="A172" s="68" t="str">
        <f t="shared" si="35"/>
        <v/>
      </c>
      <c r="B172" s="68" t="str">
        <f t="shared" si="36"/>
        <v/>
      </c>
      <c r="C172" s="158" t="str">
        <f t="shared" si="37"/>
        <v/>
      </c>
      <c r="D172" s="158" t="str">
        <f t="shared" si="38"/>
        <v/>
      </c>
      <c r="E172" s="157" t="str">
        <f t="shared" si="39"/>
        <v/>
      </c>
      <c r="F172" s="158" t="str">
        <f t="shared" si="40"/>
        <v/>
      </c>
      <c r="G172" s="160" t="str">
        <f t="shared" si="41"/>
        <v/>
      </c>
      <c r="V172" t="str">
        <f t="shared" si="43"/>
        <v/>
      </c>
      <c r="W172" s="18" t="str">
        <f t="shared" si="44"/>
        <v/>
      </c>
      <c r="X172" s="1" t="str">
        <f t="shared" si="42"/>
        <v/>
      </c>
      <c r="Y172" t="str">
        <f t="shared" si="45"/>
        <v/>
      </c>
      <c r="Z172" s="1" t="str">
        <f t="shared" si="46"/>
        <v/>
      </c>
    </row>
    <row r="173" spans="1:26" customFormat="1" x14ac:dyDescent="0.25">
      <c r="A173" s="68" t="str">
        <f t="shared" si="35"/>
        <v/>
      </c>
      <c r="B173" s="68" t="str">
        <f t="shared" si="36"/>
        <v/>
      </c>
      <c r="C173" s="158" t="str">
        <f t="shared" si="37"/>
        <v/>
      </c>
      <c r="D173" s="158" t="str">
        <f t="shared" si="38"/>
        <v/>
      </c>
      <c r="E173" s="157" t="str">
        <f t="shared" si="39"/>
        <v/>
      </c>
      <c r="F173" s="158" t="str">
        <f t="shared" si="40"/>
        <v/>
      </c>
      <c r="G173" s="160" t="str">
        <f t="shared" si="41"/>
        <v/>
      </c>
      <c r="V173" t="str">
        <f t="shared" si="43"/>
        <v/>
      </c>
      <c r="W173" s="18" t="str">
        <f t="shared" si="44"/>
        <v/>
      </c>
      <c r="X173" s="1" t="str">
        <f t="shared" si="42"/>
        <v/>
      </c>
      <c r="Y173" t="str">
        <f t="shared" si="45"/>
        <v/>
      </c>
      <c r="Z173" s="1" t="str">
        <f t="shared" si="46"/>
        <v/>
      </c>
    </row>
    <row r="174" spans="1:26" customFormat="1" x14ac:dyDescent="0.25">
      <c r="A174" s="68" t="str">
        <f t="shared" si="35"/>
        <v/>
      </c>
      <c r="B174" s="68" t="str">
        <f t="shared" si="36"/>
        <v/>
      </c>
      <c r="C174" s="158" t="str">
        <f t="shared" si="37"/>
        <v/>
      </c>
      <c r="D174" s="158" t="str">
        <f t="shared" si="38"/>
        <v/>
      </c>
      <c r="E174" s="157" t="str">
        <f t="shared" si="39"/>
        <v/>
      </c>
      <c r="F174" s="158" t="str">
        <f t="shared" si="40"/>
        <v/>
      </c>
      <c r="G174" s="160" t="str">
        <f t="shared" si="41"/>
        <v/>
      </c>
      <c r="V174" t="str">
        <f t="shared" si="43"/>
        <v/>
      </c>
      <c r="W174" s="18" t="str">
        <f t="shared" si="44"/>
        <v/>
      </c>
      <c r="X174" s="1" t="str">
        <f t="shared" si="42"/>
        <v/>
      </c>
      <c r="Y174" t="str">
        <f t="shared" si="45"/>
        <v/>
      </c>
      <c r="Z174" s="1" t="str">
        <f t="shared" si="46"/>
        <v/>
      </c>
    </row>
    <row r="175" spans="1:26" customFormat="1" x14ac:dyDescent="0.25">
      <c r="A175" s="68" t="str">
        <f t="shared" si="35"/>
        <v/>
      </c>
      <c r="B175" s="68" t="str">
        <f t="shared" si="36"/>
        <v/>
      </c>
      <c r="C175" s="158" t="str">
        <f t="shared" si="37"/>
        <v/>
      </c>
      <c r="D175" s="158" t="str">
        <f t="shared" si="38"/>
        <v/>
      </c>
      <c r="E175" s="157" t="str">
        <f t="shared" si="39"/>
        <v/>
      </c>
      <c r="F175" s="158" t="str">
        <f t="shared" si="40"/>
        <v/>
      </c>
      <c r="G175" s="160" t="str">
        <f t="shared" si="41"/>
        <v/>
      </c>
      <c r="V175" t="str">
        <f t="shared" si="43"/>
        <v/>
      </c>
      <c r="W175" s="18" t="str">
        <f t="shared" si="44"/>
        <v/>
      </c>
      <c r="X175" s="1" t="str">
        <f t="shared" si="42"/>
        <v/>
      </c>
      <c r="Y175" t="str">
        <f t="shared" si="45"/>
        <v/>
      </c>
      <c r="Z175" s="1" t="str">
        <f t="shared" si="46"/>
        <v/>
      </c>
    </row>
    <row r="176" spans="1:26" customFormat="1" x14ac:dyDescent="0.25">
      <c r="A176" s="68" t="str">
        <f t="shared" si="35"/>
        <v/>
      </c>
      <c r="B176" s="68" t="str">
        <f t="shared" si="36"/>
        <v/>
      </c>
      <c r="C176" s="158" t="str">
        <f t="shared" si="37"/>
        <v/>
      </c>
      <c r="D176" s="158" t="str">
        <f t="shared" si="38"/>
        <v/>
      </c>
      <c r="E176" s="157" t="str">
        <f t="shared" si="39"/>
        <v/>
      </c>
      <c r="F176" s="158" t="str">
        <f t="shared" si="40"/>
        <v/>
      </c>
      <c r="G176" s="160" t="str">
        <f t="shared" si="41"/>
        <v/>
      </c>
      <c r="V176" t="str">
        <f t="shared" si="43"/>
        <v/>
      </c>
      <c r="W176" s="18" t="str">
        <f t="shared" si="44"/>
        <v/>
      </c>
      <c r="X176" s="1" t="str">
        <f t="shared" si="42"/>
        <v/>
      </c>
      <c r="Y176" t="str">
        <f t="shared" si="45"/>
        <v/>
      </c>
      <c r="Z176" s="1" t="str">
        <f t="shared" si="46"/>
        <v/>
      </c>
    </row>
    <row r="177" spans="1:26" customFormat="1" x14ac:dyDescent="0.25">
      <c r="A177" s="68" t="str">
        <f t="shared" si="35"/>
        <v/>
      </c>
      <c r="B177" s="68" t="str">
        <f t="shared" si="36"/>
        <v/>
      </c>
      <c r="C177" s="158" t="str">
        <f t="shared" si="37"/>
        <v/>
      </c>
      <c r="D177" s="158" t="str">
        <f t="shared" si="38"/>
        <v/>
      </c>
      <c r="E177" s="157" t="str">
        <f t="shared" si="39"/>
        <v/>
      </c>
      <c r="F177" s="158" t="str">
        <f t="shared" si="40"/>
        <v/>
      </c>
      <c r="G177" s="160" t="str">
        <f t="shared" si="41"/>
        <v/>
      </c>
      <c r="V177" t="str">
        <f t="shared" si="43"/>
        <v/>
      </c>
      <c r="W177" s="18" t="str">
        <f t="shared" si="44"/>
        <v/>
      </c>
      <c r="X177" s="1" t="str">
        <f t="shared" si="42"/>
        <v/>
      </c>
      <c r="Y177" t="str">
        <f t="shared" si="45"/>
        <v/>
      </c>
      <c r="Z177" s="1" t="str">
        <f t="shared" si="46"/>
        <v/>
      </c>
    </row>
    <row r="178" spans="1:26" customFormat="1" x14ac:dyDescent="0.25">
      <c r="A178" s="68" t="str">
        <f t="shared" si="35"/>
        <v/>
      </c>
      <c r="B178" s="68" t="str">
        <f t="shared" si="36"/>
        <v/>
      </c>
      <c r="C178" s="158" t="str">
        <f t="shared" si="37"/>
        <v/>
      </c>
      <c r="D178" s="158" t="str">
        <f t="shared" si="38"/>
        <v/>
      </c>
      <c r="E178" s="157" t="str">
        <f t="shared" si="39"/>
        <v/>
      </c>
      <c r="F178" s="158" t="str">
        <f t="shared" si="40"/>
        <v/>
      </c>
      <c r="G178" s="160" t="str">
        <f t="shared" si="41"/>
        <v/>
      </c>
      <c r="V178" t="str">
        <f t="shared" si="43"/>
        <v/>
      </c>
      <c r="W178" s="18" t="str">
        <f t="shared" si="44"/>
        <v/>
      </c>
      <c r="X178" s="1" t="str">
        <f t="shared" si="42"/>
        <v/>
      </c>
      <c r="Y178" t="str">
        <f t="shared" si="45"/>
        <v/>
      </c>
      <c r="Z178" s="1" t="str">
        <f t="shared" si="46"/>
        <v/>
      </c>
    </row>
    <row r="179" spans="1:26" customFormat="1" x14ac:dyDescent="0.25">
      <c r="A179" s="68" t="str">
        <f t="shared" si="35"/>
        <v/>
      </c>
      <c r="B179" s="68" t="str">
        <f t="shared" si="36"/>
        <v/>
      </c>
      <c r="C179" s="158" t="str">
        <f t="shared" si="37"/>
        <v/>
      </c>
      <c r="D179" s="158" t="str">
        <f t="shared" si="38"/>
        <v/>
      </c>
      <c r="E179" s="157" t="str">
        <f t="shared" si="39"/>
        <v/>
      </c>
      <c r="F179" s="158" t="str">
        <f t="shared" si="40"/>
        <v/>
      </c>
      <c r="G179" s="160" t="str">
        <f t="shared" si="41"/>
        <v/>
      </c>
      <c r="V179" t="str">
        <f t="shared" si="43"/>
        <v/>
      </c>
      <c r="W179" s="18" t="str">
        <f t="shared" si="44"/>
        <v/>
      </c>
      <c r="X179" s="1" t="str">
        <f t="shared" si="42"/>
        <v/>
      </c>
      <c r="Y179" t="str">
        <f t="shared" si="45"/>
        <v/>
      </c>
      <c r="Z179" s="1" t="str">
        <f t="shared" si="46"/>
        <v/>
      </c>
    </row>
    <row r="180" spans="1:26" customFormat="1" x14ac:dyDescent="0.25">
      <c r="A180" s="68" t="str">
        <f t="shared" si="35"/>
        <v/>
      </c>
      <c r="B180" s="68" t="str">
        <f t="shared" si="36"/>
        <v/>
      </c>
      <c r="C180" s="158" t="str">
        <f t="shared" si="37"/>
        <v/>
      </c>
      <c r="D180" s="158" t="str">
        <f t="shared" si="38"/>
        <v/>
      </c>
      <c r="E180" s="157" t="str">
        <f t="shared" si="39"/>
        <v/>
      </c>
      <c r="F180" s="158" t="str">
        <f t="shared" si="40"/>
        <v/>
      </c>
      <c r="G180" s="160" t="str">
        <f t="shared" si="41"/>
        <v/>
      </c>
      <c r="V180" t="str">
        <f t="shared" si="43"/>
        <v/>
      </c>
      <c r="W180" s="18" t="str">
        <f t="shared" si="44"/>
        <v/>
      </c>
      <c r="X180" s="1" t="str">
        <f t="shared" si="42"/>
        <v/>
      </c>
      <c r="Y180" t="str">
        <f t="shared" si="45"/>
        <v/>
      </c>
      <c r="Z180" s="1" t="str">
        <f t="shared" si="46"/>
        <v/>
      </c>
    </row>
    <row r="181" spans="1:26" customFormat="1" x14ac:dyDescent="0.25">
      <c r="A181" s="68" t="str">
        <f t="shared" si="35"/>
        <v/>
      </c>
      <c r="B181" s="68" t="str">
        <f t="shared" si="36"/>
        <v/>
      </c>
      <c r="C181" s="158" t="str">
        <f t="shared" si="37"/>
        <v/>
      </c>
      <c r="D181" s="158" t="str">
        <f t="shared" si="38"/>
        <v/>
      </c>
      <c r="E181" s="157" t="str">
        <f t="shared" si="39"/>
        <v/>
      </c>
      <c r="F181" s="158" t="str">
        <f t="shared" si="40"/>
        <v/>
      </c>
      <c r="G181" s="160" t="str">
        <f t="shared" si="41"/>
        <v/>
      </c>
      <c r="V181" t="str">
        <f t="shared" si="43"/>
        <v/>
      </c>
      <c r="W181" s="18" t="str">
        <f t="shared" si="44"/>
        <v/>
      </c>
      <c r="X181" s="1" t="str">
        <f t="shared" si="42"/>
        <v/>
      </c>
      <c r="Y181" t="str">
        <f t="shared" si="45"/>
        <v/>
      </c>
      <c r="Z181" s="1" t="str">
        <f t="shared" si="46"/>
        <v/>
      </c>
    </row>
    <row r="182" spans="1:26" customFormat="1" x14ac:dyDescent="0.25">
      <c r="A182" s="68" t="str">
        <f t="shared" si="35"/>
        <v/>
      </c>
      <c r="B182" s="68" t="str">
        <f t="shared" si="36"/>
        <v/>
      </c>
      <c r="C182" s="158" t="str">
        <f t="shared" si="37"/>
        <v/>
      </c>
      <c r="D182" s="158" t="str">
        <f t="shared" si="38"/>
        <v/>
      </c>
      <c r="E182" s="157" t="str">
        <f t="shared" si="39"/>
        <v/>
      </c>
      <c r="F182" s="158" t="str">
        <f t="shared" si="40"/>
        <v/>
      </c>
      <c r="G182" s="160" t="str">
        <f t="shared" si="41"/>
        <v/>
      </c>
      <c r="V182" t="str">
        <f t="shared" si="43"/>
        <v/>
      </c>
      <c r="W182" s="18" t="str">
        <f t="shared" si="44"/>
        <v/>
      </c>
      <c r="X182" s="1" t="str">
        <f t="shared" si="42"/>
        <v/>
      </c>
      <c r="Y182" t="str">
        <f t="shared" si="45"/>
        <v/>
      </c>
      <c r="Z182" s="1" t="str">
        <f t="shared" si="46"/>
        <v/>
      </c>
    </row>
    <row r="183" spans="1:26" customFormat="1" x14ac:dyDescent="0.25">
      <c r="A183" s="68" t="str">
        <f t="shared" si="35"/>
        <v/>
      </c>
      <c r="B183" s="68" t="str">
        <f t="shared" si="36"/>
        <v/>
      </c>
      <c r="C183" s="158" t="str">
        <f t="shared" si="37"/>
        <v/>
      </c>
      <c r="D183" s="158" t="str">
        <f t="shared" si="38"/>
        <v/>
      </c>
      <c r="E183" s="157" t="str">
        <f t="shared" si="39"/>
        <v/>
      </c>
      <c r="F183" s="158" t="str">
        <f t="shared" si="40"/>
        <v/>
      </c>
      <c r="G183" s="160" t="str">
        <f t="shared" si="41"/>
        <v/>
      </c>
      <c r="V183" t="str">
        <f t="shared" si="43"/>
        <v/>
      </c>
      <c r="W183" s="18" t="str">
        <f t="shared" si="44"/>
        <v/>
      </c>
      <c r="X183" s="1" t="str">
        <f t="shared" si="42"/>
        <v/>
      </c>
      <c r="Y183" t="str">
        <f t="shared" si="45"/>
        <v/>
      </c>
      <c r="Z183" s="1" t="str">
        <f t="shared" si="46"/>
        <v/>
      </c>
    </row>
    <row r="184" spans="1:26" customFormat="1" x14ac:dyDescent="0.25">
      <c r="A184" s="68" t="str">
        <f t="shared" si="35"/>
        <v/>
      </c>
      <c r="B184" s="68" t="str">
        <f t="shared" si="36"/>
        <v/>
      </c>
      <c r="C184" s="158" t="str">
        <f t="shared" si="37"/>
        <v/>
      </c>
      <c r="D184" s="158" t="str">
        <f t="shared" si="38"/>
        <v/>
      </c>
      <c r="E184" s="157" t="str">
        <f t="shared" si="39"/>
        <v/>
      </c>
      <c r="F184" s="158" t="str">
        <f t="shared" si="40"/>
        <v/>
      </c>
      <c r="G184" s="160" t="str">
        <f t="shared" si="41"/>
        <v/>
      </c>
      <c r="V184" t="str">
        <f t="shared" si="43"/>
        <v/>
      </c>
      <c r="W184" s="18" t="str">
        <f t="shared" si="44"/>
        <v/>
      </c>
      <c r="X184" s="1" t="str">
        <f t="shared" si="42"/>
        <v/>
      </c>
      <c r="Y184" t="str">
        <f t="shared" si="45"/>
        <v/>
      </c>
      <c r="Z184" s="1" t="str">
        <f t="shared" si="46"/>
        <v/>
      </c>
    </row>
    <row r="185" spans="1:26" customFormat="1" x14ac:dyDescent="0.25">
      <c r="A185" s="68" t="str">
        <f t="shared" si="35"/>
        <v/>
      </c>
      <c r="B185" s="68" t="str">
        <f t="shared" si="36"/>
        <v/>
      </c>
      <c r="C185" s="158" t="str">
        <f t="shared" si="37"/>
        <v/>
      </c>
      <c r="D185" s="158" t="str">
        <f t="shared" si="38"/>
        <v/>
      </c>
      <c r="E185" s="157" t="str">
        <f t="shared" si="39"/>
        <v/>
      </c>
      <c r="F185" s="158" t="str">
        <f t="shared" si="40"/>
        <v/>
      </c>
      <c r="G185" s="160" t="str">
        <f t="shared" si="41"/>
        <v/>
      </c>
      <c r="V185" t="str">
        <f t="shared" si="43"/>
        <v/>
      </c>
      <c r="W185" s="18" t="str">
        <f t="shared" si="44"/>
        <v/>
      </c>
      <c r="X185" s="1" t="str">
        <f t="shared" si="42"/>
        <v/>
      </c>
      <c r="Y185" t="str">
        <f t="shared" si="45"/>
        <v/>
      </c>
      <c r="Z185" s="1" t="str">
        <f t="shared" si="46"/>
        <v/>
      </c>
    </row>
    <row r="186" spans="1:26" customFormat="1" x14ac:dyDescent="0.25">
      <c r="A186" s="68" t="str">
        <f t="shared" si="35"/>
        <v/>
      </c>
      <c r="B186" s="68" t="str">
        <f t="shared" si="36"/>
        <v/>
      </c>
      <c r="C186" s="158" t="str">
        <f t="shared" si="37"/>
        <v/>
      </c>
      <c r="D186" s="158" t="str">
        <f t="shared" si="38"/>
        <v/>
      </c>
      <c r="E186" s="157" t="str">
        <f t="shared" si="39"/>
        <v/>
      </c>
      <c r="F186" s="158" t="str">
        <f t="shared" si="40"/>
        <v/>
      </c>
      <c r="G186" s="160" t="str">
        <f t="shared" si="41"/>
        <v/>
      </c>
      <c r="V186" t="str">
        <f t="shared" si="43"/>
        <v/>
      </c>
      <c r="W186" s="18" t="str">
        <f t="shared" si="44"/>
        <v/>
      </c>
      <c r="X186" s="1" t="str">
        <f t="shared" si="42"/>
        <v/>
      </c>
      <c r="Y186" t="str">
        <f t="shared" si="45"/>
        <v/>
      </c>
      <c r="Z186" s="1" t="str">
        <f t="shared" si="46"/>
        <v/>
      </c>
    </row>
    <row r="187" spans="1:26" customFormat="1" x14ac:dyDescent="0.25">
      <c r="A187" s="68" t="str">
        <f t="shared" si="35"/>
        <v/>
      </c>
      <c r="B187" s="68" t="str">
        <f t="shared" si="36"/>
        <v/>
      </c>
      <c r="C187" s="158" t="str">
        <f t="shared" si="37"/>
        <v/>
      </c>
      <c r="D187" s="158" t="str">
        <f t="shared" si="38"/>
        <v/>
      </c>
      <c r="E187" s="157" t="str">
        <f t="shared" si="39"/>
        <v/>
      </c>
      <c r="F187" s="158" t="str">
        <f t="shared" si="40"/>
        <v/>
      </c>
      <c r="G187" s="160" t="str">
        <f t="shared" si="41"/>
        <v/>
      </c>
      <c r="V187" t="str">
        <f t="shared" si="43"/>
        <v/>
      </c>
      <c r="W187" s="18" t="str">
        <f t="shared" si="44"/>
        <v/>
      </c>
      <c r="X187" s="1" t="str">
        <f t="shared" si="42"/>
        <v/>
      </c>
      <c r="Y187" t="str">
        <f t="shared" si="45"/>
        <v/>
      </c>
      <c r="Z187" s="1" t="str">
        <f t="shared" si="46"/>
        <v/>
      </c>
    </row>
    <row r="188" spans="1:26" customFormat="1" x14ac:dyDescent="0.25">
      <c r="A188" s="68" t="str">
        <f t="shared" si="35"/>
        <v/>
      </c>
      <c r="B188" s="68" t="str">
        <f t="shared" si="36"/>
        <v/>
      </c>
      <c r="C188" s="158" t="str">
        <f t="shared" si="37"/>
        <v/>
      </c>
      <c r="D188" s="158" t="str">
        <f t="shared" si="38"/>
        <v/>
      </c>
      <c r="E188" s="157" t="str">
        <f t="shared" si="39"/>
        <v/>
      </c>
      <c r="F188" s="158" t="str">
        <f t="shared" si="40"/>
        <v/>
      </c>
      <c r="G188" s="160" t="str">
        <f t="shared" si="41"/>
        <v/>
      </c>
      <c r="V188" t="str">
        <f t="shared" si="43"/>
        <v/>
      </c>
      <c r="W188" s="18" t="str">
        <f t="shared" si="44"/>
        <v/>
      </c>
      <c r="X188" s="1" t="str">
        <f t="shared" si="42"/>
        <v/>
      </c>
      <c r="Y188" t="str">
        <f t="shared" si="45"/>
        <v/>
      </c>
      <c r="Z188" s="1" t="str">
        <f t="shared" si="46"/>
        <v/>
      </c>
    </row>
    <row r="189" spans="1:26" customFormat="1" x14ac:dyDescent="0.25">
      <c r="A189" s="68" t="str">
        <f t="shared" si="35"/>
        <v/>
      </c>
      <c r="B189" s="68" t="str">
        <f t="shared" si="36"/>
        <v/>
      </c>
      <c r="C189" s="158" t="str">
        <f t="shared" si="37"/>
        <v/>
      </c>
      <c r="D189" s="158" t="str">
        <f t="shared" si="38"/>
        <v/>
      </c>
      <c r="E189" s="157" t="str">
        <f t="shared" si="39"/>
        <v/>
      </c>
      <c r="F189" s="158" t="str">
        <f t="shared" si="40"/>
        <v/>
      </c>
      <c r="G189" s="160" t="str">
        <f t="shared" si="41"/>
        <v/>
      </c>
      <c r="V189" t="str">
        <f t="shared" si="43"/>
        <v/>
      </c>
      <c r="W189" s="18" t="str">
        <f t="shared" si="44"/>
        <v/>
      </c>
      <c r="X189" s="1" t="str">
        <f t="shared" si="42"/>
        <v/>
      </c>
      <c r="Y189" t="str">
        <f t="shared" si="45"/>
        <v/>
      </c>
      <c r="Z189" s="1" t="str">
        <f t="shared" si="46"/>
        <v/>
      </c>
    </row>
    <row r="190" spans="1:26" customFormat="1" x14ac:dyDescent="0.25">
      <c r="A190" s="68" t="str">
        <f t="shared" si="35"/>
        <v/>
      </c>
      <c r="B190" s="68" t="str">
        <f t="shared" si="36"/>
        <v/>
      </c>
      <c r="C190" s="158" t="str">
        <f t="shared" si="37"/>
        <v/>
      </c>
      <c r="D190" s="158" t="str">
        <f t="shared" si="38"/>
        <v/>
      </c>
      <c r="E190" s="157" t="str">
        <f t="shared" si="39"/>
        <v/>
      </c>
      <c r="F190" s="158" t="str">
        <f t="shared" si="40"/>
        <v/>
      </c>
      <c r="G190" s="160" t="str">
        <f t="shared" si="41"/>
        <v/>
      </c>
      <c r="V190" t="str">
        <f t="shared" si="43"/>
        <v/>
      </c>
      <c r="W190" s="18" t="str">
        <f t="shared" si="44"/>
        <v/>
      </c>
      <c r="X190" s="1" t="str">
        <f t="shared" ref="X190:X221" si="47">IF(W190="","",IF(V190&lt;=B$16,0,X$27/(B$17-B$16)))</f>
        <v/>
      </c>
      <c r="Y190" t="str">
        <f t="shared" si="45"/>
        <v/>
      </c>
      <c r="Z190" s="1" t="str">
        <f t="shared" si="46"/>
        <v/>
      </c>
    </row>
    <row r="191" spans="1:26" customFormat="1" x14ac:dyDescent="0.25">
      <c r="A191" s="68" t="str">
        <f t="shared" si="35"/>
        <v/>
      </c>
      <c r="B191" s="68" t="str">
        <f t="shared" si="36"/>
        <v/>
      </c>
      <c r="C191" s="158" t="str">
        <f t="shared" si="37"/>
        <v/>
      </c>
      <c r="D191" s="158" t="str">
        <f t="shared" si="38"/>
        <v/>
      </c>
      <c r="E191" s="157" t="str">
        <f t="shared" si="39"/>
        <v/>
      </c>
      <c r="F191" s="158" t="str">
        <f t="shared" si="40"/>
        <v/>
      </c>
      <c r="G191" s="160" t="str">
        <f t="shared" si="41"/>
        <v/>
      </c>
      <c r="V191" t="str">
        <f t="shared" si="43"/>
        <v/>
      </c>
      <c r="W191" s="18" t="str">
        <f t="shared" si="44"/>
        <v/>
      </c>
      <c r="X191" s="1" t="str">
        <f t="shared" si="47"/>
        <v/>
      </c>
      <c r="Y191" t="str">
        <f t="shared" si="45"/>
        <v/>
      </c>
      <c r="Z191" s="1" t="str">
        <f t="shared" si="46"/>
        <v/>
      </c>
    </row>
    <row r="192" spans="1:26" customFormat="1" x14ac:dyDescent="0.25">
      <c r="A192" s="68" t="str">
        <f t="shared" si="35"/>
        <v/>
      </c>
      <c r="B192" s="68" t="str">
        <f t="shared" si="36"/>
        <v/>
      </c>
      <c r="C192" s="158" t="str">
        <f t="shared" si="37"/>
        <v/>
      </c>
      <c r="D192" s="158" t="str">
        <f t="shared" si="38"/>
        <v/>
      </c>
      <c r="E192" s="157" t="str">
        <f t="shared" si="39"/>
        <v/>
      </c>
      <c r="F192" s="158" t="str">
        <f t="shared" si="40"/>
        <v/>
      </c>
      <c r="G192" s="160" t="str">
        <f t="shared" si="41"/>
        <v/>
      </c>
      <c r="V192" t="str">
        <f t="shared" si="43"/>
        <v/>
      </c>
      <c r="W192" s="18" t="str">
        <f t="shared" si="44"/>
        <v/>
      </c>
      <c r="X192" s="1" t="str">
        <f t="shared" si="47"/>
        <v/>
      </c>
      <c r="Y192" t="str">
        <f t="shared" si="45"/>
        <v/>
      </c>
      <c r="Z192" s="1" t="str">
        <f t="shared" si="46"/>
        <v/>
      </c>
    </row>
    <row r="193" spans="1:26" customFormat="1" x14ac:dyDescent="0.25">
      <c r="A193" s="68" t="str">
        <f t="shared" si="35"/>
        <v/>
      </c>
      <c r="B193" s="68" t="str">
        <f t="shared" si="36"/>
        <v/>
      </c>
      <c r="C193" s="158" t="str">
        <f t="shared" si="37"/>
        <v/>
      </c>
      <c r="D193" s="158" t="str">
        <f t="shared" si="38"/>
        <v/>
      </c>
      <c r="E193" s="157" t="str">
        <f t="shared" si="39"/>
        <v/>
      </c>
      <c r="F193" s="158" t="str">
        <f t="shared" si="40"/>
        <v/>
      </c>
      <c r="G193" s="160" t="str">
        <f t="shared" si="41"/>
        <v/>
      </c>
      <c r="V193" t="str">
        <f t="shared" si="43"/>
        <v/>
      </c>
      <c r="W193" s="18" t="str">
        <f t="shared" si="44"/>
        <v/>
      </c>
      <c r="X193" s="1" t="str">
        <f t="shared" si="47"/>
        <v/>
      </c>
      <c r="Y193" t="str">
        <f t="shared" si="45"/>
        <v/>
      </c>
      <c r="Z193" s="1" t="str">
        <f t="shared" si="46"/>
        <v/>
      </c>
    </row>
    <row r="194" spans="1:26" customFormat="1" x14ac:dyDescent="0.25">
      <c r="A194" s="68" t="str">
        <f t="shared" si="35"/>
        <v/>
      </c>
      <c r="B194" s="68" t="str">
        <f t="shared" si="36"/>
        <v/>
      </c>
      <c r="C194" s="158" t="str">
        <f t="shared" si="37"/>
        <v/>
      </c>
      <c r="D194" s="158" t="str">
        <f t="shared" si="38"/>
        <v/>
      </c>
      <c r="E194" s="157" t="str">
        <f t="shared" si="39"/>
        <v/>
      </c>
      <c r="F194" s="158" t="str">
        <f t="shared" si="40"/>
        <v/>
      </c>
      <c r="G194" s="160" t="str">
        <f t="shared" si="41"/>
        <v/>
      </c>
      <c r="V194" t="str">
        <f t="shared" si="43"/>
        <v/>
      </c>
      <c r="W194" s="18" t="str">
        <f t="shared" si="44"/>
        <v/>
      </c>
      <c r="X194" s="1" t="str">
        <f t="shared" si="47"/>
        <v/>
      </c>
      <c r="Y194" t="str">
        <f t="shared" si="45"/>
        <v/>
      </c>
      <c r="Z194" s="1" t="str">
        <f t="shared" si="46"/>
        <v/>
      </c>
    </row>
    <row r="195" spans="1:26" customFormat="1" x14ac:dyDescent="0.25">
      <c r="A195" s="68" t="str">
        <f t="shared" si="35"/>
        <v/>
      </c>
      <c r="B195" s="68" t="str">
        <f t="shared" si="36"/>
        <v/>
      </c>
      <c r="C195" s="158" t="str">
        <f t="shared" si="37"/>
        <v/>
      </c>
      <c r="D195" s="158" t="str">
        <f t="shared" si="38"/>
        <v/>
      </c>
      <c r="E195" s="157" t="str">
        <f t="shared" si="39"/>
        <v/>
      </c>
      <c r="F195" s="158" t="str">
        <f t="shared" si="40"/>
        <v/>
      </c>
      <c r="G195" s="160" t="str">
        <f t="shared" si="41"/>
        <v/>
      </c>
      <c r="V195" t="str">
        <f t="shared" si="43"/>
        <v/>
      </c>
      <c r="W195" s="18" t="str">
        <f t="shared" si="44"/>
        <v/>
      </c>
      <c r="X195" s="1" t="str">
        <f t="shared" si="47"/>
        <v/>
      </c>
      <c r="Y195" t="str">
        <f t="shared" si="45"/>
        <v/>
      </c>
      <c r="Z195" s="1" t="str">
        <f t="shared" si="46"/>
        <v/>
      </c>
    </row>
    <row r="196" spans="1:26" customFormat="1" x14ac:dyDescent="0.25">
      <c r="A196" s="68" t="str">
        <f t="shared" si="35"/>
        <v/>
      </c>
      <c r="B196" s="68" t="str">
        <f t="shared" si="36"/>
        <v/>
      </c>
      <c r="C196" s="158" t="str">
        <f t="shared" si="37"/>
        <v/>
      </c>
      <c r="D196" s="158" t="str">
        <f t="shared" si="38"/>
        <v/>
      </c>
      <c r="E196" s="157" t="str">
        <f t="shared" si="39"/>
        <v/>
      </c>
      <c r="F196" s="158" t="str">
        <f t="shared" si="40"/>
        <v/>
      </c>
      <c r="G196" s="160" t="str">
        <f t="shared" si="41"/>
        <v/>
      </c>
      <c r="V196" t="str">
        <f t="shared" si="43"/>
        <v/>
      </c>
      <c r="W196" s="18" t="str">
        <f t="shared" si="44"/>
        <v/>
      </c>
      <c r="X196" s="1" t="str">
        <f t="shared" si="47"/>
        <v/>
      </c>
      <c r="Y196" t="str">
        <f t="shared" si="45"/>
        <v/>
      </c>
      <c r="Z196" s="1" t="str">
        <f t="shared" si="46"/>
        <v/>
      </c>
    </row>
    <row r="197" spans="1:26" customFormat="1" x14ac:dyDescent="0.25">
      <c r="A197" s="68" t="str">
        <f t="shared" si="35"/>
        <v/>
      </c>
      <c r="B197" s="68" t="str">
        <f t="shared" si="36"/>
        <v/>
      </c>
      <c r="C197" s="158" t="str">
        <f t="shared" si="37"/>
        <v/>
      </c>
      <c r="D197" s="158" t="str">
        <f t="shared" si="38"/>
        <v/>
      </c>
      <c r="E197" s="157" t="str">
        <f t="shared" si="39"/>
        <v/>
      </c>
      <c r="F197" s="158" t="str">
        <f t="shared" si="40"/>
        <v/>
      </c>
      <c r="G197" s="160" t="str">
        <f t="shared" si="41"/>
        <v/>
      </c>
      <c r="V197" t="str">
        <f t="shared" si="43"/>
        <v/>
      </c>
      <c r="W197" s="18" t="str">
        <f t="shared" si="44"/>
        <v/>
      </c>
      <c r="X197" s="1" t="str">
        <f t="shared" si="47"/>
        <v/>
      </c>
      <c r="Y197" t="str">
        <f t="shared" si="45"/>
        <v/>
      </c>
      <c r="Z197" s="1" t="str">
        <f t="shared" si="46"/>
        <v/>
      </c>
    </row>
    <row r="198" spans="1:26" customFormat="1" x14ac:dyDescent="0.25">
      <c r="A198" s="68" t="str">
        <f t="shared" si="35"/>
        <v/>
      </c>
      <c r="B198" s="68" t="str">
        <f t="shared" si="36"/>
        <v/>
      </c>
      <c r="C198" s="158" t="str">
        <f t="shared" si="37"/>
        <v/>
      </c>
      <c r="D198" s="158" t="str">
        <f t="shared" si="38"/>
        <v/>
      </c>
      <c r="E198" s="157" t="str">
        <f t="shared" si="39"/>
        <v/>
      </c>
      <c r="F198" s="158" t="str">
        <f t="shared" si="40"/>
        <v/>
      </c>
      <c r="G198" s="160" t="str">
        <f t="shared" si="41"/>
        <v/>
      </c>
      <c r="V198" t="str">
        <f t="shared" si="43"/>
        <v/>
      </c>
      <c r="W198" s="18" t="str">
        <f t="shared" si="44"/>
        <v/>
      </c>
      <c r="X198" s="1" t="str">
        <f t="shared" si="47"/>
        <v/>
      </c>
      <c r="Y198" t="str">
        <f t="shared" si="45"/>
        <v/>
      </c>
      <c r="Z198" s="1" t="str">
        <f t="shared" si="46"/>
        <v/>
      </c>
    </row>
    <row r="199" spans="1:26" customFormat="1" x14ac:dyDescent="0.25">
      <c r="A199" s="68" t="str">
        <f t="shared" si="35"/>
        <v/>
      </c>
      <c r="B199" s="68" t="str">
        <f t="shared" si="36"/>
        <v/>
      </c>
      <c r="C199" s="158" t="str">
        <f t="shared" si="37"/>
        <v/>
      </c>
      <c r="D199" s="158" t="str">
        <f t="shared" si="38"/>
        <v/>
      </c>
      <c r="E199" s="157" t="str">
        <f t="shared" si="39"/>
        <v/>
      </c>
      <c r="F199" s="158" t="str">
        <f t="shared" si="40"/>
        <v/>
      </c>
      <c r="G199" s="160" t="str">
        <f t="shared" si="41"/>
        <v/>
      </c>
      <c r="V199" t="str">
        <f t="shared" si="43"/>
        <v/>
      </c>
      <c r="W199" s="18" t="str">
        <f t="shared" si="44"/>
        <v/>
      </c>
      <c r="X199" s="1" t="str">
        <f t="shared" si="47"/>
        <v/>
      </c>
      <c r="Y199" t="str">
        <f t="shared" si="45"/>
        <v/>
      </c>
      <c r="Z199" s="1" t="str">
        <f t="shared" si="46"/>
        <v/>
      </c>
    </row>
    <row r="200" spans="1:26" customFormat="1" x14ac:dyDescent="0.25">
      <c r="A200" s="68" t="str">
        <f t="shared" si="35"/>
        <v/>
      </c>
      <c r="B200" s="68" t="str">
        <f t="shared" si="36"/>
        <v/>
      </c>
      <c r="C200" s="158" t="str">
        <f t="shared" si="37"/>
        <v/>
      </c>
      <c r="D200" s="158" t="str">
        <f t="shared" si="38"/>
        <v/>
      </c>
      <c r="E200" s="157" t="str">
        <f t="shared" si="39"/>
        <v/>
      </c>
      <c r="F200" s="158" t="str">
        <f t="shared" si="40"/>
        <v/>
      </c>
      <c r="G200" s="160" t="str">
        <f t="shared" si="41"/>
        <v/>
      </c>
      <c r="V200" t="str">
        <f t="shared" si="43"/>
        <v/>
      </c>
      <c r="W200" s="18" t="str">
        <f t="shared" si="44"/>
        <v/>
      </c>
      <c r="X200" s="1" t="str">
        <f t="shared" si="47"/>
        <v/>
      </c>
      <c r="Y200" t="str">
        <f t="shared" si="45"/>
        <v/>
      </c>
      <c r="Z200" s="1" t="str">
        <f t="shared" si="46"/>
        <v/>
      </c>
    </row>
    <row r="201" spans="1:26" customFormat="1" x14ac:dyDescent="0.25">
      <c r="A201" s="68" t="str">
        <f t="shared" si="35"/>
        <v/>
      </c>
      <c r="B201" s="68" t="str">
        <f t="shared" si="36"/>
        <v/>
      </c>
      <c r="C201" s="158" t="str">
        <f t="shared" si="37"/>
        <v/>
      </c>
      <c r="D201" s="158" t="str">
        <f t="shared" si="38"/>
        <v/>
      </c>
      <c r="E201" s="157" t="str">
        <f t="shared" si="39"/>
        <v/>
      </c>
      <c r="F201" s="158" t="str">
        <f t="shared" si="40"/>
        <v/>
      </c>
      <c r="G201" s="160" t="str">
        <f t="shared" si="41"/>
        <v/>
      </c>
      <c r="V201" t="str">
        <f t="shared" si="43"/>
        <v/>
      </c>
      <c r="W201" s="18" t="str">
        <f t="shared" si="44"/>
        <v/>
      </c>
      <c r="X201" s="1" t="str">
        <f t="shared" si="47"/>
        <v/>
      </c>
      <c r="Y201" t="str">
        <f t="shared" si="45"/>
        <v/>
      </c>
      <c r="Z201" s="1" t="str">
        <f t="shared" si="46"/>
        <v/>
      </c>
    </row>
    <row r="202" spans="1:26" customFormat="1" x14ac:dyDescent="0.25">
      <c r="A202" s="68" t="str">
        <f t="shared" si="35"/>
        <v/>
      </c>
      <c r="B202" s="68" t="str">
        <f t="shared" si="36"/>
        <v/>
      </c>
      <c r="C202" s="158" t="str">
        <f t="shared" si="37"/>
        <v/>
      </c>
      <c r="D202" s="158" t="str">
        <f t="shared" si="38"/>
        <v/>
      </c>
      <c r="E202" s="157" t="str">
        <f t="shared" si="39"/>
        <v/>
      </c>
      <c r="F202" s="158" t="str">
        <f t="shared" si="40"/>
        <v/>
      </c>
      <c r="G202" s="160" t="str">
        <f t="shared" si="41"/>
        <v/>
      </c>
      <c r="V202" t="str">
        <f t="shared" si="43"/>
        <v/>
      </c>
      <c r="W202" s="18" t="str">
        <f t="shared" si="44"/>
        <v/>
      </c>
      <c r="X202" s="1" t="str">
        <f t="shared" si="47"/>
        <v/>
      </c>
      <c r="Y202" t="str">
        <f t="shared" si="45"/>
        <v/>
      </c>
      <c r="Z202" s="1" t="str">
        <f t="shared" si="46"/>
        <v/>
      </c>
    </row>
    <row r="203" spans="1:26" customFormat="1" x14ac:dyDescent="0.25">
      <c r="A203" s="68" t="str">
        <f t="shared" si="35"/>
        <v/>
      </c>
      <c r="B203" s="68" t="str">
        <f t="shared" si="36"/>
        <v/>
      </c>
      <c r="C203" s="158" t="str">
        <f t="shared" si="37"/>
        <v/>
      </c>
      <c r="D203" s="158" t="str">
        <f t="shared" si="38"/>
        <v/>
      </c>
      <c r="E203" s="157" t="str">
        <f t="shared" si="39"/>
        <v/>
      </c>
      <c r="F203" s="158" t="str">
        <f t="shared" si="40"/>
        <v/>
      </c>
      <c r="G203" s="160" t="str">
        <f t="shared" si="41"/>
        <v/>
      </c>
      <c r="V203" t="str">
        <f t="shared" si="43"/>
        <v/>
      </c>
      <c r="W203" s="18" t="str">
        <f t="shared" si="44"/>
        <v/>
      </c>
      <c r="X203" s="1" t="str">
        <f t="shared" si="47"/>
        <v/>
      </c>
      <c r="Y203" t="str">
        <f t="shared" si="45"/>
        <v/>
      </c>
      <c r="Z203" s="1" t="str">
        <f t="shared" si="46"/>
        <v/>
      </c>
    </row>
    <row r="204" spans="1:26" customFormat="1" x14ac:dyDescent="0.25">
      <c r="A204" s="68" t="str">
        <f t="shared" si="35"/>
        <v/>
      </c>
      <c r="B204" s="68" t="str">
        <f t="shared" si="36"/>
        <v/>
      </c>
      <c r="C204" s="158" t="str">
        <f t="shared" si="37"/>
        <v/>
      </c>
      <c r="D204" s="158" t="str">
        <f t="shared" si="38"/>
        <v/>
      </c>
      <c r="E204" s="157" t="str">
        <f t="shared" si="39"/>
        <v/>
      </c>
      <c r="F204" s="158" t="str">
        <f t="shared" si="40"/>
        <v/>
      </c>
      <c r="G204" s="160" t="str">
        <f t="shared" si="41"/>
        <v/>
      </c>
      <c r="V204" t="str">
        <f t="shared" si="43"/>
        <v/>
      </c>
      <c r="W204" s="18" t="str">
        <f t="shared" si="44"/>
        <v/>
      </c>
      <c r="X204" s="1" t="str">
        <f t="shared" si="47"/>
        <v/>
      </c>
      <c r="Y204" t="str">
        <f t="shared" si="45"/>
        <v/>
      </c>
      <c r="Z204" s="1" t="str">
        <f t="shared" si="46"/>
        <v/>
      </c>
    </row>
    <row r="205" spans="1:26" customFormat="1" x14ac:dyDescent="0.25">
      <c r="A205" s="68" t="str">
        <f t="shared" si="35"/>
        <v/>
      </c>
      <c r="B205" s="68" t="str">
        <f t="shared" si="36"/>
        <v/>
      </c>
      <c r="C205" s="158" t="str">
        <f t="shared" si="37"/>
        <v/>
      </c>
      <c r="D205" s="158" t="str">
        <f t="shared" si="38"/>
        <v/>
      </c>
      <c r="E205" s="157" t="str">
        <f t="shared" si="39"/>
        <v/>
      </c>
      <c r="F205" s="158" t="str">
        <f t="shared" si="40"/>
        <v/>
      </c>
      <c r="G205" s="160" t="str">
        <f t="shared" si="41"/>
        <v/>
      </c>
      <c r="V205" t="str">
        <f t="shared" si="43"/>
        <v/>
      </c>
      <c r="W205" s="18" t="str">
        <f t="shared" si="44"/>
        <v/>
      </c>
      <c r="X205" s="1" t="str">
        <f t="shared" si="47"/>
        <v/>
      </c>
      <c r="Y205" t="str">
        <f t="shared" si="45"/>
        <v/>
      </c>
      <c r="Z205" s="1" t="str">
        <f t="shared" si="46"/>
        <v/>
      </c>
    </row>
    <row r="206" spans="1:26" customFormat="1" x14ac:dyDescent="0.25">
      <c r="A206" s="68" t="str">
        <f t="shared" si="35"/>
        <v/>
      </c>
      <c r="B206" s="68" t="str">
        <f t="shared" si="36"/>
        <v/>
      </c>
      <c r="C206" s="158" t="str">
        <f t="shared" si="37"/>
        <v/>
      </c>
      <c r="D206" s="158" t="str">
        <f t="shared" si="38"/>
        <v/>
      </c>
      <c r="E206" s="157" t="str">
        <f t="shared" si="39"/>
        <v/>
      </c>
      <c r="F206" s="158" t="str">
        <f t="shared" si="40"/>
        <v/>
      </c>
      <c r="G206" s="160" t="str">
        <f t="shared" si="41"/>
        <v/>
      </c>
      <c r="V206" t="str">
        <f t="shared" si="43"/>
        <v/>
      </c>
      <c r="W206" s="18" t="str">
        <f t="shared" si="44"/>
        <v/>
      </c>
      <c r="X206" s="1" t="str">
        <f t="shared" si="47"/>
        <v/>
      </c>
      <c r="Y206" t="str">
        <f t="shared" si="45"/>
        <v/>
      </c>
      <c r="Z206" s="1" t="str">
        <f t="shared" si="46"/>
        <v/>
      </c>
    </row>
    <row r="207" spans="1:26" customFormat="1" x14ac:dyDescent="0.25">
      <c r="A207" s="68" t="str">
        <f t="shared" si="35"/>
        <v/>
      </c>
      <c r="B207" s="68" t="str">
        <f t="shared" si="36"/>
        <v/>
      </c>
      <c r="C207" s="158" t="str">
        <f t="shared" si="37"/>
        <v/>
      </c>
      <c r="D207" s="158" t="str">
        <f t="shared" si="38"/>
        <v/>
      </c>
      <c r="E207" s="157" t="str">
        <f t="shared" si="39"/>
        <v/>
      </c>
      <c r="F207" s="158" t="str">
        <f t="shared" si="40"/>
        <v/>
      </c>
      <c r="G207" s="160" t="str">
        <f t="shared" si="41"/>
        <v/>
      </c>
      <c r="V207" t="str">
        <f t="shared" si="43"/>
        <v/>
      </c>
      <c r="W207" s="18" t="str">
        <f t="shared" si="44"/>
        <v/>
      </c>
      <c r="X207" s="1" t="str">
        <f t="shared" si="47"/>
        <v/>
      </c>
      <c r="Y207" t="str">
        <f t="shared" si="45"/>
        <v/>
      </c>
      <c r="Z207" s="1" t="str">
        <f t="shared" si="46"/>
        <v/>
      </c>
    </row>
    <row r="208" spans="1:26" customFormat="1" x14ac:dyDescent="0.25">
      <c r="A208" s="68" t="str">
        <f t="shared" si="35"/>
        <v/>
      </c>
      <c r="B208" s="68" t="str">
        <f t="shared" si="36"/>
        <v/>
      </c>
      <c r="C208" s="158" t="str">
        <f t="shared" si="37"/>
        <v/>
      </c>
      <c r="D208" s="158" t="str">
        <f t="shared" si="38"/>
        <v/>
      </c>
      <c r="E208" s="157" t="str">
        <f t="shared" si="39"/>
        <v/>
      </c>
      <c r="F208" s="158" t="str">
        <f t="shared" si="40"/>
        <v/>
      </c>
      <c r="G208" s="160" t="str">
        <f t="shared" si="41"/>
        <v/>
      </c>
      <c r="V208" t="str">
        <f t="shared" si="43"/>
        <v/>
      </c>
      <c r="W208" s="18" t="str">
        <f t="shared" si="44"/>
        <v/>
      </c>
      <c r="X208" s="1" t="str">
        <f t="shared" si="47"/>
        <v/>
      </c>
      <c r="Y208" t="str">
        <f t="shared" si="45"/>
        <v/>
      </c>
      <c r="Z208" s="1" t="str">
        <f t="shared" si="46"/>
        <v/>
      </c>
    </row>
    <row r="209" spans="1:26" customFormat="1" x14ac:dyDescent="0.25">
      <c r="A209" s="68" t="str">
        <f t="shared" si="35"/>
        <v/>
      </c>
      <c r="B209" s="68" t="str">
        <f t="shared" si="36"/>
        <v/>
      </c>
      <c r="C209" s="158" t="str">
        <f t="shared" si="37"/>
        <v/>
      </c>
      <c r="D209" s="158" t="str">
        <f t="shared" si="38"/>
        <v/>
      </c>
      <c r="E209" s="157" t="str">
        <f t="shared" si="39"/>
        <v/>
      </c>
      <c r="F209" s="158" t="str">
        <f t="shared" si="40"/>
        <v/>
      </c>
      <c r="G209" s="160" t="str">
        <f t="shared" si="41"/>
        <v/>
      </c>
      <c r="V209" t="str">
        <f t="shared" si="43"/>
        <v/>
      </c>
      <c r="W209" s="18" t="str">
        <f t="shared" si="44"/>
        <v/>
      </c>
      <c r="X209" s="1" t="str">
        <f t="shared" si="47"/>
        <v/>
      </c>
      <c r="Y209" t="str">
        <f t="shared" si="45"/>
        <v/>
      </c>
      <c r="Z209" s="1" t="str">
        <f t="shared" si="46"/>
        <v/>
      </c>
    </row>
    <row r="210" spans="1:26" customFormat="1" x14ac:dyDescent="0.25">
      <c r="A210" s="68" t="str">
        <f t="shared" si="35"/>
        <v/>
      </c>
      <c r="B210" s="68" t="str">
        <f t="shared" si="36"/>
        <v/>
      </c>
      <c r="C210" s="158" t="str">
        <f t="shared" si="37"/>
        <v/>
      </c>
      <c r="D210" s="158" t="str">
        <f t="shared" si="38"/>
        <v/>
      </c>
      <c r="E210" s="157" t="str">
        <f t="shared" si="39"/>
        <v/>
      </c>
      <c r="F210" s="158" t="str">
        <f t="shared" si="40"/>
        <v/>
      </c>
      <c r="G210" s="160" t="str">
        <f t="shared" si="41"/>
        <v/>
      </c>
      <c r="V210" t="str">
        <f t="shared" si="43"/>
        <v/>
      </c>
      <c r="W210" s="18" t="str">
        <f t="shared" si="44"/>
        <v/>
      </c>
      <c r="X210" s="1" t="str">
        <f t="shared" si="47"/>
        <v/>
      </c>
      <c r="Y210" t="str">
        <f t="shared" si="45"/>
        <v/>
      </c>
      <c r="Z210" s="1" t="str">
        <f t="shared" si="46"/>
        <v/>
      </c>
    </row>
    <row r="211" spans="1:26" customFormat="1" x14ac:dyDescent="0.25">
      <c r="A211" s="68" t="str">
        <f t="shared" si="35"/>
        <v/>
      </c>
      <c r="B211" s="68" t="str">
        <f t="shared" si="36"/>
        <v/>
      </c>
      <c r="C211" s="158" t="str">
        <f t="shared" si="37"/>
        <v/>
      </c>
      <c r="D211" s="158" t="str">
        <f t="shared" si="38"/>
        <v/>
      </c>
      <c r="E211" s="157" t="str">
        <f t="shared" si="39"/>
        <v/>
      </c>
      <c r="F211" s="158" t="str">
        <f t="shared" si="40"/>
        <v/>
      </c>
      <c r="G211" s="160" t="str">
        <f t="shared" si="41"/>
        <v/>
      </c>
      <c r="V211" t="str">
        <f t="shared" si="43"/>
        <v/>
      </c>
      <c r="W211" s="18" t="str">
        <f t="shared" si="44"/>
        <v/>
      </c>
      <c r="X211" s="1" t="str">
        <f t="shared" si="47"/>
        <v/>
      </c>
      <c r="Y211" t="str">
        <f t="shared" si="45"/>
        <v/>
      </c>
      <c r="Z211" s="1" t="str">
        <f t="shared" si="46"/>
        <v/>
      </c>
    </row>
    <row r="212" spans="1:26" customFormat="1" x14ac:dyDescent="0.25">
      <c r="A212" s="68" t="str">
        <f t="shared" ref="A212:A263" si="48">IF(A211&lt;B$17,A211+1,"")</f>
        <v/>
      </c>
      <c r="B212" s="68" t="str">
        <f t="shared" ref="B212:B263" si="49">IF(A212="","",IF(A212&lt;=B$16,"carência","amortização"))</f>
        <v/>
      </c>
      <c r="C212" s="158" t="str">
        <f t="shared" si="37"/>
        <v/>
      </c>
      <c r="D212" s="158" t="str">
        <f t="shared" si="38"/>
        <v/>
      </c>
      <c r="E212" s="157" t="str">
        <f t="shared" si="39"/>
        <v/>
      </c>
      <c r="F212" s="158" t="str">
        <f t="shared" si="40"/>
        <v/>
      </c>
      <c r="G212" s="160" t="str">
        <f t="shared" si="41"/>
        <v/>
      </c>
      <c r="V212" t="str">
        <f t="shared" si="43"/>
        <v/>
      </c>
      <c r="W212" s="18" t="str">
        <f t="shared" si="44"/>
        <v/>
      </c>
      <c r="X212" s="1" t="str">
        <f t="shared" si="47"/>
        <v/>
      </c>
      <c r="Y212" t="str">
        <f t="shared" si="45"/>
        <v/>
      </c>
      <c r="Z212" s="1" t="str">
        <f t="shared" si="46"/>
        <v/>
      </c>
    </row>
    <row r="213" spans="1:26" customFormat="1" x14ac:dyDescent="0.25">
      <c r="A213" s="68" t="str">
        <f t="shared" si="48"/>
        <v/>
      </c>
      <c r="B213" s="68" t="str">
        <f t="shared" si="49"/>
        <v/>
      </c>
      <c r="C213" s="158" t="str">
        <f t="shared" si="37"/>
        <v/>
      </c>
      <c r="D213" s="158" t="str">
        <f t="shared" si="38"/>
        <v/>
      </c>
      <c r="E213" s="157" t="str">
        <f t="shared" si="39"/>
        <v/>
      </c>
      <c r="F213" s="158" t="str">
        <f t="shared" si="40"/>
        <v/>
      </c>
      <c r="G213" s="160" t="str">
        <f t="shared" si="41"/>
        <v/>
      </c>
      <c r="V213" t="str">
        <f t="shared" si="43"/>
        <v/>
      </c>
      <c r="W213" s="18" t="str">
        <f t="shared" si="44"/>
        <v/>
      </c>
      <c r="X213" s="1" t="str">
        <f t="shared" si="47"/>
        <v/>
      </c>
      <c r="Y213" t="str">
        <f t="shared" si="45"/>
        <v/>
      </c>
      <c r="Z213" s="1" t="str">
        <f t="shared" si="46"/>
        <v/>
      </c>
    </row>
    <row r="214" spans="1:26" customFormat="1" x14ac:dyDescent="0.25">
      <c r="A214" s="68" t="str">
        <f t="shared" si="48"/>
        <v/>
      </c>
      <c r="B214" s="68" t="str">
        <f t="shared" si="49"/>
        <v/>
      </c>
      <c r="C214" s="158" t="str">
        <f t="shared" ref="C214:C257" si="50">IF(A214="","",IF(A214&gt;B$17,0,($C$23+1)^(22/252)-1)*(F213+D214))</f>
        <v/>
      </c>
      <c r="D214" s="158" t="str">
        <f t="shared" si="38"/>
        <v/>
      </c>
      <c r="E214" s="157" t="str">
        <f t="shared" si="39"/>
        <v/>
      </c>
      <c r="F214" s="158" t="str">
        <f t="shared" si="40"/>
        <v/>
      </c>
      <c r="G214" s="160" t="str">
        <f t="shared" si="41"/>
        <v/>
      </c>
      <c r="V214" t="str">
        <f t="shared" si="43"/>
        <v/>
      </c>
      <c r="W214" s="18" t="str">
        <f t="shared" si="44"/>
        <v/>
      </c>
      <c r="X214" s="1" t="str">
        <f t="shared" si="47"/>
        <v/>
      </c>
      <c r="Y214" t="str">
        <f t="shared" si="45"/>
        <v/>
      </c>
      <c r="Z214" s="1" t="str">
        <f t="shared" si="46"/>
        <v/>
      </c>
    </row>
    <row r="215" spans="1:26" customFormat="1" x14ac:dyDescent="0.25">
      <c r="A215" s="68" t="str">
        <f t="shared" si="48"/>
        <v/>
      </c>
      <c r="B215" s="68" t="str">
        <f t="shared" si="49"/>
        <v/>
      </c>
      <c r="C215" s="158" t="str">
        <f t="shared" si="50"/>
        <v/>
      </c>
      <c r="D215" s="158" t="str">
        <f t="shared" si="38"/>
        <v/>
      </c>
      <c r="E215" s="157" t="str">
        <f t="shared" si="39"/>
        <v/>
      </c>
      <c r="F215" s="158" t="str">
        <f t="shared" si="40"/>
        <v/>
      </c>
      <c r="G215" s="160" t="str">
        <f t="shared" si="41"/>
        <v/>
      </c>
      <c r="V215" t="str">
        <f t="shared" si="43"/>
        <v/>
      </c>
      <c r="W215" s="18" t="str">
        <f t="shared" si="44"/>
        <v/>
      </c>
      <c r="X215" s="1" t="str">
        <f t="shared" si="47"/>
        <v/>
      </c>
      <c r="Y215" t="str">
        <f t="shared" si="45"/>
        <v/>
      </c>
      <c r="Z215" s="1" t="str">
        <f t="shared" si="46"/>
        <v/>
      </c>
    </row>
    <row r="216" spans="1:26" customFormat="1" x14ac:dyDescent="0.25">
      <c r="A216" s="68" t="str">
        <f t="shared" si="48"/>
        <v/>
      </c>
      <c r="B216" s="68" t="str">
        <f t="shared" si="49"/>
        <v/>
      </c>
      <c r="C216" s="158" t="str">
        <f t="shared" si="50"/>
        <v/>
      </c>
      <c r="D216" s="158" t="str">
        <f t="shared" ref="D216:D261" si="51">IF(A216="","",IF(A216&gt;B$17,0,($D$23+1)^(22/252)-1)*(F215))</f>
        <v/>
      </c>
      <c r="E216" s="157" t="str">
        <f t="shared" si="39"/>
        <v/>
      </c>
      <c r="F216" s="158" t="str">
        <f t="shared" si="40"/>
        <v/>
      </c>
      <c r="G216" s="160" t="str">
        <f t="shared" si="41"/>
        <v/>
      </c>
      <c r="V216" t="str">
        <f t="shared" si="43"/>
        <v/>
      </c>
      <c r="W216" s="18" t="str">
        <f t="shared" si="44"/>
        <v/>
      </c>
      <c r="X216" s="1" t="str">
        <f t="shared" si="47"/>
        <v/>
      </c>
      <c r="Y216" t="str">
        <f t="shared" si="45"/>
        <v/>
      </c>
      <c r="Z216" s="1" t="str">
        <f t="shared" si="46"/>
        <v/>
      </c>
    </row>
    <row r="217" spans="1:26" customFormat="1" x14ac:dyDescent="0.25">
      <c r="A217" s="68" t="str">
        <f t="shared" si="48"/>
        <v/>
      </c>
      <c r="B217" s="68" t="str">
        <f t="shared" si="49"/>
        <v/>
      </c>
      <c r="C217" s="158" t="str">
        <f t="shared" si="50"/>
        <v/>
      </c>
      <c r="D217" s="158" t="str">
        <f t="shared" si="51"/>
        <v/>
      </c>
      <c r="E217" s="157" t="str">
        <f t="shared" si="39"/>
        <v/>
      </c>
      <c r="F217" s="158" t="str">
        <f t="shared" si="40"/>
        <v/>
      </c>
      <c r="G217" s="160" t="str">
        <f t="shared" si="41"/>
        <v/>
      </c>
      <c r="V217" t="str">
        <f t="shared" si="43"/>
        <v/>
      </c>
      <c r="W217" s="18" t="str">
        <f t="shared" si="44"/>
        <v/>
      </c>
      <c r="X217" s="1" t="str">
        <f t="shared" si="47"/>
        <v/>
      </c>
      <c r="Y217" t="str">
        <f t="shared" si="45"/>
        <v/>
      </c>
      <c r="Z217" s="1" t="str">
        <f t="shared" si="46"/>
        <v/>
      </c>
    </row>
    <row r="218" spans="1:26" customFormat="1" x14ac:dyDescent="0.25">
      <c r="A218" s="68" t="str">
        <f t="shared" si="48"/>
        <v/>
      </c>
      <c r="B218" s="68" t="str">
        <f t="shared" si="49"/>
        <v/>
      </c>
      <c r="C218" s="158" t="str">
        <f t="shared" si="50"/>
        <v/>
      </c>
      <c r="D218" s="158" t="str">
        <f t="shared" si="51"/>
        <v/>
      </c>
      <c r="E218" s="157" t="str">
        <f t="shared" si="39"/>
        <v/>
      </c>
      <c r="F218" s="158" t="str">
        <f t="shared" si="40"/>
        <v/>
      </c>
      <c r="G218" s="160" t="str">
        <f t="shared" si="41"/>
        <v/>
      </c>
      <c r="V218" t="str">
        <f t="shared" si="43"/>
        <v/>
      </c>
      <c r="W218" s="18" t="str">
        <f t="shared" si="44"/>
        <v/>
      </c>
      <c r="X218" s="1" t="str">
        <f t="shared" si="47"/>
        <v/>
      </c>
      <c r="Y218" t="str">
        <f t="shared" si="45"/>
        <v/>
      </c>
      <c r="Z218" s="1" t="str">
        <f t="shared" si="46"/>
        <v/>
      </c>
    </row>
    <row r="219" spans="1:26" customFormat="1" x14ac:dyDescent="0.25">
      <c r="A219" s="68" t="str">
        <f t="shared" si="48"/>
        <v/>
      </c>
      <c r="B219" s="68" t="str">
        <f t="shared" si="49"/>
        <v/>
      </c>
      <c r="C219" s="158" t="str">
        <f t="shared" si="50"/>
        <v/>
      </c>
      <c r="D219" s="158" t="str">
        <f t="shared" si="51"/>
        <v/>
      </c>
      <c r="E219" s="157" t="str">
        <f t="shared" ref="E219:E257" si="52">IF(A219="","",IF(A219&lt;=B$16,0,F$23/(B$17-B$16)))</f>
        <v/>
      </c>
      <c r="F219" s="158" t="str">
        <f t="shared" ref="F219:F257" si="53">IF(A219="","",F218-E219)</f>
        <v/>
      </c>
      <c r="G219" s="160" t="str">
        <f t="shared" ref="G219:G257" si="54">IF(A219="","",C219+D219+E219)</f>
        <v/>
      </c>
      <c r="V219" t="str">
        <f t="shared" si="43"/>
        <v/>
      </c>
      <c r="W219" s="18" t="str">
        <f t="shared" si="44"/>
        <v/>
      </c>
      <c r="X219" s="1" t="str">
        <f t="shared" si="47"/>
        <v/>
      </c>
      <c r="Y219" t="str">
        <f t="shared" si="45"/>
        <v/>
      </c>
      <c r="Z219" s="1" t="str">
        <f t="shared" si="46"/>
        <v/>
      </c>
    </row>
    <row r="220" spans="1:26" customFormat="1" x14ac:dyDescent="0.25">
      <c r="A220" s="68" t="str">
        <f t="shared" si="48"/>
        <v/>
      </c>
      <c r="B220" s="68" t="str">
        <f t="shared" si="49"/>
        <v/>
      </c>
      <c r="C220" s="158" t="str">
        <f t="shared" si="50"/>
        <v/>
      </c>
      <c r="D220" s="158" t="str">
        <f t="shared" si="51"/>
        <v/>
      </c>
      <c r="E220" s="157" t="str">
        <f t="shared" si="52"/>
        <v/>
      </c>
      <c r="F220" s="158" t="str">
        <f t="shared" si="53"/>
        <v/>
      </c>
      <c r="G220" s="160" t="str">
        <f t="shared" si="54"/>
        <v/>
      </c>
      <c r="V220" t="str">
        <f t="shared" si="43"/>
        <v/>
      </c>
      <c r="W220" s="18" t="str">
        <f t="shared" si="44"/>
        <v/>
      </c>
      <c r="X220" s="1" t="str">
        <f t="shared" si="47"/>
        <v/>
      </c>
      <c r="Y220" t="str">
        <f t="shared" si="45"/>
        <v/>
      </c>
      <c r="Z220" s="1" t="str">
        <f t="shared" si="46"/>
        <v/>
      </c>
    </row>
    <row r="221" spans="1:26" customFormat="1" x14ac:dyDescent="0.25">
      <c r="A221" s="68" t="str">
        <f t="shared" si="48"/>
        <v/>
      </c>
      <c r="B221" s="68" t="str">
        <f t="shared" si="49"/>
        <v/>
      </c>
      <c r="C221" s="158" t="str">
        <f t="shared" si="50"/>
        <v/>
      </c>
      <c r="D221" s="158" t="str">
        <f t="shared" si="51"/>
        <v/>
      </c>
      <c r="E221" s="157" t="str">
        <f t="shared" si="52"/>
        <v/>
      </c>
      <c r="F221" s="158" t="str">
        <f t="shared" si="53"/>
        <v/>
      </c>
      <c r="G221" s="160" t="str">
        <f t="shared" si="54"/>
        <v/>
      </c>
      <c r="V221" t="str">
        <f t="shared" si="43"/>
        <v/>
      </c>
      <c r="W221" s="18" t="str">
        <f t="shared" si="44"/>
        <v/>
      </c>
      <c r="X221" s="1" t="str">
        <f t="shared" si="47"/>
        <v/>
      </c>
      <c r="Y221" t="str">
        <f t="shared" si="45"/>
        <v/>
      </c>
      <c r="Z221" s="1" t="str">
        <f t="shared" si="46"/>
        <v/>
      </c>
    </row>
    <row r="222" spans="1:26" customFormat="1" x14ac:dyDescent="0.25">
      <c r="A222" s="68" t="str">
        <f t="shared" si="48"/>
        <v/>
      </c>
      <c r="B222" s="68" t="str">
        <f t="shared" si="49"/>
        <v/>
      </c>
      <c r="C222" s="158" t="str">
        <f t="shared" si="50"/>
        <v/>
      </c>
      <c r="D222" s="158" t="str">
        <f t="shared" si="51"/>
        <v/>
      </c>
      <c r="E222" s="157" t="str">
        <f t="shared" si="52"/>
        <v/>
      </c>
      <c r="F222" s="158" t="str">
        <f t="shared" si="53"/>
        <v/>
      </c>
      <c r="G222" s="160" t="str">
        <f t="shared" si="54"/>
        <v/>
      </c>
      <c r="V222" t="str">
        <f t="shared" si="43"/>
        <v/>
      </c>
      <c r="W222" s="18" t="str">
        <f t="shared" si="44"/>
        <v/>
      </c>
      <c r="X222" s="1" t="str">
        <f t="shared" ref="X222:X228" si="55">IF(W222="","",IF(V222&lt;=B$16,0,X$27/(B$17-B$16)))</f>
        <v/>
      </c>
      <c r="Y222" t="str">
        <f t="shared" si="45"/>
        <v/>
      </c>
      <c r="Z222" s="1" t="str">
        <f t="shared" si="46"/>
        <v/>
      </c>
    </row>
    <row r="223" spans="1:26" customFormat="1" x14ac:dyDescent="0.25">
      <c r="A223" s="68" t="str">
        <f t="shared" si="48"/>
        <v/>
      </c>
      <c r="B223" s="68" t="str">
        <f t="shared" si="49"/>
        <v/>
      </c>
      <c r="C223" s="158" t="str">
        <f t="shared" si="50"/>
        <v/>
      </c>
      <c r="D223" s="158" t="str">
        <f t="shared" si="51"/>
        <v/>
      </c>
      <c r="E223" s="157" t="str">
        <f t="shared" si="52"/>
        <v/>
      </c>
      <c r="F223" s="158" t="str">
        <f t="shared" si="53"/>
        <v/>
      </c>
      <c r="G223" s="160" t="str">
        <f t="shared" si="54"/>
        <v/>
      </c>
      <c r="V223" t="str">
        <f t="shared" si="43"/>
        <v/>
      </c>
      <c r="W223" s="18" t="str">
        <f t="shared" si="44"/>
        <v/>
      </c>
      <c r="X223" s="1" t="str">
        <f t="shared" si="55"/>
        <v/>
      </c>
      <c r="Y223" t="str">
        <f t="shared" si="45"/>
        <v/>
      </c>
      <c r="Z223" s="1" t="str">
        <f t="shared" si="46"/>
        <v/>
      </c>
    </row>
    <row r="224" spans="1:26" customFormat="1" x14ac:dyDescent="0.25">
      <c r="A224" s="68" t="str">
        <f t="shared" si="48"/>
        <v/>
      </c>
      <c r="B224" s="68" t="str">
        <f t="shared" si="49"/>
        <v/>
      </c>
      <c r="C224" s="158" t="str">
        <f t="shared" si="50"/>
        <v/>
      </c>
      <c r="D224" s="158" t="str">
        <f t="shared" si="51"/>
        <v/>
      </c>
      <c r="E224" s="157" t="str">
        <f t="shared" si="52"/>
        <v/>
      </c>
      <c r="F224" s="158" t="str">
        <f t="shared" si="53"/>
        <v/>
      </c>
      <c r="G224" s="160" t="str">
        <f t="shared" si="54"/>
        <v/>
      </c>
      <c r="V224" t="str">
        <f t="shared" ref="V224:V287" si="56">IF(V223&lt;B$17,V223+1,"")</f>
        <v/>
      </c>
      <c r="W224" s="18" t="str">
        <f t="shared" ref="W224:W287" si="57">IF(V224="","",W223+30)</f>
        <v/>
      </c>
      <c r="X224" s="1" t="str">
        <f t="shared" si="55"/>
        <v/>
      </c>
      <c r="Y224" t="str">
        <f t="shared" ref="Y224:Y287" si="58">IF(X224="","",W224-W$30)</f>
        <v/>
      </c>
      <c r="Z224" s="1" t="str">
        <f t="shared" ref="Z224:Z287" si="59">IF(Y224="","",IF(Y224&lt;365,Y224*X224*X$26,365*X224*X$26))</f>
        <v/>
      </c>
    </row>
    <row r="225" spans="1:26" customFormat="1" x14ac:dyDescent="0.25">
      <c r="A225" s="68" t="str">
        <f t="shared" si="48"/>
        <v/>
      </c>
      <c r="B225" s="68" t="str">
        <f t="shared" si="49"/>
        <v/>
      </c>
      <c r="C225" s="158" t="str">
        <f t="shared" si="50"/>
        <v/>
      </c>
      <c r="D225" s="158" t="str">
        <f t="shared" si="51"/>
        <v/>
      </c>
      <c r="E225" s="157" t="str">
        <f t="shared" si="52"/>
        <v/>
      </c>
      <c r="F225" s="158" t="str">
        <f t="shared" si="53"/>
        <v/>
      </c>
      <c r="G225" s="160" t="str">
        <f t="shared" si="54"/>
        <v/>
      </c>
      <c r="V225" t="str">
        <f t="shared" si="56"/>
        <v/>
      </c>
      <c r="W225" s="18" t="str">
        <f t="shared" si="57"/>
        <v/>
      </c>
      <c r="X225" s="1" t="str">
        <f t="shared" si="55"/>
        <v/>
      </c>
      <c r="Y225" t="str">
        <f t="shared" si="58"/>
        <v/>
      </c>
      <c r="Z225" s="1" t="str">
        <f t="shared" si="59"/>
        <v/>
      </c>
    </row>
    <row r="226" spans="1:26" customFormat="1" x14ac:dyDescent="0.25">
      <c r="A226" s="68" t="str">
        <f t="shared" si="48"/>
        <v/>
      </c>
      <c r="B226" s="68" t="str">
        <f t="shared" si="49"/>
        <v/>
      </c>
      <c r="C226" s="158" t="str">
        <f t="shared" si="50"/>
        <v/>
      </c>
      <c r="D226" s="158" t="str">
        <f t="shared" si="51"/>
        <v/>
      </c>
      <c r="E226" s="157" t="str">
        <f t="shared" si="52"/>
        <v/>
      </c>
      <c r="F226" s="158" t="str">
        <f t="shared" si="53"/>
        <v/>
      </c>
      <c r="G226" s="160" t="str">
        <f t="shared" si="54"/>
        <v/>
      </c>
      <c r="V226" t="str">
        <f t="shared" si="56"/>
        <v/>
      </c>
      <c r="W226" s="18" t="str">
        <f t="shared" si="57"/>
        <v/>
      </c>
      <c r="X226" s="1" t="str">
        <f t="shared" si="55"/>
        <v/>
      </c>
      <c r="Y226" t="str">
        <f t="shared" si="58"/>
        <v/>
      </c>
      <c r="Z226" s="1" t="str">
        <f t="shared" si="59"/>
        <v/>
      </c>
    </row>
    <row r="227" spans="1:26" customFormat="1" x14ac:dyDescent="0.25">
      <c r="A227" s="68" t="str">
        <f t="shared" si="48"/>
        <v/>
      </c>
      <c r="B227" s="68" t="str">
        <f t="shared" si="49"/>
        <v/>
      </c>
      <c r="C227" s="158" t="str">
        <f t="shared" si="50"/>
        <v/>
      </c>
      <c r="D227" s="158" t="str">
        <f t="shared" si="51"/>
        <v/>
      </c>
      <c r="E227" s="157" t="str">
        <f t="shared" si="52"/>
        <v/>
      </c>
      <c r="F227" s="158" t="str">
        <f t="shared" si="53"/>
        <v/>
      </c>
      <c r="G227" s="160" t="str">
        <f t="shared" si="54"/>
        <v/>
      </c>
      <c r="V227" t="str">
        <f t="shared" si="56"/>
        <v/>
      </c>
      <c r="W227" s="18" t="str">
        <f t="shared" si="57"/>
        <v/>
      </c>
      <c r="X227" s="1" t="str">
        <f t="shared" si="55"/>
        <v/>
      </c>
      <c r="Y227" t="str">
        <f t="shared" si="58"/>
        <v/>
      </c>
      <c r="Z227" s="1" t="str">
        <f t="shared" si="59"/>
        <v/>
      </c>
    </row>
    <row r="228" spans="1:26" customFormat="1" x14ac:dyDescent="0.25">
      <c r="A228" s="68" t="str">
        <f t="shared" si="48"/>
        <v/>
      </c>
      <c r="B228" s="68" t="str">
        <f t="shared" si="49"/>
        <v/>
      </c>
      <c r="C228" s="158" t="str">
        <f t="shared" si="50"/>
        <v/>
      </c>
      <c r="D228" s="158" t="str">
        <f t="shared" si="51"/>
        <v/>
      </c>
      <c r="E228" s="157" t="str">
        <f t="shared" si="52"/>
        <v/>
      </c>
      <c r="F228" s="158" t="str">
        <f t="shared" si="53"/>
        <v/>
      </c>
      <c r="G228" s="160" t="str">
        <f t="shared" si="54"/>
        <v/>
      </c>
      <c r="V228" t="str">
        <f t="shared" si="56"/>
        <v/>
      </c>
      <c r="W228" s="18" t="str">
        <f t="shared" si="57"/>
        <v/>
      </c>
      <c r="X228" s="1" t="str">
        <f t="shared" si="55"/>
        <v/>
      </c>
      <c r="Y228" t="str">
        <f t="shared" si="58"/>
        <v/>
      </c>
      <c r="Z228" s="1" t="str">
        <f t="shared" si="59"/>
        <v/>
      </c>
    </row>
    <row r="229" spans="1:26" customFormat="1" x14ac:dyDescent="0.25">
      <c r="A229" s="68" t="str">
        <f t="shared" si="48"/>
        <v/>
      </c>
      <c r="B229" s="68" t="str">
        <f t="shared" si="49"/>
        <v/>
      </c>
      <c r="C229" s="158" t="str">
        <f t="shared" si="50"/>
        <v/>
      </c>
      <c r="D229" s="158" t="str">
        <f t="shared" si="51"/>
        <v/>
      </c>
      <c r="E229" s="157" t="str">
        <f t="shared" si="52"/>
        <v/>
      </c>
      <c r="F229" s="158" t="str">
        <f t="shared" si="53"/>
        <v/>
      </c>
      <c r="G229" s="160" t="str">
        <f t="shared" si="54"/>
        <v/>
      </c>
      <c r="V229" t="str">
        <f t="shared" si="56"/>
        <v/>
      </c>
      <c r="W229" s="18" t="str">
        <f t="shared" si="57"/>
        <v/>
      </c>
      <c r="X229" s="1" t="str">
        <f t="shared" ref="X229:X257" si="60">IF(W229="","",E222)</f>
        <v/>
      </c>
      <c r="Y229" t="str">
        <f t="shared" si="58"/>
        <v/>
      </c>
      <c r="Z229" s="1" t="str">
        <f t="shared" si="59"/>
        <v/>
      </c>
    </row>
    <row r="230" spans="1:26" customFormat="1" x14ac:dyDescent="0.25">
      <c r="A230" s="68" t="str">
        <f t="shared" si="48"/>
        <v/>
      </c>
      <c r="B230" s="68" t="str">
        <f t="shared" si="49"/>
        <v/>
      </c>
      <c r="C230" s="158" t="str">
        <f t="shared" si="50"/>
        <v/>
      </c>
      <c r="D230" s="158" t="str">
        <f t="shared" si="51"/>
        <v/>
      </c>
      <c r="E230" s="157" t="str">
        <f t="shared" si="52"/>
        <v/>
      </c>
      <c r="F230" s="158" t="str">
        <f t="shared" si="53"/>
        <v/>
      </c>
      <c r="G230" s="160" t="str">
        <f t="shared" si="54"/>
        <v/>
      </c>
      <c r="V230" t="str">
        <f t="shared" si="56"/>
        <v/>
      </c>
      <c r="W230" s="18" t="str">
        <f t="shared" si="57"/>
        <v/>
      </c>
      <c r="X230" s="1" t="str">
        <f t="shared" si="60"/>
        <v/>
      </c>
      <c r="Y230" t="str">
        <f t="shared" si="58"/>
        <v/>
      </c>
      <c r="Z230" s="1" t="str">
        <f t="shared" si="59"/>
        <v/>
      </c>
    </row>
    <row r="231" spans="1:26" customFormat="1" x14ac:dyDescent="0.25">
      <c r="A231" s="68" t="str">
        <f t="shared" si="48"/>
        <v/>
      </c>
      <c r="B231" s="68" t="str">
        <f t="shared" si="49"/>
        <v/>
      </c>
      <c r="C231" s="158" t="str">
        <f t="shared" si="50"/>
        <v/>
      </c>
      <c r="D231" s="158" t="str">
        <f t="shared" si="51"/>
        <v/>
      </c>
      <c r="E231" s="157" t="str">
        <f t="shared" si="52"/>
        <v/>
      </c>
      <c r="F231" s="158" t="str">
        <f t="shared" si="53"/>
        <v/>
      </c>
      <c r="G231" s="160" t="str">
        <f t="shared" si="54"/>
        <v/>
      </c>
      <c r="V231" t="str">
        <f t="shared" si="56"/>
        <v/>
      </c>
      <c r="W231" s="18" t="str">
        <f t="shared" si="57"/>
        <v/>
      </c>
      <c r="X231" s="1" t="str">
        <f t="shared" si="60"/>
        <v/>
      </c>
      <c r="Y231" t="str">
        <f t="shared" si="58"/>
        <v/>
      </c>
      <c r="Z231" s="1" t="str">
        <f t="shared" si="59"/>
        <v/>
      </c>
    </row>
    <row r="232" spans="1:26" customFormat="1" x14ac:dyDescent="0.25">
      <c r="A232" s="68" t="str">
        <f t="shared" si="48"/>
        <v/>
      </c>
      <c r="B232" s="68" t="str">
        <f t="shared" si="49"/>
        <v/>
      </c>
      <c r="C232" s="158" t="str">
        <f t="shared" si="50"/>
        <v/>
      </c>
      <c r="D232" s="158" t="str">
        <f t="shared" si="51"/>
        <v/>
      </c>
      <c r="E232" s="157" t="str">
        <f t="shared" si="52"/>
        <v/>
      </c>
      <c r="F232" s="158" t="str">
        <f t="shared" si="53"/>
        <v/>
      </c>
      <c r="G232" s="160" t="str">
        <f t="shared" si="54"/>
        <v/>
      </c>
      <c r="V232" t="str">
        <f t="shared" si="56"/>
        <v/>
      </c>
      <c r="W232" s="18" t="str">
        <f t="shared" si="57"/>
        <v/>
      </c>
      <c r="X232" s="1" t="str">
        <f t="shared" si="60"/>
        <v/>
      </c>
      <c r="Y232" t="str">
        <f t="shared" si="58"/>
        <v/>
      </c>
      <c r="Z232" s="1" t="str">
        <f t="shared" si="59"/>
        <v/>
      </c>
    </row>
    <row r="233" spans="1:26" customFormat="1" x14ac:dyDescent="0.25">
      <c r="A233" s="68" t="str">
        <f t="shared" si="48"/>
        <v/>
      </c>
      <c r="B233" s="68" t="str">
        <f t="shared" si="49"/>
        <v/>
      </c>
      <c r="C233" s="158" t="str">
        <f t="shared" si="50"/>
        <v/>
      </c>
      <c r="D233" s="158" t="str">
        <f t="shared" si="51"/>
        <v/>
      </c>
      <c r="E233" s="157" t="str">
        <f t="shared" si="52"/>
        <v/>
      </c>
      <c r="F233" s="158" t="str">
        <f t="shared" si="53"/>
        <v/>
      </c>
      <c r="G233" s="160" t="str">
        <f t="shared" si="54"/>
        <v/>
      </c>
      <c r="V233" t="str">
        <f t="shared" si="56"/>
        <v/>
      </c>
      <c r="W233" s="18" t="str">
        <f t="shared" si="57"/>
        <v/>
      </c>
      <c r="X233" s="1" t="str">
        <f t="shared" si="60"/>
        <v/>
      </c>
      <c r="Y233" t="str">
        <f t="shared" si="58"/>
        <v/>
      </c>
      <c r="Z233" s="1" t="str">
        <f t="shared" si="59"/>
        <v/>
      </c>
    </row>
    <row r="234" spans="1:26" customFormat="1" x14ac:dyDescent="0.25">
      <c r="A234" s="68" t="str">
        <f t="shared" si="48"/>
        <v/>
      </c>
      <c r="B234" s="68" t="str">
        <f t="shared" si="49"/>
        <v/>
      </c>
      <c r="C234" s="158" t="str">
        <f t="shared" si="50"/>
        <v/>
      </c>
      <c r="D234" s="158" t="str">
        <f t="shared" si="51"/>
        <v/>
      </c>
      <c r="E234" s="157" t="str">
        <f t="shared" si="52"/>
        <v/>
      </c>
      <c r="F234" s="158" t="str">
        <f t="shared" si="53"/>
        <v/>
      </c>
      <c r="G234" s="160" t="str">
        <f t="shared" si="54"/>
        <v/>
      </c>
      <c r="V234" t="str">
        <f t="shared" si="56"/>
        <v/>
      </c>
      <c r="W234" s="18" t="str">
        <f t="shared" si="57"/>
        <v/>
      </c>
      <c r="X234" s="1" t="str">
        <f t="shared" si="60"/>
        <v/>
      </c>
      <c r="Y234" t="str">
        <f t="shared" si="58"/>
        <v/>
      </c>
      <c r="Z234" s="1" t="str">
        <f t="shared" si="59"/>
        <v/>
      </c>
    </row>
    <row r="235" spans="1:26" customFormat="1" x14ac:dyDescent="0.25">
      <c r="A235" s="68" t="str">
        <f t="shared" si="48"/>
        <v/>
      </c>
      <c r="B235" s="68" t="str">
        <f t="shared" si="49"/>
        <v/>
      </c>
      <c r="C235" s="158" t="str">
        <f t="shared" si="50"/>
        <v/>
      </c>
      <c r="D235" s="158" t="str">
        <f t="shared" si="51"/>
        <v/>
      </c>
      <c r="E235" s="157" t="str">
        <f t="shared" si="52"/>
        <v/>
      </c>
      <c r="F235" s="158" t="str">
        <f t="shared" si="53"/>
        <v/>
      </c>
      <c r="G235" s="160" t="str">
        <f t="shared" si="54"/>
        <v/>
      </c>
      <c r="V235" t="str">
        <f t="shared" si="56"/>
        <v/>
      </c>
      <c r="W235" s="18" t="str">
        <f t="shared" si="57"/>
        <v/>
      </c>
      <c r="X235" s="1" t="str">
        <f t="shared" si="60"/>
        <v/>
      </c>
      <c r="Y235" t="str">
        <f t="shared" si="58"/>
        <v/>
      </c>
      <c r="Z235" s="1" t="str">
        <f t="shared" si="59"/>
        <v/>
      </c>
    </row>
    <row r="236" spans="1:26" customFormat="1" x14ac:dyDescent="0.25">
      <c r="A236" s="68" t="str">
        <f t="shared" si="48"/>
        <v/>
      </c>
      <c r="B236" s="68" t="str">
        <f t="shared" si="49"/>
        <v/>
      </c>
      <c r="C236" s="158" t="str">
        <f t="shared" si="50"/>
        <v/>
      </c>
      <c r="D236" s="158" t="str">
        <f t="shared" si="51"/>
        <v/>
      </c>
      <c r="E236" s="157" t="str">
        <f t="shared" si="52"/>
        <v/>
      </c>
      <c r="F236" s="158" t="str">
        <f t="shared" si="53"/>
        <v/>
      </c>
      <c r="G236" s="160" t="str">
        <f t="shared" si="54"/>
        <v/>
      </c>
      <c r="V236" t="str">
        <f t="shared" si="56"/>
        <v/>
      </c>
      <c r="W236" s="18" t="str">
        <f t="shared" si="57"/>
        <v/>
      </c>
      <c r="X236" s="1" t="str">
        <f t="shared" si="60"/>
        <v/>
      </c>
      <c r="Y236" t="str">
        <f t="shared" si="58"/>
        <v/>
      </c>
      <c r="Z236" s="1" t="str">
        <f t="shared" si="59"/>
        <v/>
      </c>
    </row>
    <row r="237" spans="1:26" customFormat="1" x14ac:dyDescent="0.25">
      <c r="A237" s="68" t="str">
        <f t="shared" si="48"/>
        <v/>
      </c>
      <c r="B237" s="68" t="str">
        <f t="shared" si="49"/>
        <v/>
      </c>
      <c r="C237" s="158" t="str">
        <f t="shared" si="50"/>
        <v/>
      </c>
      <c r="D237" s="158" t="str">
        <f t="shared" si="51"/>
        <v/>
      </c>
      <c r="E237" s="157" t="str">
        <f t="shared" si="52"/>
        <v/>
      </c>
      <c r="F237" s="158" t="str">
        <f t="shared" si="53"/>
        <v/>
      </c>
      <c r="G237" s="160" t="str">
        <f t="shared" si="54"/>
        <v/>
      </c>
      <c r="V237" t="str">
        <f t="shared" si="56"/>
        <v/>
      </c>
      <c r="W237" s="18" t="str">
        <f t="shared" si="57"/>
        <v/>
      </c>
      <c r="X237" s="1" t="str">
        <f t="shared" si="60"/>
        <v/>
      </c>
      <c r="Y237" t="str">
        <f t="shared" si="58"/>
        <v/>
      </c>
      <c r="Z237" s="1" t="str">
        <f t="shared" si="59"/>
        <v/>
      </c>
    </row>
    <row r="238" spans="1:26" customFormat="1" x14ac:dyDescent="0.25">
      <c r="A238" s="68" t="str">
        <f t="shared" si="48"/>
        <v/>
      </c>
      <c r="B238" s="68" t="str">
        <f t="shared" si="49"/>
        <v/>
      </c>
      <c r="C238" s="158" t="str">
        <f t="shared" si="50"/>
        <v/>
      </c>
      <c r="D238" s="158" t="str">
        <f t="shared" si="51"/>
        <v/>
      </c>
      <c r="E238" s="157" t="str">
        <f t="shared" si="52"/>
        <v/>
      </c>
      <c r="F238" s="158" t="str">
        <f t="shared" si="53"/>
        <v/>
      </c>
      <c r="G238" s="160" t="str">
        <f t="shared" si="54"/>
        <v/>
      </c>
      <c r="V238" t="str">
        <f t="shared" si="56"/>
        <v/>
      </c>
      <c r="W238" s="18" t="str">
        <f t="shared" si="57"/>
        <v/>
      </c>
      <c r="X238" s="1" t="str">
        <f t="shared" si="60"/>
        <v/>
      </c>
      <c r="Y238" t="str">
        <f t="shared" si="58"/>
        <v/>
      </c>
      <c r="Z238" s="1" t="str">
        <f t="shared" si="59"/>
        <v/>
      </c>
    </row>
    <row r="239" spans="1:26" customFormat="1" x14ac:dyDescent="0.25">
      <c r="A239" s="68" t="str">
        <f t="shared" si="48"/>
        <v/>
      </c>
      <c r="B239" s="68" t="str">
        <f t="shared" si="49"/>
        <v/>
      </c>
      <c r="C239" s="158" t="str">
        <f t="shared" si="50"/>
        <v/>
      </c>
      <c r="D239" s="158" t="str">
        <f t="shared" si="51"/>
        <v/>
      </c>
      <c r="E239" s="157" t="str">
        <f t="shared" si="52"/>
        <v/>
      </c>
      <c r="F239" s="158" t="str">
        <f t="shared" si="53"/>
        <v/>
      </c>
      <c r="G239" s="160" t="str">
        <f t="shared" si="54"/>
        <v/>
      </c>
      <c r="V239" t="str">
        <f t="shared" si="56"/>
        <v/>
      </c>
      <c r="W239" s="18" t="str">
        <f t="shared" si="57"/>
        <v/>
      </c>
      <c r="X239" s="1" t="str">
        <f t="shared" si="60"/>
        <v/>
      </c>
      <c r="Y239" t="str">
        <f t="shared" si="58"/>
        <v/>
      </c>
      <c r="Z239" s="1" t="str">
        <f t="shared" si="59"/>
        <v/>
      </c>
    </row>
    <row r="240" spans="1:26" customFormat="1" x14ac:dyDescent="0.25">
      <c r="A240" s="68" t="str">
        <f t="shared" si="48"/>
        <v/>
      </c>
      <c r="B240" s="68" t="str">
        <f t="shared" si="49"/>
        <v/>
      </c>
      <c r="C240" s="158" t="str">
        <f t="shared" si="50"/>
        <v/>
      </c>
      <c r="D240" s="158" t="str">
        <f t="shared" si="51"/>
        <v/>
      </c>
      <c r="E240" s="157" t="str">
        <f t="shared" si="52"/>
        <v/>
      </c>
      <c r="F240" s="158" t="str">
        <f t="shared" si="53"/>
        <v/>
      </c>
      <c r="G240" s="160" t="str">
        <f t="shared" si="54"/>
        <v/>
      </c>
      <c r="V240" t="str">
        <f t="shared" si="56"/>
        <v/>
      </c>
      <c r="W240" s="18" t="str">
        <f t="shared" si="57"/>
        <v/>
      </c>
      <c r="X240" s="1" t="str">
        <f t="shared" si="60"/>
        <v/>
      </c>
      <c r="Y240" t="str">
        <f t="shared" si="58"/>
        <v/>
      </c>
      <c r="Z240" s="1" t="str">
        <f t="shared" si="59"/>
        <v/>
      </c>
    </row>
    <row r="241" spans="1:26" customFormat="1" x14ac:dyDescent="0.25">
      <c r="A241" s="68" t="str">
        <f t="shared" si="48"/>
        <v/>
      </c>
      <c r="B241" s="68" t="str">
        <f t="shared" si="49"/>
        <v/>
      </c>
      <c r="C241" s="158" t="str">
        <f t="shared" si="50"/>
        <v/>
      </c>
      <c r="D241" s="158" t="str">
        <f t="shared" si="51"/>
        <v/>
      </c>
      <c r="E241" s="157" t="str">
        <f t="shared" si="52"/>
        <v/>
      </c>
      <c r="F241" s="158" t="str">
        <f t="shared" si="53"/>
        <v/>
      </c>
      <c r="G241" s="160" t="str">
        <f t="shared" si="54"/>
        <v/>
      </c>
      <c r="V241" t="str">
        <f t="shared" si="56"/>
        <v/>
      </c>
      <c r="W241" s="18" t="str">
        <f t="shared" si="57"/>
        <v/>
      </c>
      <c r="X241" s="1" t="str">
        <f t="shared" si="60"/>
        <v/>
      </c>
      <c r="Y241" t="str">
        <f t="shared" si="58"/>
        <v/>
      </c>
      <c r="Z241" s="1" t="str">
        <f t="shared" si="59"/>
        <v/>
      </c>
    </row>
    <row r="242" spans="1:26" customFormat="1" x14ac:dyDescent="0.25">
      <c r="A242" s="68" t="str">
        <f t="shared" si="48"/>
        <v/>
      </c>
      <c r="B242" s="68" t="str">
        <f t="shared" si="49"/>
        <v/>
      </c>
      <c r="C242" s="158" t="str">
        <f t="shared" si="50"/>
        <v/>
      </c>
      <c r="D242" s="158" t="str">
        <f t="shared" si="51"/>
        <v/>
      </c>
      <c r="E242" s="157" t="str">
        <f t="shared" si="52"/>
        <v/>
      </c>
      <c r="F242" s="158" t="str">
        <f t="shared" si="53"/>
        <v/>
      </c>
      <c r="G242" s="160" t="str">
        <f t="shared" si="54"/>
        <v/>
      </c>
      <c r="V242" t="str">
        <f t="shared" si="56"/>
        <v/>
      </c>
      <c r="W242" s="18" t="str">
        <f t="shared" si="57"/>
        <v/>
      </c>
      <c r="X242" s="1" t="str">
        <f t="shared" si="60"/>
        <v/>
      </c>
      <c r="Y242" t="str">
        <f t="shared" si="58"/>
        <v/>
      </c>
      <c r="Z242" s="1" t="str">
        <f t="shared" si="59"/>
        <v/>
      </c>
    </row>
    <row r="243" spans="1:26" customFormat="1" x14ac:dyDescent="0.25">
      <c r="A243" s="68" t="str">
        <f t="shared" si="48"/>
        <v/>
      </c>
      <c r="B243" s="68" t="str">
        <f t="shared" si="49"/>
        <v/>
      </c>
      <c r="C243" s="158" t="str">
        <f t="shared" si="50"/>
        <v/>
      </c>
      <c r="D243" s="158" t="str">
        <f t="shared" si="51"/>
        <v/>
      </c>
      <c r="E243" s="157" t="str">
        <f t="shared" si="52"/>
        <v/>
      </c>
      <c r="F243" s="158" t="str">
        <f t="shared" si="53"/>
        <v/>
      </c>
      <c r="G243" s="160" t="str">
        <f t="shared" si="54"/>
        <v/>
      </c>
      <c r="V243" t="str">
        <f t="shared" si="56"/>
        <v/>
      </c>
      <c r="W243" s="18" t="str">
        <f t="shared" si="57"/>
        <v/>
      </c>
      <c r="X243" s="1" t="str">
        <f t="shared" si="60"/>
        <v/>
      </c>
      <c r="Y243" t="str">
        <f t="shared" si="58"/>
        <v/>
      </c>
      <c r="Z243" s="1" t="str">
        <f t="shared" si="59"/>
        <v/>
      </c>
    </row>
    <row r="244" spans="1:26" customFormat="1" x14ac:dyDescent="0.25">
      <c r="A244" s="68" t="str">
        <f t="shared" si="48"/>
        <v/>
      </c>
      <c r="B244" s="68" t="str">
        <f t="shared" si="49"/>
        <v/>
      </c>
      <c r="C244" s="158" t="str">
        <f t="shared" si="50"/>
        <v/>
      </c>
      <c r="D244" s="158" t="str">
        <f t="shared" si="51"/>
        <v/>
      </c>
      <c r="E244" s="157" t="str">
        <f t="shared" si="52"/>
        <v/>
      </c>
      <c r="F244" s="158" t="str">
        <f t="shared" si="53"/>
        <v/>
      </c>
      <c r="G244" s="160" t="str">
        <f t="shared" si="54"/>
        <v/>
      </c>
      <c r="V244" t="str">
        <f t="shared" si="56"/>
        <v/>
      </c>
      <c r="W244" s="18" t="str">
        <f t="shared" si="57"/>
        <v/>
      </c>
      <c r="X244" s="1" t="str">
        <f t="shared" si="60"/>
        <v/>
      </c>
      <c r="Y244" t="str">
        <f t="shared" si="58"/>
        <v/>
      </c>
      <c r="Z244" s="1" t="str">
        <f t="shared" si="59"/>
        <v/>
      </c>
    </row>
    <row r="245" spans="1:26" customFormat="1" x14ac:dyDescent="0.25">
      <c r="A245" s="68" t="str">
        <f t="shared" si="48"/>
        <v/>
      </c>
      <c r="B245" s="68" t="str">
        <f t="shared" si="49"/>
        <v/>
      </c>
      <c r="C245" s="158" t="str">
        <f t="shared" si="50"/>
        <v/>
      </c>
      <c r="D245" s="158" t="str">
        <f t="shared" si="51"/>
        <v/>
      </c>
      <c r="E245" s="157" t="str">
        <f t="shared" si="52"/>
        <v/>
      </c>
      <c r="F245" s="158" t="str">
        <f t="shared" si="53"/>
        <v/>
      </c>
      <c r="G245" s="160" t="str">
        <f t="shared" si="54"/>
        <v/>
      </c>
      <c r="V245" t="str">
        <f t="shared" si="56"/>
        <v/>
      </c>
      <c r="W245" s="18" t="str">
        <f t="shared" si="57"/>
        <v/>
      </c>
      <c r="X245" s="1" t="str">
        <f t="shared" si="60"/>
        <v/>
      </c>
      <c r="Y245" t="str">
        <f t="shared" si="58"/>
        <v/>
      </c>
      <c r="Z245" s="1" t="str">
        <f t="shared" si="59"/>
        <v/>
      </c>
    </row>
    <row r="246" spans="1:26" customFormat="1" x14ac:dyDescent="0.25">
      <c r="A246" s="68" t="str">
        <f t="shared" si="48"/>
        <v/>
      </c>
      <c r="B246" s="68" t="str">
        <f t="shared" si="49"/>
        <v/>
      </c>
      <c r="C246" s="158" t="str">
        <f t="shared" si="50"/>
        <v/>
      </c>
      <c r="D246" s="158" t="str">
        <f t="shared" si="51"/>
        <v/>
      </c>
      <c r="E246" s="157" t="str">
        <f t="shared" si="52"/>
        <v/>
      </c>
      <c r="F246" s="158" t="str">
        <f t="shared" si="53"/>
        <v/>
      </c>
      <c r="G246" s="160" t="str">
        <f t="shared" si="54"/>
        <v/>
      </c>
      <c r="V246" t="str">
        <f t="shared" si="56"/>
        <v/>
      </c>
      <c r="W246" s="18" t="str">
        <f t="shared" si="57"/>
        <v/>
      </c>
      <c r="X246" s="1" t="str">
        <f t="shared" si="60"/>
        <v/>
      </c>
      <c r="Y246" t="str">
        <f t="shared" si="58"/>
        <v/>
      </c>
      <c r="Z246" s="1" t="str">
        <f t="shared" si="59"/>
        <v/>
      </c>
    </row>
    <row r="247" spans="1:26" customFormat="1" x14ac:dyDescent="0.25">
      <c r="A247" s="68" t="str">
        <f t="shared" si="48"/>
        <v/>
      </c>
      <c r="B247" s="68" t="str">
        <f t="shared" si="49"/>
        <v/>
      </c>
      <c r="C247" s="158" t="str">
        <f t="shared" si="50"/>
        <v/>
      </c>
      <c r="D247" s="158" t="str">
        <f t="shared" si="51"/>
        <v/>
      </c>
      <c r="E247" s="157" t="str">
        <f t="shared" si="52"/>
        <v/>
      </c>
      <c r="F247" s="158" t="str">
        <f t="shared" si="53"/>
        <v/>
      </c>
      <c r="G247" s="160" t="str">
        <f t="shared" si="54"/>
        <v/>
      </c>
      <c r="V247" t="str">
        <f t="shared" si="56"/>
        <v/>
      </c>
      <c r="W247" s="18" t="str">
        <f t="shared" si="57"/>
        <v/>
      </c>
      <c r="X247" s="1" t="str">
        <f t="shared" si="60"/>
        <v/>
      </c>
      <c r="Y247" t="str">
        <f t="shared" si="58"/>
        <v/>
      </c>
      <c r="Z247" s="1" t="str">
        <f t="shared" si="59"/>
        <v/>
      </c>
    </row>
    <row r="248" spans="1:26" customFormat="1" x14ac:dyDescent="0.25">
      <c r="A248" s="68" t="str">
        <f t="shared" si="48"/>
        <v/>
      </c>
      <c r="B248" s="68" t="str">
        <f t="shared" si="49"/>
        <v/>
      </c>
      <c r="C248" s="158" t="str">
        <f t="shared" si="50"/>
        <v/>
      </c>
      <c r="D248" s="158" t="str">
        <f t="shared" si="51"/>
        <v/>
      </c>
      <c r="E248" s="157" t="str">
        <f t="shared" si="52"/>
        <v/>
      </c>
      <c r="F248" s="158" t="str">
        <f t="shared" si="53"/>
        <v/>
      </c>
      <c r="G248" s="160" t="str">
        <f t="shared" si="54"/>
        <v/>
      </c>
      <c r="V248" t="str">
        <f t="shared" si="56"/>
        <v/>
      </c>
      <c r="W248" s="18" t="str">
        <f t="shared" si="57"/>
        <v/>
      </c>
      <c r="X248" s="1" t="str">
        <f t="shared" si="60"/>
        <v/>
      </c>
      <c r="Y248" t="str">
        <f t="shared" si="58"/>
        <v/>
      </c>
      <c r="Z248" s="1" t="str">
        <f t="shared" si="59"/>
        <v/>
      </c>
    </row>
    <row r="249" spans="1:26" customFormat="1" x14ac:dyDescent="0.25">
      <c r="A249" s="68" t="str">
        <f t="shared" si="48"/>
        <v/>
      </c>
      <c r="B249" s="68" t="str">
        <f t="shared" si="49"/>
        <v/>
      </c>
      <c r="C249" s="158" t="str">
        <f t="shared" si="50"/>
        <v/>
      </c>
      <c r="D249" s="158" t="str">
        <f t="shared" si="51"/>
        <v/>
      </c>
      <c r="E249" s="157" t="str">
        <f t="shared" si="52"/>
        <v/>
      </c>
      <c r="F249" s="158" t="str">
        <f t="shared" si="53"/>
        <v/>
      </c>
      <c r="G249" s="160" t="str">
        <f t="shared" si="54"/>
        <v/>
      </c>
      <c r="V249" t="str">
        <f t="shared" si="56"/>
        <v/>
      </c>
      <c r="W249" s="18" t="str">
        <f t="shared" si="57"/>
        <v/>
      </c>
      <c r="X249" s="1" t="str">
        <f t="shared" si="60"/>
        <v/>
      </c>
      <c r="Y249" t="str">
        <f t="shared" si="58"/>
        <v/>
      </c>
      <c r="Z249" s="1" t="str">
        <f t="shared" si="59"/>
        <v/>
      </c>
    </row>
    <row r="250" spans="1:26" customFormat="1" x14ac:dyDescent="0.25">
      <c r="A250" s="68" t="str">
        <f t="shared" si="48"/>
        <v/>
      </c>
      <c r="B250" s="68" t="str">
        <f t="shared" si="49"/>
        <v/>
      </c>
      <c r="C250" s="158" t="str">
        <f t="shared" si="50"/>
        <v/>
      </c>
      <c r="D250" s="158" t="str">
        <f t="shared" si="51"/>
        <v/>
      </c>
      <c r="E250" s="157" t="str">
        <f t="shared" si="52"/>
        <v/>
      </c>
      <c r="F250" s="158" t="str">
        <f t="shared" si="53"/>
        <v/>
      </c>
      <c r="G250" s="160" t="str">
        <f t="shared" si="54"/>
        <v/>
      </c>
      <c r="V250" t="str">
        <f t="shared" si="56"/>
        <v/>
      </c>
      <c r="W250" s="18" t="str">
        <f t="shared" si="57"/>
        <v/>
      </c>
      <c r="X250" s="1" t="str">
        <f t="shared" si="60"/>
        <v/>
      </c>
      <c r="Y250" t="str">
        <f t="shared" si="58"/>
        <v/>
      </c>
      <c r="Z250" s="1" t="str">
        <f t="shared" si="59"/>
        <v/>
      </c>
    </row>
    <row r="251" spans="1:26" customFormat="1" x14ac:dyDescent="0.25">
      <c r="A251" s="68" t="str">
        <f t="shared" si="48"/>
        <v/>
      </c>
      <c r="B251" s="68" t="str">
        <f t="shared" si="49"/>
        <v/>
      </c>
      <c r="C251" s="158" t="str">
        <f t="shared" si="50"/>
        <v/>
      </c>
      <c r="D251" s="158" t="str">
        <f t="shared" si="51"/>
        <v/>
      </c>
      <c r="E251" s="157" t="str">
        <f t="shared" si="52"/>
        <v/>
      </c>
      <c r="F251" s="158" t="str">
        <f t="shared" si="53"/>
        <v/>
      </c>
      <c r="G251" s="160" t="str">
        <f t="shared" si="54"/>
        <v/>
      </c>
      <c r="V251" t="str">
        <f t="shared" si="56"/>
        <v/>
      </c>
      <c r="W251" s="18" t="str">
        <f t="shared" si="57"/>
        <v/>
      </c>
      <c r="X251" s="1" t="str">
        <f t="shared" si="60"/>
        <v/>
      </c>
      <c r="Y251" t="str">
        <f t="shared" si="58"/>
        <v/>
      </c>
      <c r="Z251" s="1" t="str">
        <f t="shared" si="59"/>
        <v/>
      </c>
    </row>
    <row r="252" spans="1:26" x14ac:dyDescent="0.25">
      <c r="A252" s="68" t="str">
        <f t="shared" si="48"/>
        <v/>
      </c>
      <c r="B252" s="68" t="str">
        <f t="shared" si="49"/>
        <v/>
      </c>
      <c r="C252" s="158" t="str">
        <f t="shared" si="50"/>
        <v/>
      </c>
      <c r="D252" s="158" t="str">
        <f t="shared" si="51"/>
        <v/>
      </c>
      <c r="E252" s="157" t="str">
        <f t="shared" si="52"/>
        <v/>
      </c>
      <c r="F252" s="158" t="str">
        <f t="shared" si="53"/>
        <v/>
      </c>
      <c r="G252" s="160" t="str">
        <f t="shared" si="54"/>
        <v/>
      </c>
      <c r="V252" s="2" t="str">
        <f t="shared" si="56"/>
        <v/>
      </c>
      <c r="W252" s="8" t="str">
        <f t="shared" si="57"/>
        <v/>
      </c>
      <c r="X252" s="9" t="str">
        <f t="shared" si="60"/>
        <v/>
      </c>
      <c r="Y252" s="2" t="str">
        <f t="shared" si="58"/>
        <v/>
      </c>
      <c r="Z252" s="9" t="str">
        <f t="shared" si="59"/>
        <v/>
      </c>
    </row>
    <row r="253" spans="1:26" x14ac:dyDescent="0.25">
      <c r="A253" s="68" t="str">
        <f t="shared" si="48"/>
        <v/>
      </c>
      <c r="B253" s="68" t="str">
        <f t="shared" si="49"/>
        <v/>
      </c>
      <c r="C253" s="158" t="str">
        <f t="shared" si="50"/>
        <v/>
      </c>
      <c r="D253" s="158" t="str">
        <f t="shared" si="51"/>
        <v/>
      </c>
      <c r="E253" s="157" t="str">
        <f t="shared" si="52"/>
        <v/>
      </c>
      <c r="F253" s="158" t="str">
        <f t="shared" si="53"/>
        <v/>
      </c>
      <c r="G253" s="160" t="str">
        <f t="shared" si="54"/>
        <v/>
      </c>
      <c r="V253" s="2" t="str">
        <f t="shared" si="56"/>
        <v/>
      </c>
      <c r="W253" s="8" t="str">
        <f t="shared" si="57"/>
        <v/>
      </c>
      <c r="X253" s="9" t="str">
        <f t="shared" si="60"/>
        <v/>
      </c>
      <c r="Y253" s="2" t="str">
        <f t="shared" si="58"/>
        <v/>
      </c>
      <c r="Z253" s="9" t="str">
        <f t="shared" si="59"/>
        <v/>
      </c>
    </row>
    <row r="254" spans="1:26" x14ac:dyDescent="0.25">
      <c r="A254" s="68" t="str">
        <f t="shared" si="48"/>
        <v/>
      </c>
      <c r="B254" s="68" t="str">
        <f t="shared" si="49"/>
        <v/>
      </c>
      <c r="C254" s="158" t="str">
        <f t="shared" si="50"/>
        <v/>
      </c>
      <c r="D254" s="158" t="str">
        <f t="shared" si="51"/>
        <v/>
      </c>
      <c r="E254" s="157" t="str">
        <f t="shared" si="52"/>
        <v/>
      </c>
      <c r="F254" s="158" t="str">
        <f t="shared" si="53"/>
        <v/>
      </c>
      <c r="G254" s="160" t="str">
        <f t="shared" si="54"/>
        <v/>
      </c>
      <c r="V254" s="2" t="str">
        <f t="shared" si="56"/>
        <v/>
      </c>
      <c r="W254" s="8" t="str">
        <f t="shared" si="57"/>
        <v/>
      </c>
      <c r="X254" s="9" t="str">
        <f t="shared" si="60"/>
        <v/>
      </c>
      <c r="Y254" s="2" t="str">
        <f t="shared" si="58"/>
        <v/>
      </c>
      <c r="Z254" s="9" t="str">
        <f t="shared" si="59"/>
        <v/>
      </c>
    </row>
    <row r="255" spans="1:26" x14ac:dyDescent="0.25">
      <c r="A255" s="68" t="str">
        <f t="shared" si="48"/>
        <v/>
      </c>
      <c r="B255" s="68" t="str">
        <f t="shared" si="49"/>
        <v/>
      </c>
      <c r="C255" s="158" t="str">
        <f t="shared" si="50"/>
        <v/>
      </c>
      <c r="D255" s="158" t="str">
        <f t="shared" si="51"/>
        <v/>
      </c>
      <c r="E255" s="157" t="str">
        <f t="shared" si="52"/>
        <v/>
      </c>
      <c r="F255" s="158" t="str">
        <f t="shared" si="53"/>
        <v/>
      </c>
      <c r="G255" s="160" t="str">
        <f t="shared" si="54"/>
        <v/>
      </c>
      <c r="V255" s="2" t="str">
        <f t="shared" si="56"/>
        <v/>
      </c>
      <c r="W255" s="8" t="str">
        <f t="shared" si="57"/>
        <v/>
      </c>
      <c r="X255" s="9" t="str">
        <f t="shared" si="60"/>
        <v/>
      </c>
      <c r="Y255" s="2" t="str">
        <f t="shared" si="58"/>
        <v/>
      </c>
      <c r="Z255" s="9" t="str">
        <f t="shared" si="59"/>
        <v/>
      </c>
    </row>
    <row r="256" spans="1:26" x14ac:dyDescent="0.25">
      <c r="A256" s="68" t="str">
        <f t="shared" si="48"/>
        <v/>
      </c>
      <c r="B256" s="68" t="str">
        <f t="shared" si="49"/>
        <v/>
      </c>
      <c r="C256" s="158" t="str">
        <f t="shared" si="50"/>
        <v/>
      </c>
      <c r="D256" s="158" t="str">
        <f t="shared" si="51"/>
        <v/>
      </c>
      <c r="E256" s="157" t="str">
        <f t="shared" si="52"/>
        <v/>
      </c>
      <c r="F256" s="158" t="str">
        <f t="shared" si="53"/>
        <v/>
      </c>
      <c r="G256" s="160" t="str">
        <f t="shared" si="54"/>
        <v/>
      </c>
      <c r="V256" s="2" t="str">
        <f t="shared" si="56"/>
        <v/>
      </c>
      <c r="W256" s="8" t="str">
        <f t="shared" si="57"/>
        <v/>
      </c>
      <c r="X256" s="9" t="str">
        <f t="shared" si="60"/>
        <v/>
      </c>
      <c r="Y256" s="2" t="str">
        <f t="shared" si="58"/>
        <v/>
      </c>
      <c r="Z256" s="9" t="str">
        <f t="shared" si="59"/>
        <v/>
      </c>
    </row>
    <row r="257" spans="1:26" x14ac:dyDescent="0.25">
      <c r="A257" s="68" t="str">
        <f t="shared" si="48"/>
        <v/>
      </c>
      <c r="B257" s="68" t="str">
        <f t="shared" si="49"/>
        <v/>
      </c>
      <c r="C257" s="158" t="str">
        <f t="shared" si="50"/>
        <v/>
      </c>
      <c r="D257" s="158" t="str">
        <f t="shared" si="51"/>
        <v/>
      </c>
      <c r="E257" s="157" t="str">
        <f t="shared" si="52"/>
        <v/>
      </c>
      <c r="F257" s="158" t="str">
        <f t="shared" si="53"/>
        <v/>
      </c>
      <c r="G257" s="160" t="str">
        <f t="shared" si="54"/>
        <v/>
      </c>
      <c r="V257" s="2" t="str">
        <f t="shared" si="56"/>
        <v/>
      </c>
      <c r="W257" s="8" t="str">
        <f t="shared" si="57"/>
        <v/>
      </c>
      <c r="X257" s="9" t="str">
        <f t="shared" si="60"/>
        <v/>
      </c>
      <c r="Y257" s="2" t="str">
        <f t="shared" si="58"/>
        <v/>
      </c>
      <c r="Z257" s="9" t="str">
        <f t="shared" si="59"/>
        <v/>
      </c>
    </row>
    <row r="258" spans="1:26" x14ac:dyDescent="0.25">
      <c r="A258" s="68" t="str">
        <f t="shared" si="48"/>
        <v/>
      </c>
      <c r="B258" s="68" t="str">
        <f t="shared" si="49"/>
        <v/>
      </c>
      <c r="C258" s="158" t="str">
        <f t="shared" ref="C258:C262" si="61">IF(A258="","",IF(A258&gt;B$17,0,($C$23+1)^(22/252)-1)*(F257+D258))</f>
        <v/>
      </c>
      <c r="D258" s="158" t="str">
        <f t="shared" si="51"/>
        <v/>
      </c>
      <c r="E258" s="157" t="str">
        <f t="shared" ref="E258:E263" si="62">IF(A258="","",IF(A258&lt;=B$16,0,F$23/(B$17-B$16)))</f>
        <v/>
      </c>
      <c r="F258" s="158" t="str">
        <f t="shared" ref="F258:F263" si="63">IF(A258="","",F257-E258)</f>
        <v/>
      </c>
      <c r="G258" s="160" t="str">
        <f t="shared" ref="G258:G263" si="64">IF(A258="","",C258+D258+E258)</f>
        <v/>
      </c>
      <c r="V258" s="2" t="str">
        <f t="shared" si="56"/>
        <v/>
      </c>
      <c r="W258" s="8" t="str">
        <f t="shared" si="57"/>
        <v/>
      </c>
      <c r="X258" s="9" t="str">
        <f t="shared" ref="X258:X321" si="65">IF(W258="","",D251)</f>
        <v/>
      </c>
      <c r="Y258" s="2" t="str">
        <f t="shared" si="58"/>
        <v/>
      </c>
      <c r="Z258" s="9" t="str">
        <f t="shared" si="59"/>
        <v/>
      </c>
    </row>
    <row r="259" spans="1:26" x14ac:dyDescent="0.25">
      <c r="A259" s="68" t="str">
        <f t="shared" si="48"/>
        <v/>
      </c>
      <c r="B259" s="68" t="str">
        <f t="shared" si="49"/>
        <v/>
      </c>
      <c r="C259" s="158" t="str">
        <f t="shared" si="61"/>
        <v/>
      </c>
      <c r="D259" s="158" t="str">
        <f t="shared" si="51"/>
        <v/>
      </c>
      <c r="E259" s="157" t="str">
        <f t="shared" si="62"/>
        <v/>
      </c>
      <c r="F259" s="158" t="str">
        <f t="shared" si="63"/>
        <v/>
      </c>
      <c r="G259" s="160" t="str">
        <f t="shared" si="64"/>
        <v/>
      </c>
      <c r="V259" s="2" t="str">
        <f t="shared" si="56"/>
        <v/>
      </c>
      <c r="W259" s="8" t="str">
        <f t="shared" si="57"/>
        <v/>
      </c>
      <c r="X259" s="9" t="str">
        <f t="shared" si="65"/>
        <v/>
      </c>
      <c r="Y259" s="2" t="str">
        <f t="shared" si="58"/>
        <v/>
      </c>
      <c r="Z259" s="9" t="str">
        <f t="shared" si="59"/>
        <v/>
      </c>
    </row>
    <row r="260" spans="1:26" x14ac:dyDescent="0.25">
      <c r="A260" s="68" t="str">
        <f t="shared" si="48"/>
        <v/>
      </c>
      <c r="B260" s="68" t="str">
        <f t="shared" si="49"/>
        <v/>
      </c>
      <c r="C260" s="158" t="str">
        <f t="shared" si="61"/>
        <v/>
      </c>
      <c r="D260" s="158" t="str">
        <f t="shared" si="51"/>
        <v/>
      </c>
      <c r="E260" s="157" t="str">
        <f t="shared" si="62"/>
        <v/>
      </c>
      <c r="F260" s="158" t="str">
        <f t="shared" si="63"/>
        <v/>
      </c>
      <c r="G260" s="160" t="str">
        <f t="shared" si="64"/>
        <v/>
      </c>
      <c r="V260" s="2" t="str">
        <f t="shared" si="56"/>
        <v/>
      </c>
      <c r="W260" s="8" t="str">
        <f t="shared" si="57"/>
        <v/>
      </c>
      <c r="X260" s="9" t="str">
        <f t="shared" si="65"/>
        <v/>
      </c>
      <c r="Y260" s="2" t="str">
        <f t="shared" si="58"/>
        <v/>
      </c>
      <c r="Z260" s="9" t="str">
        <f t="shared" si="59"/>
        <v/>
      </c>
    </row>
    <row r="261" spans="1:26" x14ac:dyDescent="0.25">
      <c r="A261" s="68" t="str">
        <f t="shared" si="48"/>
        <v/>
      </c>
      <c r="B261" s="68" t="str">
        <f t="shared" si="49"/>
        <v/>
      </c>
      <c r="C261" s="158" t="str">
        <f t="shared" si="61"/>
        <v/>
      </c>
      <c r="D261" s="158" t="str">
        <f t="shared" si="51"/>
        <v/>
      </c>
      <c r="E261" s="157" t="str">
        <f t="shared" si="62"/>
        <v/>
      </c>
      <c r="F261" s="158" t="str">
        <f t="shared" si="63"/>
        <v/>
      </c>
      <c r="G261" s="160" t="str">
        <f t="shared" si="64"/>
        <v/>
      </c>
      <c r="V261" s="2" t="str">
        <f t="shared" si="56"/>
        <v/>
      </c>
      <c r="W261" s="8" t="str">
        <f t="shared" si="57"/>
        <v/>
      </c>
      <c r="X261" s="9" t="str">
        <f t="shared" si="65"/>
        <v/>
      </c>
      <c r="Y261" s="2" t="str">
        <f t="shared" si="58"/>
        <v/>
      </c>
      <c r="Z261" s="9" t="str">
        <f t="shared" si="59"/>
        <v/>
      </c>
    </row>
    <row r="262" spans="1:26" x14ac:dyDescent="0.25">
      <c r="A262" s="68" t="str">
        <f t="shared" si="48"/>
        <v/>
      </c>
      <c r="B262" s="68" t="str">
        <f t="shared" si="49"/>
        <v/>
      </c>
      <c r="C262" s="158" t="str">
        <f t="shared" si="61"/>
        <v/>
      </c>
      <c r="D262" s="158" t="str">
        <f>IF(A262="","",IF(A262&gt;B$17,0,($D$23+1)^(22/252)-1)*(F261))</f>
        <v/>
      </c>
      <c r="E262" s="157" t="str">
        <f t="shared" si="62"/>
        <v/>
      </c>
      <c r="F262" s="158" t="str">
        <f t="shared" si="63"/>
        <v/>
      </c>
      <c r="G262" s="160" t="str">
        <f t="shared" si="64"/>
        <v/>
      </c>
      <c r="V262" s="2" t="str">
        <f t="shared" si="56"/>
        <v/>
      </c>
      <c r="W262" s="8" t="str">
        <f t="shared" si="57"/>
        <v/>
      </c>
      <c r="X262" s="9" t="str">
        <f t="shared" si="65"/>
        <v/>
      </c>
      <c r="Y262" s="2" t="str">
        <f t="shared" si="58"/>
        <v/>
      </c>
      <c r="Z262" s="9" t="str">
        <f t="shared" si="59"/>
        <v/>
      </c>
    </row>
    <row r="263" spans="1:26" x14ac:dyDescent="0.25">
      <c r="A263" s="68" t="str">
        <f t="shared" si="48"/>
        <v/>
      </c>
      <c r="B263" s="68" t="str">
        <f t="shared" si="49"/>
        <v/>
      </c>
      <c r="C263" s="158" t="str">
        <f>IF(A263="","",IF(A263&gt;B$17,0,($C$23+1)^(22/252)-1)*(F262+D263))</f>
        <v/>
      </c>
      <c r="D263" s="158" t="str">
        <f>IF(A263="","",IF(A263&gt;B$17,0,($D$23+1)^(22/252)-1)*(F262))</f>
        <v/>
      </c>
      <c r="E263" s="157" t="str">
        <f t="shared" si="62"/>
        <v/>
      </c>
      <c r="F263" s="158" t="str">
        <f t="shared" si="63"/>
        <v/>
      </c>
      <c r="G263" s="160" t="str">
        <f t="shared" si="64"/>
        <v/>
      </c>
      <c r="V263" s="2" t="str">
        <f t="shared" si="56"/>
        <v/>
      </c>
      <c r="W263" s="8" t="str">
        <f t="shared" si="57"/>
        <v/>
      </c>
      <c r="X263" s="9" t="str">
        <f t="shared" si="65"/>
        <v/>
      </c>
      <c r="Y263" s="2" t="str">
        <f t="shared" si="58"/>
        <v/>
      </c>
      <c r="Z263" s="9" t="str">
        <f t="shared" si="59"/>
        <v/>
      </c>
    </row>
    <row r="264" spans="1:26" x14ac:dyDescent="0.25">
      <c r="A264" s="68"/>
      <c r="B264" s="68"/>
      <c r="C264" s="158"/>
      <c r="D264" s="158"/>
      <c r="E264" s="157"/>
      <c r="F264" s="158"/>
      <c r="G264" s="160"/>
      <c r="V264" s="2" t="str">
        <f t="shared" si="56"/>
        <v/>
      </c>
      <c r="W264" s="8" t="str">
        <f t="shared" si="57"/>
        <v/>
      </c>
      <c r="X264" s="9" t="str">
        <f t="shared" si="65"/>
        <v/>
      </c>
      <c r="Y264" s="2" t="str">
        <f t="shared" si="58"/>
        <v/>
      </c>
      <c r="Z264" s="9" t="str">
        <f t="shared" si="59"/>
        <v/>
      </c>
    </row>
    <row r="265" spans="1:26" x14ac:dyDescent="0.25">
      <c r="A265" s="73"/>
      <c r="V265" s="2" t="str">
        <f t="shared" si="56"/>
        <v/>
      </c>
      <c r="W265" s="8" t="str">
        <f t="shared" si="57"/>
        <v/>
      </c>
      <c r="X265" s="9" t="str">
        <f t="shared" si="65"/>
        <v/>
      </c>
      <c r="Y265" s="2" t="str">
        <f t="shared" si="58"/>
        <v/>
      </c>
      <c r="Z265" s="9" t="str">
        <f t="shared" si="59"/>
        <v/>
      </c>
    </row>
    <row r="266" spans="1:26" x14ac:dyDescent="0.25">
      <c r="A266" s="73"/>
      <c r="V266" s="2" t="str">
        <f t="shared" si="56"/>
        <v/>
      </c>
      <c r="W266" s="8" t="str">
        <f t="shared" si="57"/>
        <v/>
      </c>
      <c r="X266" s="9" t="str">
        <f t="shared" si="65"/>
        <v/>
      </c>
      <c r="Y266" s="2" t="str">
        <f t="shared" si="58"/>
        <v/>
      </c>
      <c r="Z266" s="9" t="str">
        <f t="shared" si="59"/>
        <v/>
      </c>
    </row>
    <row r="267" spans="1:26" x14ac:dyDescent="0.25">
      <c r="A267" s="73"/>
      <c r="V267" s="2" t="str">
        <f t="shared" si="56"/>
        <v/>
      </c>
      <c r="W267" s="8" t="str">
        <f t="shared" si="57"/>
        <v/>
      </c>
      <c r="X267" s="9" t="str">
        <f t="shared" si="65"/>
        <v/>
      </c>
      <c r="Y267" s="2" t="str">
        <f t="shared" si="58"/>
        <v/>
      </c>
      <c r="Z267" s="9" t="str">
        <f t="shared" si="59"/>
        <v/>
      </c>
    </row>
    <row r="268" spans="1:26" x14ac:dyDescent="0.25">
      <c r="A268" s="73"/>
      <c r="V268" s="2" t="str">
        <f t="shared" si="56"/>
        <v/>
      </c>
      <c r="W268" s="8" t="str">
        <f t="shared" si="57"/>
        <v/>
      </c>
      <c r="X268" s="9" t="str">
        <f t="shared" si="65"/>
        <v/>
      </c>
      <c r="Y268" s="2" t="str">
        <f t="shared" si="58"/>
        <v/>
      </c>
      <c r="Z268" s="9" t="str">
        <f t="shared" si="59"/>
        <v/>
      </c>
    </row>
    <row r="269" spans="1:26" x14ac:dyDescent="0.25">
      <c r="A269" s="73"/>
      <c r="V269" s="2" t="str">
        <f t="shared" si="56"/>
        <v/>
      </c>
      <c r="W269" s="8" t="str">
        <f t="shared" si="57"/>
        <v/>
      </c>
      <c r="X269" s="9" t="str">
        <f t="shared" si="65"/>
        <v/>
      </c>
      <c r="Y269" s="2" t="str">
        <f t="shared" si="58"/>
        <v/>
      </c>
      <c r="Z269" s="9" t="str">
        <f t="shared" si="59"/>
        <v/>
      </c>
    </row>
    <row r="270" spans="1:26" x14ac:dyDescent="0.25">
      <c r="A270" s="73"/>
      <c r="V270" s="2" t="str">
        <f t="shared" si="56"/>
        <v/>
      </c>
      <c r="W270" s="8" t="str">
        <f t="shared" si="57"/>
        <v/>
      </c>
      <c r="X270" s="9" t="str">
        <f t="shared" si="65"/>
        <v/>
      </c>
      <c r="Y270" s="2" t="str">
        <f t="shared" si="58"/>
        <v/>
      </c>
      <c r="Z270" s="9" t="str">
        <f t="shared" si="59"/>
        <v/>
      </c>
    </row>
    <row r="271" spans="1:26" x14ac:dyDescent="0.25">
      <c r="A271" s="73"/>
      <c r="V271" s="2" t="str">
        <f t="shared" si="56"/>
        <v/>
      </c>
      <c r="W271" s="8" t="str">
        <f t="shared" si="57"/>
        <v/>
      </c>
      <c r="X271" s="9" t="str">
        <f t="shared" si="65"/>
        <v/>
      </c>
      <c r="Y271" s="2" t="str">
        <f t="shared" si="58"/>
        <v/>
      </c>
      <c r="Z271" s="9" t="str">
        <f t="shared" si="59"/>
        <v/>
      </c>
    </row>
    <row r="272" spans="1:26" x14ac:dyDescent="0.25">
      <c r="A272" s="73"/>
      <c r="V272" s="2" t="str">
        <f t="shared" si="56"/>
        <v/>
      </c>
      <c r="W272" s="8" t="str">
        <f t="shared" si="57"/>
        <v/>
      </c>
      <c r="X272" s="9" t="str">
        <f t="shared" si="65"/>
        <v/>
      </c>
      <c r="Y272" s="2" t="str">
        <f t="shared" si="58"/>
        <v/>
      </c>
      <c r="Z272" s="9" t="str">
        <f t="shared" si="59"/>
        <v/>
      </c>
    </row>
    <row r="273" spans="1:26" x14ac:dyDescent="0.25">
      <c r="A273" s="73"/>
      <c r="V273" s="2" t="str">
        <f t="shared" si="56"/>
        <v/>
      </c>
      <c r="W273" s="8" t="str">
        <f t="shared" si="57"/>
        <v/>
      </c>
      <c r="X273" s="9" t="str">
        <f t="shared" si="65"/>
        <v/>
      </c>
      <c r="Y273" s="2" t="str">
        <f t="shared" si="58"/>
        <v/>
      </c>
      <c r="Z273" s="9" t="str">
        <f t="shared" si="59"/>
        <v/>
      </c>
    </row>
    <row r="274" spans="1:26" x14ac:dyDescent="0.25">
      <c r="A274" s="73"/>
      <c r="V274" s="2" t="str">
        <f t="shared" si="56"/>
        <v/>
      </c>
      <c r="W274" s="8" t="str">
        <f t="shared" si="57"/>
        <v/>
      </c>
      <c r="X274" s="9" t="str">
        <f t="shared" si="65"/>
        <v/>
      </c>
      <c r="Y274" s="2" t="str">
        <f t="shared" si="58"/>
        <v/>
      </c>
      <c r="Z274" s="9" t="str">
        <f t="shared" si="59"/>
        <v/>
      </c>
    </row>
    <row r="275" spans="1:26" x14ac:dyDescent="0.25">
      <c r="A275" s="73"/>
      <c r="V275" s="2" t="str">
        <f t="shared" si="56"/>
        <v/>
      </c>
      <c r="W275" s="8" t="str">
        <f t="shared" si="57"/>
        <v/>
      </c>
      <c r="X275" s="9" t="str">
        <f t="shared" si="65"/>
        <v/>
      </c>
      <c r="Y275" s="2" t="str">
        <f t="shared" si="58"/>
        <v/>
      </c>
      <c r="Z275" s="9" t="str">
        <f t="shared" si="59"/>
        <v/>
      </c>
    </row>
    <row r="276" spans="1:26" x14ac:dyDescent="0.25">
      <c r="A276" s="73"/>
      <c r="V276" s="2" t="str">
        <f t="shared" si="56"/>
        <v/>
      </c>
      <c r="W276" s="8" t="str">
        <f t="shared" si="57"/>
        <v/>
      </c>
      <c r="X276" s="9" t="str">
        <f t="shared" si="65"/>
        <v/>
      </c>
      <c r="Y276" s="2" t="str">
        <f t="shared" si="58"/>
        <v/>
      </c>
      <c r="Z276" s="9" t="str">
        <f t="shared" si="59"/>
        <v/>
      </c>
    </row>
    <row r="277" spans="1:26" x14ac:dyDescent="0.25">
      <c r="V277" s="2" t="str">
        <f t="shared" si="56"/>
        <v/>
      </c>
      <c r="W277" s="8" t="str">
        <f t="shared" si="57"/>
        <v/>
      </c>
      <c r="X277" s="9" t="str">
        <f t="shared" si="65"/>
        <v/>
      </c>
      <c r="Y277" s="2" t="str">
        <f t="shared" si="58"/>
        <v/>
      </c>
      <c r="Z277" s="9" t="str">
        <f t="shared" si="59"/>
        <v/>
      </c>
    </row>
    <row r="278" spans="1:26" x14ac:dyDescent="0.25">
      <c r="V278" s="2" t="str">
        <f t="shared" si="56"/>
        <v/>
      </c>
      <c r="W278" s="8" t="str">
        <f t="shared" si="57"/>
        <v/>
      </c>
      <c r="X278" s="9" t="str">
        <f t="shared" si="65"/>
        <v/>
      </c>
      <c r="Y278" s="2" t="str">
        <f t="shared" si="58"/>
        <v/>
      </c>
      <c r="Z278" s="9" t="str">
        <f t="shared" si="59"/>
        <v/>
      </c>
    </row>
    <row r="279" spans="1:26" x14ac:dyDescent="0.25">
      <c r="V279" s="2" t="str">
        <f t="shared" si="56"/>
        <v/>
      </c>
      <c r="W279" s="8" t="str">
        <f t="shared" si="57"/>
        <v/>
      </c>
      <c r="X279" s="9" t="str">
        <f t="shared" si="65"/>
        <v/>
      </c>
      <c r="Y279" s="2" t="str">
        <f t="shared" si="58"/>
        <v/>
      </c>
      <c r="Z279" s="9" t="str">
        <f t="shared" si="59"/>
        <v/>
      </c>
    </row>
    <row r="280" spans="1:26" x14ac:dyDescent="0.25">
      <c r="V280" s="2" t="str">
        <f t="shared" si="56"/>
        <v/>
      </c>
      <c r="W280" s="8" t="str">
        <f t="shared" si="57"/>
        <v/>
      </c>
      <c r="X280" s="9" t="str">
        <f t="shared" si="65"/>
        <v/>
      </c>
      <c r="Y280" s="2" t="str">
        <f t="shared" si="58"/>
        <v/>
      </c>
      <c r="Z280" s="9" t="str">
        <f t="shared" si="59"/>
        <v/>
      </c>
    </row>
    <row r="281" spans="1:26" x14ac:dyDescent="0.25">
      <c r="V281" s="2" t="str">
        <f t="shared" si="56"/>
        <v/>
      </c>
      <c r="W281" s="8" t="str">
        <f t="shared" si="57"/>
        <v/>
      </c>
      <c r="X281" s="9" t="str">
        <f t="shared" si="65"/>
        <v/>
      </c>
      <c r="Y281" s="2" t="str">
        <f t="shared" si="58"/>
        <v/>
      </c>
      <c r="Z281" s="9" t="str">
        <f t="shared" si="59"/>
        <v/>
      </c>
    </row>
    <row r="282" spans="1:26" x14ac:dyDescent="0.25">
      <c r="V282" s="2" t="str">
        <f t="shared" si="56"/>
        <v/>
      </c>
      <c r="W282" s="8" t="str">
        <f t="shared" si="57"/>
        <v/>
      </c>
      <c r="X282" s="9" t="str">
        <f t="shared" si="65"/>
        <v/>
      </c>
      <c r="Y282" s="2" t="str">
        <f t="shared" si="58"/>
        <v/>
      </c>
      <c r="Z282" s="9" t="str">
        <f t="shared" si="59"/>
        <v/>
      </c>
    </row>
    <row r="283" spans="1:26" x14ac:dyDescent="0.25">
      <c r="V283" s="2" t="str">
        <f t="shared" si="56"/>
        <v/>
      </c>
      <c r="W283" s="8" t="str">
        <f t="shared" si="57"/>
        <v/>
      </c>
      <c r="X283" s="9" t="str">
        <f t="shared" si="65"/>
        <v/>
      </c>
      <c r="Y283" s="2" t="str">
        <f t="shared" si="58"/>
        <v/>
      </c>
      <c r="Z283" s="9" t="str">
        <f t="shared" si="59"/>
        <v/>
      </c>
    </row>
    <row r="284" spans="1:26" x14ac:dyDescent="0.25">
      <c r="V284" s="2" t="str">
        <f t="shared" si="56"/>
        <v/>
      </c>
      <c r="W284" s="8" t="str">
        <f t="shared" si="57"/>
        <v/>
      </c>
      <c r="X284" s="9" t="str">
        <f t="shared" si="65"/>
        <v/>
      </c>
      <c r="Y284" s="2" t="str">
        <f t="shared" si="58"/>
        <v/>
      </c>
      <c r="Z284" s="9" t="str">
        <f t="shared" si="59"/>
        <v/>
      </c>
    </row>
    <row r="285" spans="1:26" x14ac:dyDescent="0.25">
      <c r="V285" s="2" t="str">
        <f t="shared" si="56"/>
        <v/>
      </c>
      <c r="W285" s="8" t="str">
        <f t="shared" si="57"/>
        <v/>
      </c>
      <c r="X285" s="9" t="str">
        <f t="shared" si="65"/>
        <v/>
      </c>
      <c r="Y285" s="2" t="str">
        <f t="shared" si="58"/>
        <v/>
      </c>
      <c r="Z285" s="9" t="str">
        <f t="shared" si="59"/>
        <v/>
      </c>
    </row>
    <row r="286" spans="1:26" x14ac:dyDescent="0.25">
      <c r="V286" s="2" t="str">
        <f t="shared" si="56"/>
        <v/>
      </c>
      <c r="W286" s="8" t="str">
        <f t="shared" si="57"/>
        <v/>
      </c>
      <c r="X286" s="9" t="str">
        <f t="shared" si="65"/>
        <v/>
      </c>
      <c r="Y286" s="2" t="str">
        <f t="shared" si="58"/>
        <v/>
      </c>
      <c r="Z286" s="9" t="str">
        <f t="shared" si="59"/>
        <v/>
      </c>
    </row>
    <row r="287" spans="1:26" x14ac:dyDescent="0.25">
      <c r="V287" s="2" t="str">
        <f t="shared" si="56"/>
        <v/>
      </c>
      <c r="W287" s="8" t="str">
        <f t="shared" si="57"/>
        <v/>
      </c>
      <c r="X287" s="9" t="str">
        <f t="shared" si="65"/>
        <v/>
      </c>
      <c r="Y287" s="2" t="str">
        <f t="shared" si="58"/>
        <v/>
      </c>
      <c r="Z287" s="9" t="str">
        <f t="shared" si="59"/>
        <v/>
      </c>
    </row>
    <row r="288" spans="1:26" x14ac:dyDescent="0.25">
      <c r="V288" s="2" t="str">
        <f t="shared" ref="V288:V351" si="66">IF(V287&lt;B$17,V287+1,"")</f>
        <v/>
      </c>
      <c r="W288" s="8" t="str">
        <f t="shared" ref="W288:W351" si="67">IF(V288="","",W287+30)</f>
        <v/>
      </c>
      <c r="X288" s="9" t="str">
        <f t="shared" si="65"/>
        <v/>
      </c>
      <c r="Y288" s="2" t="str">
        <f t="shared" ref="Y288:Y351" si="68">IF(X288="","",W288-W$30)</f>
        <v/>
      </c>
      <c r="Z288" s="9" t="str">
        <f t="shared" ref="Z288:Z351" si="69">IF(Y288="","",IF(Y288&lt;365,Y288*X288*X$26,365*X288*X$26))</f>
        <v/>
      </c>
    </row>
    <row r="289" spans="22:26" x14ac:dyDescent="0.25">
      <c r="V289" s="2" t="str">
        <f t="shared" si="66"/>
        <v/>
      </c>
      <c r="W289" s="8" t="str">
        <f t="shared" si="67"/>
        <v/>
      </c>
      <c r="X289" s="9" t="str">
        <f t="shared" si="65"/>
        <v/>
      </c>
      <c r="Y289" s="2" t="str">
        <f t="shared" si="68"/>
        <v/>
      </c>
      <c r="Z289" s="9" t="str">
        <f t="shared" si="69"/>
        <v/>
      </c>
    </row>
    <row r="290" spans="22:26" x14ac:dyDescent="0.25">
      <c r="V290" s="2" t="str">
        <f t="shared" si="66"/>
        <v/>
      </c>
      <c r="W290" s="8" t="str">
        <f t="shared" si="67"/>
        <v/>
      </c>
      <c r="X290" s="9" t="str">
        <f t="shared" si="65"/>
        <v/>
      </c>
      <c r="Y290" s="2" t="str">
        <f t="shared" si="68"/>
        <v/>
      </c>
      <c r="Z290" s="9" t="str">
        <f t="shared" si="69"/>
        <v/>
      </c>
    </row>
    <row r="291" spans="22:26" x14ac:dyDescent="0.25">
      <c r="V291" s="2" t="str">
        <f t="shared" si="66"/>
        <v/>
      </c>
      <c r="W291" s="8" t="str">
        <f t="shared" si="67"/>
        <v/>
      </c>
      <c r="X291" s="9" t="str">
        <f t="shared" si="65"/>
        <v/>
      </c>
      <c r="Y291" s="2" t="str">
        <f t="shared" si="68"/>
        <v/>
      </c>
      <c r="Z291" s="9" t="str">
        <f t="shared" si="69"/>
        <v/>
      </c>
    </row>
    <row r="292" spans="22:26" x14ac:dyDescent="0.25">
      <c r="V292" s="2" t="str">
        <f t="shared" si="66"/>
        <v/>
      </c>
      <c r="W292" s="8" t="str">
        <f t="shared" si="67"/>
        <v/>
      </c>
      <c r="X292" s="9" t="str">
        <f t="shared" si="65"/>
        <v/>
      </c>
      <c r="Y292" s="2" t="str">
        <f t="shared" si="68"/>
        <v/>
      </c>
      <c r="Z292" s="9" t="str">
        <f t="shared" si="69"/>
        <v/>
      </c>
    </row>
    <row r="293" spans="22:26" x14ac:dyDescent="0.25">
      <c r="V293" s="2" t="str">
        <f t="shared" si="66"/>
        <v/>
      </c>
      <c r="W293" s="8" t="str">
        <f t="shared" si="67"/>
        <v/>
      </c>
      <c r="X293" s="9" t="str">
        <f t="shared" si="65"/>
        <v/>
      </c>
      <c r="Y293" s="2" t="str">
        <f t="shared" si="68"/>
        <v/>
      </c>
      <c r="Z293" s="9" t="str">
        <f t="shared" si="69"/>
        <v/>
      </c>
    </row>
    <row r="294" spans="22:26" x14ac:dyDescent="0.25">
      <c r="V294" s="2" t="str">
        <f t="shared" si="66"/>
        <v/>
      </c>
      <c r="W294" s="8" t="str">
        <f t="shared" si="67"/>
        <v/>
      </c>
      <c r="X294" s="9" t="str">
        <f t="shared" si="65"/>
        <v/>
      </c>
      <c r="Y294" s="2" t="str">
        <f t="shared" si="68"/>
        <v/>
      </c>
      <c r="Z294" s="9" t="str">
        <f t="shared" si="69"/>
        <v/>
      </c>
    </row>
    <row r="295" spans="22:26" x14ac:dyDescent="0.25">
      <c r="V295" s="2" t="str">
        <f t="shared" si="66"/>
        <v/>
      </c>
      <c r="W295" s="8" t="str">
        <f t="shared" si="67"/>
        <v/>
      </c>
      <c r="X295" s="9" t="str">
        <f t="shared" si="65"/>
        <v/>
      </c>
      <c r="Y295" s="2" t="str">
        <f t="shared" si="68"/>
        <v/>
      </c>
      <c r="Z295" s="9" t="str">
        <f t="shared" si="69"/>
        <v/>
      </c>
    </row>
    <row r="296" spans="22:26" x14ac:dyDescent="0.25">
      <c r="V296" s="2" t="str">
        <f t="shared" si="66"/>
        <v/>
      </c>
      <c r="W296" s="8" t="str">
        <f t="shared" si="67"/>
        <v/>
      </c>
      <c r="X296" s="9" t="str">
        <f t="shared" si="65"/>
        <v/>
      </c>
      <c r="Y296" s="2" t="str">
        <f t="shared" si="68"/>
        <v/>
      </c>
      <c r="Z296" s="9" t="str">
        <f t="shared" si="69"/>
        <v/>
      </c>
    </row>
    <row r="297" spans="22:26" x14ac:dyDescent="0.25">
      <c r="V297" s="2" t="str">
        <f t="shared" si="66"/>
        <v/>
      </c>
      <c r="W297" s="8" t="str">
        <f t="shared" si="67"/>
        <v/>
      </c>
      <c r="X297" s="9" t="str">
        <f t="shared" si="65"/>
        <v/>
      </c>
      <c r="Y297" s="2" t="str">
        <f t="shared" si="68"/>
        <v/>
      </c>
      <c r="Z297" s="9" t="str">
        <f t="shared" si="69"/>
        <v/>
      </c>
    </row>
    <row r="298" spans="22:26" x14ac:dyDescent="0.25">
      <c r="V298" s="2" t="str">
        <f t="shared" si="66"/>
        <v/>
      </c>
      <c r="W298" s="8" t="str">
        <f t="shared" si="67"/>
        <v/>
      </c>
      <c r="X298" s="9" t="str">
        <f t="shared" si="65"/>
        <v/>
      </c>
      <c r="Y298" s="2" t="str">
        <f t="shared" si="68"/>
        <v/>
      </c>
      <c r="Z298" s="9" t="str">
        <f t="shared" si="69"/>
        <v/>
      </c>
    </row>
    <row r="299" spans="22:26" x14ac:dyDescent="0.25">
      <c r="V299" s="2" t="str">
        <f t="shared" si="66"/>
        <v/>
      </c>
      <c r="W299" s="8" t="str">
        <f t="shared" si="67"/>
        <v/>
      </c>
      <c r="X299" s="9" t="str">
        <f t="shared" si="65"/>
        <v/>
      </c>
      <c r="Y299" s="2" t="str">
        <f t="shared" si="68"/>
        <v/>
      </c>
      <c r="Z299" s="9" t="str">
        <f t="shared" si="69"/>
        <v/>
      </c>
    </row>
    <row r="300" spans="22:26" x14ac:dyDescent="0.25">
      <c r="V300" s="2" t="str">
        <f t="shared" si="66"/>
        <v/>
      </c>
      <c r="W300" s="8" t="str">
        <f t="shared" si="67"/>
        <v/>
      </c>
      <c r="X300" s="9" t="str">
        <f t="shared" si="65"/>
        <v/>
      </c>
      <c r="Y300" s="2" t="str">
        <f t="shared" si="68"/>
        <v/>
      </c>
      <c r="Z300" s="9" t="str">
        <f t="shared" si="69"/>
        <v/>
      </c>
    </row>
    <row r="301" spans="22:26" x14ac:dyDescent="0.25">
      <c r="V301" s="2" t="str">
        <f t="shared" si="66"/>
        <v/>
      </c>
      <c r="W301" s="8" t="str">
        <f t="shared" si="67"/>
        <v/>
      </c>
      <c r="X301" s="9" t="str">
        <f t="shared" si="65"/>
        <v/>
      </c>
      <c r="Y301" s="2" t="str">
        <f t="shared" si="68"/>
        <v/>
      </c>
      <c r="Z301" s="9" t="str">
        <f t="shared" si="69"/>
        <v/>
      </c>
    </row>
    <row r="302" spans="22:26" x14ac:dyDescent="0.25">
      <c r="V302" s="2" t="str">
        <f t="shared" si="66"/>
        <v/>
      </c>
      <c r="W302" s="8" t="str">
        <f t="shared" si="67"/>
        <v/>
      </c>
      <c r="X302" s="9" t="str">
        <f t="shared" si="65"/>
        <v/>
      </c>
      <c r="Y302" s="2" t="str">
        <f t="shared" si="68"/>
        <v/>
      </c>
      <c r="Z302" s="9" t="str">
        <f t="shared" si="69"/>
        <v/>
      </c>
    </row>
    <row r="303" spans="22:26" x14ac:dyDescent="0.25">
      <c r="V303" s="2" t="str">
        <f t="shared" si="66"/>
        <v/>
      </c>
      <c r="W303" s="8" t="str">
        <f t="shared" si="67"/>
        <v/>
      </c>
      <c r="X303" s="9" t="str">
        <f t="shared" si="65"/>
        <v/>
      </c>
      <c r="Y303" s="2" t="str">
        <f t="shared" si="68"/>
        <v/>
      </c>
      <c r="Z303" s="9" t="str">
        <f t="shared" si="69"/>
        <v/>
      </c>
    </row>
    <row r="304" spans="22:26" x14ac:dyDescent="0.25">
      <c r="V304" s="2" t="str">
        <f t="shared" si="66"/>
        <v/>
      </c>
      <c r="W304" s="8" t="str">
        <f t="shared" si="67"/>
        <v/>
      </c>
      <c r="X304" s="9" t="str">
        <f t="shared" si="65"/>
        <v/>
      </c>
      <c r="Y304" s="2" t="str">
        <f t="shared" si="68"/>
        <v/>
      </c>
      <c r="Z304" s="9" t="str">
        <f t="shared" si="69"/>
        <v/>
      </c>
    </row>
    <row r="305" spans="22:26" x14ac:dyDescent="0.25">
      <c r="V305" s="2" t="str">
        <f t="shared" si="66"/>
        <v/>
      </c>
      <c r="W305" s="8" t="str">
        <f t="shared" si="67"/>
        <v/>
      </c>
      <c r="X305" s="9" t="str">
        <f t="shared" si="65"/>
        <v/>
      </c>
      <c r="Y305" s="2" t="str">
        <f t="shared" si="68"/>
        <v/>
      </c>
      <c r="Z305" s="9" t="str">
        <f t="shared" si="69"/>
        <v/>
      </c>
    </row>
    <row r="306" spans="22:26" x14ac:dyDescent="0.25">
      <c r="V306" s="2" t="str">
        <f t="shared" si="66"/>
        <v/>
      </c>
      <c r="W306" s="8" t="str">
        <f t="shared" si="67"/>
        <v/>
      </c>
      <c r="X306" s="9" t="str">
        <f t="shared" si="65"/>
        <v/>
      </c>
      <c r="Y306" s="2" t="str">
        <f t="shared" si="68"/>
        <v/>
      </c>
      <c r="Z306" s="9" t="str">
        <f t="shared" si="69"/>
        <v/>
      </c>
    </row>
    <row r="307" spans="22:26" x14ac:dyDescent="0.25">
      <c r="V307" s="2" t="str">
        <f t="shared" si="66"/>
        <v/>
      </c>
      <c r="W307" s="8" t="str">
        <f t="shared" si="67"/>
        <v/>
      </c>
      <c r="X307" s="9" t="str">
        <f t="shared" si="65"/>
        <v/>
      </c>
      <c r="Y307" s="2" t="str">
        <f t="shared" si="68"/>
        <v/>
      </c>
      <c r="Z307" s="9" t="str">
        <f t="shared" si="69"/>
        <v/>
      </c>
    </row>
    <row r="308" spans="22:26" x14ac:dyDescent="0.25">
      <c r="V308" s="2" t="str">
        <f t="shared" si="66"/>
        <v/>
      </c>
      <c r="W308" s="8" t="str">
        <f t="shared" si="67"/>
        <v/>
      </c>
      <c r="X308" s="9" t="str">
        <f t="shared" si="65"/>
        <v/>
      </c>
      <c r="Y308" s="2" t="str">
        <f t="shared" si="68"/>
        <v/>
      </c>
      <c r="Z308" s="9" t="str">
        <f t="shared" si="69"/>
        <v/>
      </c>
    </row>
    <row r="309" spans="22:26" x14ac:dyDescent="0.25">
      <c r="V309" s="2" t="str">
        <f t="shared" si="66"/>
        <v/>
      </c>
      <c r="W309" s="8" t="str">
        <f t="shared" si="67"/>
        <v/>
      </c>
      <c r="X309" s="9" t="str">
        <f t="shared" si="65"/>
        <v/>
      </c>
      <c r="Y309" s="2" t="str">
        <f t="shared" si="68"/>
        <v/>
      </c>
      <c r="Z309" s="9" t="str">
        <f t="shared" si="69"/>
        <v/>
      </c>
    </row>
    <row r="310" spans="22:26" x14ac:dyDescent="0.25">
      <c r="V310" s="2" t="str">
        <f t="shared" si="66"/>
        <v/>
      </c>
      <c r="W310" s="8" t="str">
        <f t="shared" si="67"/>
        <v/>
      </c>
      <c r="X310" s="9" t="str">
        <f t="shared" si="65"/>
        <v/>
      </c>
      <c r="Y310" s="2" t="str">
        <f t="shared" si="68"/>
        <v/>
      </c>
      <c r="Z310" s="9" t="str">
        <f t="shared" si="69"/>
        <v/>
      </c>
    </row>
    <row r="311" spans="22:26" x14ac:dyDescent="0.25">
      <c r="V311" s="2" t="str">
        <f t="shared" si="66"/>
        <v/>
      </c>
      <c r="W311" s="8" t="str">
        <f t="shared" si="67"/>
        <v/>
      </c>
      <c r="X311" s="9" t="str">
        <f t="shared" si="65"/>
        <v/>
      </c>
      <c r="Y311" s="2" t="str">
        <f t="shared" si="68"/>
        <v/>
      </c>
      <c r="Z311" s="9" t="str">
        <f t="shared" si="69"/>
        <v/>
      </c>
    </row>
    <row r="312" spans="22:26" x14ac:dyDescent="0.25">
      <c r="V312" s="2" t="str">
        <f t="shared" si="66"/>
        <v/>
      </c>
      <c r="W312" s="8" t="str">
        <f t="shared" si="67"/>
        <v/>
      </c>
      <c r="X312" s="9" t="str">
        <f t="shared" si="65"/>
        <v/>
      </c>
      <c r="Y312" s="2" t="str">
        <f t="shared" si="68"/>
        <v/>
      </c>
      <c r="Z312" s="9" t="str">
        <f t="shared" si="69"/>
        <v/>
      </c>
    </row>
    <row r="313" spans="22:26" x14ac:dyDescent="0.25">
      <c r="V313" s="2" t="str">
        <f t="shared" si="66"/>
        <v/>
      </c>
      <c r="W313" s="8" t="str">
        <f t="shared" si="67"/>
        <v/>
      </c>
      <c r="X313" s="9" t="str">
        <f t="shared" si="65"/>
        <v/>
      </c>
      <c r="Y313" s="2" t="str">
        <f t="shared" si="68"/>
        <v/>
      </c>
      <c r="Z313" s="9" t="str">
        <f t="shared" si="69"/>
        <v/>
      </c>
    </row>
    <row r="314" spans="22:26" x14ac:dyDescent="0.25">
      <c r="V314" s="2" t="str">
        <f t="shared" si="66"/>
        <v/>
      </c>
      <c r="W314" s="8" t="str">
        <f t="shared" si="67"/>
        <v/>
      </c>
      <c r="X314" s="9" t="str">
        <f t="shared" si="65"/>
        <v/>
      </c>
      <c r="Y314" s="2" t="str">
        <f t="shared" si="68"/>
        <v/>
      </c>
      <c r="Z314" s="9" t="str">
        <f t="shared" si="69"/>
        <v/>
      </c>
    </row>
    <row r="315" spans="22:26" x14ac:dyDescent="0.25">
      <c r="V315" s="2" t="str">
        <f t="shared" si="66"/>
        <v/>
      </c>
      <c r="W315" s="8" t="str">
        <f t="shared" si="67"/>
        <v/>
      </c>
      <c r="X315" s="9" t="str">
        <f t="shared" si="65"/>
        <v/>
      </c>
      <c r="Y315" s="2" t="str">
        <f t="shared" si="68"/>
        <v/>
      </c>
      <c r="Z315" s="9" t="str">
        <f t="shared" si="69"/>
        <v/>
      </c>
    </row>
    <row r="316" spans="22:26" x14ac:dyDescent="0.25">
      <c r="V316" s="2" t="str">
        <f t="shared" si="66"/>
        <v/>
      </c>
      <c r="W316" s="8" t="str">
        <f t="shared" si="67"/>
        <v/>
      </c>
      <c r="X316" s="9" t="str">
        <f t="shared" si="65"/>
        <v/>
      </c>
      <c r="Y316" s="2" t="str">
        <f t="shared" si="68"/>
        <v/>
      </c>
      <c r="Z316" s="9" t="str">
        <f t="shared" si="69"/>
        <v/>
      </c>
    </row>
    <row r="317" spans="22:26" x14ac:dyDescent="0.25">
      <c r="V317" s="2" t="str">
        <f t="shared" si="66"/>
        <v/>
      </c>
      <c r="W317" s="8" t="str">
        <f t="shared" si="67"/>
        <v/>
      </c>
      <c r="X317" s="9" t="str">
        <f t="shared" si="65"/>
        <v/>
      </c>
      <c r="Y317" s="2" t="str">
        <f t="shared" si="68"/>
        <v/>
      </c>
      <c r="Z317" s="9" t="str">
        <f t="shared" si="69"/>
        <v/>
      </c>
    </row>
    <row r="318" spans="22:26" x14ac:dyDescent="0.25">
      <c r="V318" s="2" t="str">
        <f t="shared" si="66"/>
        <v/>
      </c>
      <c r="W318" s="8" t="str">
        <f t="shared" si="67"/>
        <v/>
      </c>
      <c r="X318" s="9" t="str">
        <f t="shared" si="65"/>
        <v/>
      </c>
      <c r="Y318" s="2" t="str">
        <f t="shared" si="68"/>
        <v/>
      </c>
      <c r="Z318" s="9" t="str">
        <f t="shared" si="69"/>
        <v/>
      </c>
    </row>
    <row r="319" spans="22:26" x14ac:dyDescent="0.25">
      <c r="V319" s="2" t="str">
        <f t="shared" si="66"/>
        <v/>
      </c>
      <c r="W319" s="8" t="str">
        <f t="shared" si="67"/>
        <v/>
      </c>
      <c r="X319" s="9" t="str">
        <f t="shared" si="65"/>
        <v/>
      </c>
      <c r="Y319" s="2" t="str">
        <f t="shared" si="68"/>
        <v/>
      </c>
      <c r="Z319" s="9" t="str">
        <f t="shared" si="69"/>
        <v/>
      </c>
    </row>
    <row r="320" spans="22:26" x14ac:dyDescent="0.25">
      <c r="V320" s="2" t="str">
        <f t="shared" si="66"/>
        <v/>
      </c>
      <c r="W320" s="8" t="str">
        <f t="shared" si="67"/>
        <v/>
      </c>
      <c r="X320" s="9" t="str">
        <f t="shared" si="65"/>
        <v/>
      </c>
      <c r="Y320" s="2" t="str">
        <f t="shared" si="68"/>
        <v/>
      </c>
      <c r="Z320" s="9" t="str">
        <f t="shared" si="69"/>
        <v/>
      </c>
    </row>
    <row r="321" spans="22:26" x14ac:dyDescent="0.25">
      <c r="V321" s="2" t="str">
        <f t="shared" si="66"/>
        <v/>
      </c>
      <c r="W321" s="8" t="str">
        <f t="shared" si="67"/>
        <v/>
      </c>
      <c r="X321" s="9" t="str">
        <f t="shared" si="65"/>
        <v/>
      </c>
      <c r="Y321" s="2" t="str">
        <f t="shared" si="68"/>
        <v/>
      </c>
      <c r="Z321" s="9" t="str">
        <f t="shared" si="69"/>
        <v/>
      </c>
    </row>
    <row r="322" spans="22:26" x14ac:dyDescent="0.25">
      <c r="V322" s="2" t="str">
        <f t="shared" si="66"/>
        <v/>
      </c>
      <c r="W322" s="8" t="str">
        <f t="shared" si="67"/>
        <v/>
      </c>
      <c r="X322" s="9" t="str">
        <f t="shared" ref="X322:X385" si="70">IF(W322="","",D315)</f>
        <v/>
      </c>
      <c r="Y322" s="2" t="str">
        <f t="shared" si="68"/>
        <v/>
      </c>
      <c r="Z322" s="9" t="str">
        <f t="shared" si="69"/>
        <v/>
      </c>
    </row>
    <row r="323" spans="22:26" x14ac:dyDescent="0.25">
      <c r="V323" s="2" t="str">
        <f t="shared" si="66"/>
        <v/>
      </c>
      <c r="W323" s="8" t="str">
        <f t="shared" si="67"/>
        <v/>
      </c>
      <c r="X323" s="9" t="str">
        <f t="shared" si="70"/>
        <v/>
      </c>
      <c r="Y323" s="2" t="str">
        <f t="shared" si="68"/>
        <v/>
      </c>
      <c r="Z323" s="9" t="str">
        <f t="shared" si="69"/>
        <v/>
      </c>
    </row>
    <row r="324" spans="22:26" x14ac:dyDescent="0.25">
      <c r="V324" s="2" t="str">
        <f t="shared" si="66"/>
        <v/>
      </c>
      <c r="W324" s="8" t="str">
        <f t="shared" si="67"/>
        <v/>
      </c>
      <c r="X324" s="9" t="str">
        <f t="shared" si="70"/>
        <v/>
      </c>
      <c r="Y324" s="2" t="str">
        <f t="shared" si="68"/>
        <v/>
      </c>
      <c r="Z324" s="9" t="str">
        <f t="shared" si="69"/>
        <v/>
      </c>
    </row>
    <row r="325" spans="22:26" x14ac:dyDescent="0.25">
      <c r="V325" s="2" t="str">
        <f t="shared" si="66"/>
        <v/>
      </c>
      <c r="W325" s="8" t="str">
        <f t="shared" si="67"/>
        <v/>
      </c>
      <c r="X325" s="9" t="str">
        <f t="shared" si="70"/>
        <v/>
      </c>
      <c r="Y325" s="2" t="str">
        <f t="shared" si="68"/>
        <v/>
      </c>
      <c r="Z325" s="9" t="str">
        <f t="shared" si="69"/>
        <v/>
      </c>
    </row>
    <row r="326" spans="22:26" x14ac:dyDescent="0.25">
      <c r="V326" s="2" t="str">
        <f t="shared" si="66"/>
        <v/>
      </c>
      <c r="W326" s="8" t="str">
        <f t="shared" si="67"/>
        <v/>
      </c>
      <c r="X326" s="9" t="str">
        <f t="shared" si="70"/>
        <v/>
      </c>
      <c r="Y326" s="2" t="str">
        <f t="shared" si="68"/>
        <v/>
      </c>
      <c r="Z326" s="9" t="str">
        <f t="shared" si="69"/>
        <v/>
      </c>
    </row>
    <row r="327" spans="22:26" x14ac:dyDescent="0.25">
      <c r="V327" s="2" t="str">
        <f t="shared" si="66"/>
        <v/>
      </c>
      <c r="W327" s="8" t="str">
        <f t="shared" si="67"/>
        <v/>
      </c>
      <c r="X327" s="9" t="str">
        <f t="shared" si="70"/>
        <v/>
      </c>
      <c r="Y327" s="2" t="str">
        <f t="shared" si="68"/>
        <v/>
      </c>
      <c r="Z327" s="9" t="str">
        <f t="shared" si="69"/>
        <v/>
      </c>
    </row>
    <row r="328" spans="22:26" x14ac:dyDescent="0.25">
      <c r="V328" s="2" t="str">
        <f t="shared" si="66"/>
        <v/>
      </c>
      <c r="W328" s="8" t="str">
        <f t="shared" si="67"/>
        <v/>
      </c>
      <c r="X328" s="9" t="str">
        <f t="shared" si="70"/>
        <v/>
      </c>
      <c r="Y328" s="2" t="str">
        <f t="shared" si="68"/>
        <v/>
      </c>
      <c r="Z328" s="9" t="str">
        <f t="shared" si="69"/>
        <v/>
      </c>
    </row>
    <row r="329" spans="22:26" x14ac:dyDescent="0.25">
      <c r="V329" s="2" t="str">
        <f t="shared" si="66"/>
        <v/>
      </c>
      <c r="W329" s="8" t="str">
        <f t="shared" si="67"/>
        <v/>
      </c>
      <c r="X329" s="9" t="str">
        <f t="shared" si="70"/>
        <v/>
      </c>
      <c r="Y329" s="2" t="str">
        <f t="shared" si="68"/>
        <v/>
      </c>
      <c r="Z329" s="9" t="str">
        <f t="shared" si="69"/>
        <v/>
      </c>
    </row>
    <row r="330" spans="22:26" x14ac:dyDescent="0.25">
      <c r="V330" s="2" t="str">
        <f t="shared" si="66"/>
        <v/>
      </c>
      <c r="W330" s="8" t="str">
        <f t="shared" si="67"/>
        <v/>
      </c>
      <c r="X330" s="9" t="str">
        <f t="shared" si="70"/>
        <v/>
      </c>
      <c r="Y330" s="2" t="str">
        <f t="shared" si="68"/>
        <v/>
      </c>
      <c r="Z330" s="9" t="str">
        <f t="shared" si="69"/>
        <v/>
      </c>
    </row>
    <row r="331" spans="22:26" x14ac:dyDescent="0.25">
      <c r="V331" s="2" t="str">
        <f t="shared" si="66"/>
        <v/>
      </c>
      <c r="W331" s="8" t="str">
        <f t="shared" si="67"/>
        <v/>
      </c>
      <c r="X331" s="9" t="str">
        <f t="shared" si="70"/>
        <v/>
      </c>
      <c r="Y331" s="2" t="str">
        <f t="shared" si="68"/>
        <v/>
      </c>
      <c r="Z331" s="9" t="str">
        <f t="shared" si="69"/>
        <v/>
      </c>
    </row>
    <row r="332" spans="22:26" x14ac:dyDescent="0.25">
      <c r="V332" s="2" t="str">
        <f t="shared" si="66"/>
        <v/>
      </c>
      <c r="W332" s="8" t="str">
        <f t="shared" si="67"/>
        <v/>
      </c>
      <c r="X332" s="9" t="str">
        <f t="shared" si="70"/>
        <v/>
      </c>
      <c r="Y332" s="2" t="str">
        <f t="shared" si="68"/>
        <v/>
      </c>
      <c r="Z332" s="9" t="str">
        <f t="shared" si="69"/>
        <v/>
      </c>
    </row>
    <row r="333" spans="22:26" x14ac:dyDescent="0.25">
      <c r="V333" s="2" t="str">
        <f t="shared" si="66"/>
        <v/>
      </c>
      <c r="W333" s="8" t="str">
        <f t="shared" si="67"/>
        <v/>
      </c>
      <c r="X333" s="9" t="str">
        <f t="shared" si="70"/>
        <v/>
      </c>
      <c r="Y333" s="2" t="str">
        <f t="shared" si="68"/>
        <v/>
      </c>
      <c r="Z333" s="9" t="str">
        <f t="shared" si="69"/>
        <v/>
      </c>
    </row>
    <row r="334" spans="22:26" x14ac:dyDescent="0.25">
      <c r="V334" s="2" t="str">
        <f t="shared" si="66"/>
        <v/>
      </c>
      <c r="W334" s="8" t="str">
        <f t="shared" si="67"/>
        <v/>
      </c>
      <c r="X334" s="9" t="str">
        <f t="shared" si="70"/>
        <v/>
      </c>
      <c r="Y334" s="2" t="str">
        <f t="shared" si="68"/>
        <v/>
      </c>
      <c r="Z334" s="9" t="str">
        <f t="shared" si="69"/>
        <v/>
      </c>
    </row>
    <row r="335" spans="22:26" x14ac:dyDescent="0.25">
      <c r="V335" s="2" t="str">
        <f t="shared" si="66"/>
        <v/>
      </c>
      <c r="W335" s="8" t="str">
        <f t="shared" si="67"/>
        <v/>
      </c>
      <c r="X335" s="9" t="str">
        <f t="shared" si="70"/>
        <v/>
      </c>
      <c r="Y335" s="2" t="str">
        <f t="shared" si="68"/>
        <v/>
      </c>
      <c r="Z335" s="9" t="str">
        <f t="shared" si="69"/>
        <v/>
      </c>
    </row>
    <row r="336" spans="22:26" x14ac:dyDescent="0.25">
      <c r="V336" s="2" t="str">
        <f t="shared" si="66"/>
        <v/>
      </c>
      <c r="W336" s="8" t="str">
        <f t="shared" si="67"/>
        <v/>
      </c>
      <c r="X336" s="9" t="str">
        <f t="shared" si="70"/>
        <v/>
      </c>
      <c r="Y336" s="2" t="str">
        <f t="shared" si="68"/>
        <v/>
      </c>
      <c r="Z336" s="9" t="str">
        <f t="shared" si="69"/>
        <v/>
      </c>
    </row>
    <row r="337" spans="22:26" x14ac:dyDescent="0.25">
      <c r="V337" s="2" t="str">
        <f t="shared" si="66"/>
        <v/>
      </c>
      <c r="W337" s="8" t="str">
        <f t="shared" si="67"/>
        <v/>
      </c>
      <c r="X337" s="9" t="str">
        <f t="shared" si="70"/>
        <v/>
      </c>
      <c r="Y337" s="2" t="str">
        <f t="shared" si="68"/>
        <v/>
      </c>
      <c r="Z337" s="9" t="str">
        <f t="shared" si="69"/>
        <v/>
      </c>
    </row>
    <row r="338" spans="22:26" x14ac:dyDescent="0.25">
      <c r="V338" s="2" t="str">
        <f t="shared" si="66"/>
        <v/>
      </c>
      <c r="W338" s="8" t="str">
        <f t="shared" si="67"/>
        <v/>
      </c>
      <c r="X338" s="9" t="str">
        <f t="shared" si="70"/>
        <v/>
      </c>
      <c r="Y338" s="2" t="str">
        <f t="shared" si="68"/>
        <v/>
      </c>
      <c r="Z338" s="9" t="str">
        <f t="shared" si="69"/>
        <v/>
      </c>
    </row>
    <row r="339" spans="22:26" x14ac:dyDescent="0.25">
      <c r="V339" s="2" t="str">
        <f t="shared" si="66"/>
        <v/>
      </c>
      <c r="W339" s="8" t="str">
        <f t="shared" si="67"/>
        <v/>
      </c>
      <c r="X339" s="9" t="str">
        <f t="shared" si="70"/>
        <v/>
      </c>
      <c r="Y339" s="2" t="str">
        <f t="shared" si="68"/>
        <v/>
      </c>
      <c r="Z339" s="9" t="str">
        <f t="shared" si="69"/>
        <v/>
      </c>
    </row>
    <row r="340" spans="22:26" x14ac:dyDescent="0.25">
      <c r="V340" s="2" t="str">
        <f t="shared" si="66"/>
        <v/>
      </c>
      <c r="W340" s="8" t="str">
        <f t="shared" si="67"/>
        <v/>
      </c>
      <c r="X340" s="9" t="str">
        <f t="shared" si="70"/>
        <v/>
      </c>
      <c r="Y340" s="2" t="str">
        <f t="shared" si="68"/>
        <v/>
      </c>
      <c r="Z340" s="9" t="str">
        <f t="shared" si="69"/>
        <v/>
      </c>
    </row>
    <row r="341" spans="22:26" x14ac:dyDescent="0.25">
      <c r="V341" s="2" t="str">
        <f t="shared" si="66"/>
        <v/>
      </c>
      <c r="W341" s="8" t="str">
        <f t="shared" si="67"/>
        <v/>
      </c>
      <c r="X341" s="9" t="str">
        <f t="shared" si="70"/>
        <v/>
      </c>
      <c r="Y341" s="2" t="str">
        <f t="shared" si="68"/>
        <v/>
      </c>
      <c r="Z341" s="9" t="str">
        <f t="shared" si="69"/>
        <v/>
      </c>
    </row>
    <row r="342" spans="22:26" x14ac:dyDescent="0.25">
      <c r="V342" s="2" t="str">
        <f t="shared" si="66"/>
        <v/>
      </c>
      <c r="W342" s="8" t="str">
        <f t="shared" si="67"/>
        <v/>
      </c>
      <c r="X342" s="9" t="str">
        <f t="shared" si="70"/>
        <v/>
      </c>
      <c r="Y342" s="2" t="str">
        <f t="shared" si="68"/>
        <v/>
      </c>
      <c r="Z342" s="9" t="str">
        <f t="shared" si="69"/>
        <v/>
      </c>
    </row>
    <row r="343" spans="22:26" x14ac:dyDescent="0.25">
      <c r="V343" s="2" t="str">
        <f t="shared" si="66"/>
        <v/>
      </c>
      <c r="W343" s="8" t="str">
        <f t="shared" si="67"/>
        <v/>
      </c>
      <c r="X343" s="9" t="str">
        <f t="shared" si="70"/>
        <v/>
      </c>
      <c r="Y343" s="2" t="str">
        <f t="shared" si="68"/>
        <v/>
      </c>
      <c r="Z343" s="9" t="str">
        <f t="shared" si="69"/>
        <v/>
      </c>
    </row>
    <row r="344" spans="22:26" x14ac:dyDescent="0.25">
      <c r="V344" s="2" t="str">
        <f t="shared" si="66"/>
        <v/>
      </c>
      <c r="W344" s="8" t="str">
        <f t="shared" si="67"/>
        <v/>
      </c>
      <c r="X344" s="9" t="str">
        <f t="shared" si="70"/>
        <v/>
      </c>
      <c r="Y344" s="2" t="str">
        <f t="shared" si="68"/>
        <v/>
      </c>
      <c r="Z344" s="9" t="str">
        <f t="shared" si="69"/>
        <v/>
      </c>
    </row>
    <row r="345" spans="22:26" x14ac:dyDescent="0.25">
      <c r="V345" s="2" t="str">
        <f t="shared" si="66"/>
        <v/>
      </c>
      <c r="W345" s="8" t="str">
        <f t="shared" si="67"/>
        <v/>
      </c>
      <c r="X345" s="9" t="str">
        <f t="shared" si="70"/>
        <v/>
      </c>
      <c r="Y345" s="2" t="str">
        <f t="shared" si="68"/>
        <v/>
      </c>
      <c r="Z345" s="9" t="str">
        <f t="shared" si="69"/>
        <v/>
      </c>
    </row>
    <row r="346" spans="22:26" x14ac:dyDescent="0.25">
      <c r="V346" s="2" t="str">
        <f t="shared" si="66"/>
        <v/>
      </c>
      <c r="W346" s="8" t="str">
        <f t="shared" si="67"/>
        <v/>
      </c>
      <c r="X346" s="9" t="str">
        <f t="shared" si="70"/>
        <v/>
      </c>
      <c r="Y346" s="2" t="str">
        <f t="shared" si="68"/>
        <v/>
      </c>
      <c r="Z346" s="9" t="str">
        <f t="shared" si="69"/>
        <v/>
      </c>
    </row>
    <row r="347" spans="22:26" x14ac:dyDescent="0.25">
      <c r="V347" s="2" t="str">
        <f t="shared" si="66"/>
        <v/>
      </c>
      <c r="W347" s="8" t="str">
        <f t="shared" si="67"/>
        <v/>
      </c>
      <c r="X347" s="9" t="str">
        <f t="shared" si="70"/>
        <v/>
      </c>
      <c r="Y347" s="2" t="str">
        <f t="shared" si="68"/>
        <v/>
      </c>
      <c r="Z347" s="9" t="str">
        <f t="shared" si="69"/>
        <v/>
      </c>
    </row>
    <row r="348" spans="22:26" x14ac:dyDescent="0.25">
      <c r="V348" s="2" t="str">
        <f t="shared" si="66"/>
        <v/>
      </c>
      <c r="W348" s="8" t="str">
        <f t="shared" si="67"/>
        <v/>
      </c>
      <c r="X348" s="9" t="str">
        <f t="shared" si="70"/>
        <v/>
      </c>
      <c r="Y348" s="2" t="str">
        <f t="shared" si="68"/>
        <v/>
      </c>
      <c r="Z348" s="9" t="str">
        <f t="shared" si="69"/>
        <v/>
      </c>
    </row>
    <row r="349" spans="22:26" x14ac:dyDescent="0.25">
      <c r="V349" s="2" t="str">
        <f t="shared" si="66"/>
        <v/>
      </c>
      <c r="W349" s="8" t="str">
        <f t="shared" si="67"/>
        <v/>
      </c>
      <c r="X349" s="9" t="str">
        <f t="shared" si="70"/>
        <v/>
      </c>
      <c r="Y349" s="2" t="str">
        <f t="shared" si="68"/>
        <v/>
      </c>
      <c r="Z349" s="9" t="str">
        <f t="shared" si="69"/>
        <v/>
      </c>
    </row>
    <row r="350" spans="22:26" x14ac:dyDescent="0.25">
      <c r="V350" s="2" t="str">
        <f t="shared" si="66"/>
        <v/>
      </c>
      <c r="W350" s="8" t="str">
        <f t="shared" si="67"/>
        <v/>
      </c>
      <c r="X350" s="9" t="str">
        <f t="shared" si="70"/>
        <v/>
      </c>
      <c r="Y350" s="2" t="str">
        <f t="shared" si="68"/>
        <v/>
      </c>
      <c r="Z350" s="9" t="str">
        <f t="shared" si="69"/>
        <v/>
      </c>
    </row>
    <row r="351" spans="22:26" x14ac:dyDescent="0.25">
      <c r="V351" s="2" t="str">
        <f t="shared" si="66"/>
        <v/>
      </c>
      <c r="W351" s="8" t="str">
        <f t="shared" si="67"/>
        <v/>
      </c>
      <c r="X351" s="9" t="str">
        <f t="shared" si="70"/>
        <v/>
      </c>
      <c r="Y351" s="2" t="str">
        <f t="shared" si="68"/>
        <v/>
      </c>
      <c r="Z351" s="9" t="str">
        <f t="shared" si="69"/>
        <v/>
      </c>
    </row>
    <row r="352" spans="22:26" x14ac:dyDescent="0.25">
      <c r="V352" s="2" t="str">
        <f t="shared" ref="V352:V415" si="71">IF(V351&lt;B$17,V351+1,"")</f>
        <v/>
      </c>
      <c r="W352" s="8" t="str">
        <f t="shared" ref="W352:W415" si="72">IF(V352="","",W351+30)</f>
        <v/>
      </c>
      <c r="X352" s="9" t="str">
        <f t="shared" si="70"/>
        <v/>
      </c>
      <c r="Y352" s="2" t="str">
        <f t="shared" ref="Y352:Y415" si="73">IF(X352="","",W352-W$30)</f>
        <v/>
      </c>
      <c r="Z352" s="9" t="str">
        <f t="shared" ref="Z352:Z415" si="74">IF(Y352="","",IF(Y352&lt;365,Y352*X352*X$26,365*X352*X$26))</f>
        <v/>
      </c>
    </row>
    <row r="353" spans="22:26" x14ac:dyDescent="0.25">
      <c r="V353" s="2" t="str">
        <f t="shared" si="71"/>
        <v/>
      </c>
      <c r="W353" s="8" t="str">
        <f t="shared" si="72"/>
        <v/>
      </c>
      <c r="X353" s="9" t="str">
        <f t="shared" si="70"/>
        <v/>
      </c>
      <c r="Y353" s="2" t="str">
        <f t="shared" si="73"/>
        <v/>
      </c>
      <c r="Z353" s="9" t="str">
        <f t="shared" si="74"/>
        <v/>
      </c>
    </row>
    <row r="354" spans="22:26" x14ac:dyDescent="0.25">
      <c r="V354" s="2" t="str">
        <f t="shared" si="71"/>
        <v/>
      </c>
      <c r="W354" s="8" t="str">
        <f t="shared" si="72"/>
        <v/>
      </c>
      <c r="X354" s="9" t="str">
        <f t="shared" si="70"/>
        <v/>
      </c>
      <c r="Y354" s="2" t="str">
        <f t="shared" si="73"/>
        <v/>
      </c>
      <c r="Z354" s="9" t="str">
        <f t="shared" si="74"/>
        <v/>
      </c>
    </row>
    <row r="355" spans="22:26" x14ac:dyDescent="0.25">
      <c r="V355" s="2" t="str">
        <f t="shared" si="71"/>
        <v/>
      </c>
      <c r="W355" s="8" t="str">
        <f t="shared" si="72"/>
        <v/>
      </c>
      <c r="X355" s="9" t="str">
        <f t="shared" si="70"/>
        <v/>
      </c>
      <c r="Y355" s="2" t="str">
        <f t="shared" si="73"/>
        <v/>
      </c>
      <c r="Z355" s="9" t="str">
        <f t="shared" si="74"/>
        <v/>
      </c>
    </row>
    <row r="356" spans="22:26" x14ac:dyDescent="0.25">
      <c r="V356" s="2" t="str">
        <f t="shared" si="71"/>
        <v/>
      </c>
      <c r="W356" s="8" t="str">
        <f t="shared" si="72"/>
        <v/>
      </c>
      <c r="X356" s="9" t="str">
        <f t="shared" si="70"/>
        <v/>
      </c>
      <c r="Y356" s="2" t="str">
        <f t="shared" si="73"/>
        <v/>
      </c>
      <c r="Z356" s="9" t="str">
        <f t="shared" si="74"/>
        <v/>
      </c>
    </row>
    <row r="357" spans="22:26" x14ac:dyDescent="0.25">
      <c r="V357" s="2" t="str">
        <f t="shared" si="71"/>
        <v/>
      </c>
      <c r="W357" s="8" t="str">
        <f t="shared" si="72"/>
        <v/>
      </c>
      <c r="X357" s="9" t="str">
        <f t="shared" si="70"/>
        <v/>
      </c>
      <c r="Y357" s="2" t="str">
        <f t="shared" si="73"/>
        <v/>
      </c>
      <c r="Z357" s="9" t="str">
        <f t="shared" si="74"/>
        <v/>
      </c>
    </row>
    <row r="358" spans="22:26" x14ac:dyDescent="0.25">
      <c r="V358" s="2" t="str">
        <f t="shared" si="71"/>
        <v/>
      </c>
      <c r="W358" s="8" t="str">
        <f t="shared" si="72"/>
        <v/>
      </c>
      <c r="X358" s="9" t="str">
        <f t="shared" si="70"/>
        <v/>
      </c>
      <c r="Y358" s="2" t="str">
        <f t="shared" si="73"/>
        <v/>
      </c>
      <c r="Z358" s="9" t="str">
        <f t="shared" si="74"/>
        <v/>
      </c>
    </row>
    <row r="359" spans="22:26" x14ac:dyDescent="0.25">
      <c r="V359" s="2" t="str">
        <f t="shared" si="71"/>
        <v/>
      </c>
      <c r="W359" s="8" t="str">
        <f t="shared" si="72"/>
        <v/>
      </c>
      <c r="X359" s="9" t="str">
        <f t="shared" si="70"/>
        <v/>
      </c>
      <c r="Y359" s="2" t="str">
        <f t="shared" si="73"/>
        <v/>
      </c>
      <c r="Z359" s="9" t="str">
        <f t="shared" si="74"/>
        <v/>
      </c>
    </row>
    <row r="360" spans="22:26" x14ac:dyDescent="0.25">
      <c r="V360" s="2" t="str">
        <f t="shared" si="71"/>
        <v/>
      </c>
      <c r="W360" s="8" t="str">
        <f t="shared" si="72"/>
        <v/>
      </c>
      <c r="X360" s="9" t="str">
        <f t="shared" si="70"/>
        <v/>
      </c>
      <c r="Y360" s="2" t="str">
        <f t="shared" si="73"/>
        <v/>
      </c>
      <c r="Z360" s="9" t="str">
        <f t="shared" si="74"/>
        <v/>
      </c>
    </row>
    <row r="361" spans="22:26" x14ac:dyDescent="0.25">
      <c r="V361" s="2" t="str">
        <f t="shared" si="71"/>
        <v/>
      </c>
      <c r="W361" s="8" t="str">
        <f t="shared" si="72"/>
        <v/>
      </c>
      <c r="X361" s="9" t="str">
        <f t="shared" si="70"/>
        <v/>
      </c>
      <c r="Y361" s="2" t="str">
        <f t="shared" si="73"/>
        <v/>
      </c>
      <c r="Z361" s="9" t="str">
        <f t="shared" si="74"/>
        <v/>
      </c>
    </row>
    <row r="362" spans="22:26" x14ac:dyDescent="0.25">
      <c r="V362" s="2" t="str">
        <f t="shared" si="71"/>
        <v/>
      </c>
      <c r="W362" s="8" t="str">
        <f t="shared" si="72"/>
        <v/>
      </c>
      <c r="X362" s="9" t="str">
        <f t="shared" si="70"/>
        <v/>
      </c>
      <c r="Y362" s="2" t="str">
        <f t="shared" si="73"/>
        <v/>
      </c>
      <c r="Z362" s="9" t="str">
        <f t="shared" si="74"/>
        <v/>
      </c>
    </row>
    <row r="363" spans="22:26" x14ac:dyDescent="0.25">
      <c r="V363" s="2" t="str">
        <f t="shared" si="71"/>
        <v/>
      </c>
      <c r="W363" s="8" t="str">
        <f t="shared" si="72"/>
        <v/>
      </c>
      <c r="X363" s="9" t="str">
        <f t="shared" si="70"/>
        <v/>
      </c>
      <c r="Y363" s="2" t="str">
        <f t="shared" si="73"/>
        <v/>
      </c>
      <c r="Z363" s="9" t="str">
        <f t="shared" si="74"/>
        <v/>
      </c>
    </row>
    <row r="364" spans="22:26" x14ac:dyDescent="0.25">
      <c r="V364" s="2" t="str">
        <f t="shared" si="71"/>
        <v/>
      </c>
      <c r="W364" s="8" t="str">
        <f t="shared" si="72"/>
        <v/>
      </c>
      <c r="X364" s="9" t="str">
        <f t="shared" si="70"/>
        <v/>
      </c>
      <c r="Y364" s="2" t="str">
        <f t="shared" si="73"/>
        <v/>
      </c>
      <c r="Z364" s="9" t="str">
        <f t="shared" si="74"/>
        <v/>
      </c>
    </row>
    <row r="365" spans="22:26" x14ac:dyDescent="0.25">
      <c r="V365" s="2" t="str">
        <f t="shared" si="71"/>
        <v/>
      </c>
      <c r="W365" s="8" t="str">
        <f t="shared" si="72"/>
        <v/>
      </c>
      <c r="X365" s="9" t="str">
        <f t="shared" si="70"/>
        <v/>
      </c>
      <c r="Y365" s="2" t="str">
        <f t="shared" si="73"/>
        <v/>
      </c>
      <c r="Z365" s="9" t="str">
        <f t="shared" si="74"/>
        <v/>
      </c>
    </row>
    <row r="366" spans="22:26" x14ac:dyDescent="0.25">
      <c r="V366" s="2" t="str">
        <f t="shared" si="71"/>
        <v/>
      </c>
      <c r="W366" s="8" t="str">
        <f t="shared" si="72"/>
        <v/>
      </c>
      <c r="X366" s="9" t="str">
        <f t="shared" si="70"/>
        <v/>
      </c>
      <c r="Y366" s="2" t="str">
        <f t="shared" si="73"/>
        <v/>
      </c>
      <c r="Z366" s="9" t="str">
        <f t="shared" si="74"/>
        <v/>
      </c>
    </row>
    <row r="367" spans="22:26" x14ac:dyDescent="0.25">
      <c r="V367" s="2" t="str">
        <f t="shared" si="71"/>
        <v/>
      </c>
      <c r="W367" s="8" t="str">
        <f t="shared" si="72"/>
        <v/>
      </c>
      <c r="X367" s="9" t="str">
        <f t="shared" si="70"/>
        <v/>
      </c>
      <c r="Y367" s="2" t="str">
        <f t="shared" si="73"/>
        <v/>
      </c>
      <c r="Z367" s="9" t="str">
        <f t="shared" si="74"/>
        <v/>
      </c>
    </row>
    <row r="368" spans="22:26" x14ac:dyDescent="0.25">
      <c r="V368" s="2" t="str">
        <f t="shared" si="71"/>
        <v/>
      </c>
      <c r="W368" s="8" t="str">
        <f t="shared" si="72"/>
        <v/>
      </c>
      <c r="X368" s="9" t="str">
        <f t="shared" si="70"/>
        <v/>
      </c>
      <c r="Y368" s="2" t="str">
        <f t="shared" si="73"/>
        <v/>
      </c>
      <c r="Z368" s="9" t="str">
        <f t="shared" si="74"/>
        <v/>
      </c>
    </row>
    <row r="369" spans="22:26" x14ac:dyDescent="0.25">
      <c r="V369" s="2" t="str">
        <f t="shared" si="71"/>
        <v/>
      </c>
      <c r="W369" s="8" t="str">
        <f t="shared" si="72"/>
        <v/>
      </c>
      <c r="X369" s="9" t="str">
        <f t="shared" si="70"/>
        <v/>
      </c>
      <c r="Y369" s="2" t="str">
        <f t="shared" si="73"/>
        <v/>
      </c>
      <c r="Z369" s="9" t="str">
        <f t="shared" si="74"/>
        <v/>
      </c>
    </row>
    <row r="370" spans="22:26" x14ac:dyDescent="0.25">
      <c r="V370" s="2" t="str">
        <f t="shared" si="71"/>
        <v/>
      </c>
      <c r="W370" s="8" t="str">
        <f t="shared" si="72"/>
        <v/>
      </c>
      <c r="X370" s="9" t="str">
        <f t="shared" si="70"/>
        <v/>
      </c>
      <c r="Y370" s="2" t="str">
        <f t="shared" si="73"/>
        <v/>
      </c>
      <c r="Z370" s="9" t="str">
        <f t="shared" si="74"/>
        <v/>
      </c>
    </row>
    <row r="371" spans="22:26" x14ac:dyDescent="0.25">
      <c r="V371" s="2" t="str">
        <f t="shared" si="71"/>
        <v/>
      </c>
      <c r="W371" s="8" t="str">
        <f t="shared" si="72"/>
        <v/>
      </c>
      <c r="X371" s="9" t="str">
        <f t="shared" si="70"/>
        <v/>
      </c>
      <c r="Y371" s="2" t="str">
        <f t="shared" si="73"/>
        <v/>
      </c>
      <c r="Z371" s="9" t="str">
        <f t="shared" si="74"/>
        <v/>
      </c>
    </row>
    <row r="372" spans="22:26" x14ac:dyDescent="0.25">
      <c r="V372" s="2" t="str">
        <f t="shared" si="71"/>
        <v/>
      </c>
      <c r="W372" s="8" t="str">
        <f t="shared" si="72"/>
        <v/>
      </c>
      <c r="X372" s="9" t="str">
        <f t="shared" si="70"/>
        <v/>
      </c>
      <c r="Y372" s="2" t="str">
        <f t="shared" si="73"/>
        <v/>
      </c>
      <c r="Z372" s="9" t="str">
        <f t="shared" si="74"/>
        <v/>
      </c>
    </row>
    <row r="373" spans="22:26" x14ac:dyDescent="0.25">
      <c r="V373" s="2" t="str">
        <f t="shared" si="71"/>
        <v/>
      </c>
      <c r="W373" s="8" t="str">
        <f t="shared" si="72"/>
        <v/>
      </c>
      <c r="X373" s="9" t="str">
        <f t="shared" si="70"/>
        <v/>
      </c>
      <c r="Y373" s="2" t="str">
        <f t="shared" si="73"/>
        <v/>
      </c>
      <c r="Z373" s="9" t="str">
        <f t="shared" si="74"/>
        <v/>
      </c>
    </row>
    <row r="374" spans="22:26" x14ac:dyDescent="0.25">
      <c r="V374" s="2" t="str">
        <f t="shared" si="71"/>
        <v/>
      </c>
      <c r="W374" s="8" t="str">
        <f t="shared" si="72"/>
        <v/>
      </c>
      <c r="X374" s="9" t="str">
        <f t="shared" si="70"/>
        <v/>
      </c>
      <c r="Y374" s="2" t="str">
        <f t="shared" si="73"/>
        <v/>
      </c>
      <c r="Z374" s="9" t="str">
        <f t="shared" si="74"/>
        <v/>
      </c>
    </row>
    <row r="375" spans="22:26" x14ac:dyDescent="0.25">
      <c r="V375" s="2" t="str">
        <f t="shared" si="71"/>
        <v/>
      </c>
      <c r="W375" s="8" t="str">
        <f t="shared" si="72"/>
        <v/>
      </c>
      <c r="X375" s="9" t="str">
        <f t="shared" si="70"/>
        <v/>
      </c>
      <c r="Y375" s="2" t="str">
        <f t="shared" si="73"/>
        <v/>
      </c>
      <c r="Z375" s="9" t="str">
        <f t="shared" si="74"/>
        <v/>
      </c>
    </row>
    <row r="376" spans="22:26" x14ac:dyDescent="0.25">
      <c r="V376" s="2" t="str">
        <f t="shared" si="71"/>
        <v/>
      </c>
      <c r="W376" s="8" t="str">
        <f t="shared" si="72"/>
        <v/>
      </c>
      <c r="X376" s="9" t="str">
        <f t="shared" si="70"/>
        <v/>
      </c>
      <c r="Y376" s="2" t="str">
        <f t="shared" si="73"/>
        <v/>
      </c>
      <c r="Z376" s="9" t="str">
        <f t="shared" si="74"/>
        <v/>
      </c>
    </row>
    <row r="377" spans="22:26" x14ac:dyDescent="0.25">
      <c r="V377" s="2" t="str">
        <f t="shared" si="71"/>
        <v/>
      </c>
      <c r="W377" s="8" t="str">
        <f t="shared" si="72"/>
        <v/>
      </c>
      <c r="X377" s="9" t="str">
        <f t="shared" si="70"/>
        <v/>
      </c>
      <c r="Y377" s="2" t="str">
        <f t="shared" si="73"/>
        <v/>
      </c>
      <c r="Z377" s="9" t="str">
        <f t="shared" si="74"/>
        <v/>
      </c>
    </row>
    <row r="378" spans="22:26" x14ac:dyDescent="0.25">
      <c r="V378" s="2" t="str">
        <f t="shared" si="71"/>
        <v/>
      </c>
      <c r="W378" s="8" t="str">
        <f t="shared" si="72"/>
        <v/>
      </c>
      <c r="X378" s="9" t="str">
        <f t="shared" si="70"/>
        <v/>
      </c>
      <c r="Y378" s="2" t="str">
        <f t="shared" si="73"/>
        <v/>
      </c>
      <c r="Z378" s="9" t="str">
        <f t="shared" si="74"/>
        <v/>
      </c>
    </row>
    <row r="379" spans="22:26" x14ac:dyDescent="0.25">
      <c r="V379" s="2" t="str">
        <f t="shared" si="71"/>
        <v/>
      </c>
      <c r="W379" s="8" t="str">
        <f t="shared" si="72"/>
        <v/>
      </c>
      <c r="X379" s="9" t="str">
        <f t="shared" si="70"/>
        <v/>
      </c>
      <c r="Y379" s="2" t="str">
        <f t="shared" si="73"/>
        <v/>
      </c>
      <c r="Z379" s="9" t="str">
        <f t="shared" si="74"/>
        <v/>
      </c>
    </row>
    <row r="380" spans="22:26" x14ac:dyDescent="0.25">
      <c r="V380" s="2" t="str">
        <f t="shared" si="71"/>
        <v/>
      </c>
      <c r="W380" s="8" t="str">
        <f t="shared" si="72"/>
        <v/>
      </c>
      <c r="X380" s="9" t="str">
        <f t="shared" si="70"/>
        <v/>
      </c>
      <c r="Y380" s="2" t="str">
        <f t="shared" si="73"/>
        <v/>
      </c>
      <c r="Z380" s="9" t="str">
        <f t="shared" si="74"/>
        <v/>
      </c>
    </row>
    <row r="381" spans="22:26" x14ac:dyDescent="0.25">
      <c r="V381" s="2" t="str">
        <f t="shared" si="71"/>
        <v/>
      </c>
      <c r="W381" s="8" t="str">
        <f t="shared" si="72"/>
        <v/>
      </c>
      <c r="X381" s="9" t="str">
        <f t="shared" si="70"/>
        <v/>
      </c>
      <c r="Y381" s="2" t="str">
        <f t="shared" si="73"/>
        <v/>
      </c>
      <c r="Z381" s="9" t="str">
        <f t="shared" si="74"/>
        <v/>
      </c>
    </row>
    <row r="382" spans="22:26" x14ac:dyDescent="0.25">
      <c r="V382" s="2" t="str">
        <f t="shared" si="71"/>
        <v/>
      </c>
      <c r="W382" s="8" t="str">
        <f t="shared" si="72"/>
        <v/>
      </c>
      <c r="X382" s="9" t="str">
        <f t="shared" si="70"/>
        <v/>
      </c>
      <c r="Y382" s="2" t="str">
        <f t="shared" si="73"/>
        <v/>
      </c>
      <c r="Z382" s="9" t="str">
        <f t="shared" si="74"/>
        <v/>
      </c>
    </row>
    <row r="383" spans="22:26" x14ac:dyDescent="0.25">
      <c r="V383" s="2" t="str">
        <f t="shared" si="71"/>
        <v/>
      </c>
      <c r="W383" s="8" t="str">
        <f t="shared" si="72"/>
        <v/>
      </c>
      <c r="X383" s="9" t="str">
        <f t="shared" si="70"/>
        <v/>
      </c>
      <c r="Y383" s="2" t="str">
        <f t="shared" si="73"/>
        <v/>
      </c>
      <c r="Z383" s="9" t="str">
        <f t="shared" si="74"/>
        <v/>
      </c>
    </row>
    <row r="384" spans="22:26" x14ac:dyDescent="0.25">
      <c r="V384" s="2" t="str">
        <f t="shared" si="71"/>
        <v/>
      </c>
      <c r="W384" s="8" t="str">
        <f t="shared" si="72"/>
        <v/>
      </c>
      <c r="X384" s="9" t="str">
        <f t="shared" si="70"/>
        <v/>
      </c>
      <c r="Y384" s="2" t="str">
        <f t="shared" si="73"/>
        <v/>
      </c>
      <c r="Z384" s="9" t="str">
        <f t="shared" si="74"/>
        <v/>
      </c>
    </row>
    <row r="385" spans="22:26" x14ac:dyDescent="0.25">
      <c r="V385" s="2" t="str">
        <f t="shared" si="71"/>
        <v/>
      </c>
      <c r="W385" s="8" t="str">
        <f t="shared" si="72"/>
        <v/>
      </c>
      <c r="X385" s="9" t="str">
        <f t="shared" si="70"/>
        <v/>
      </c>
      <c r="Y385" s="2" t="str">
        <f t="shared" si="73"/>
        <v/>
      </c>
      <c r="Z385" s="9" t="str">
        <f t="shared" si="74"/>
        <v/>
      </c>
    </row>
    <row r="386" spans="22:26" x14ac:dyDescent="0.25">
      <c r="V386" s="2" t="str">
        <f t="shared" si="71"/>
        <v/>
      </c>
      <c r="W386" s="8" t="str">
        <f t="shared" si="72"/>
        <v/>
      </c>
      <c r="X386" s="9" t="str">
        <f t="shared" ref="X386:X449" si="75">IF(W386="","",D379)</f>
        <v/>
      </c>
      <c r="Y386" s="2" t="str">
        <f t="shared" si="73"/>
        <v/>
      </c>
      <c r="Z386" s="9" t="str">
        <f t="shared" si="74"/>
        <v/>
      </c>
    </row>
    <row r="387" spans="22:26" x14ac:dyDescent="0.25">
      <c r="V387" s="2" t="str">
        <f t="shared" si="71"/>
        <v/>
      </c>
      <c r="W387" s="8" t="str">
        <f t="shared" si="72"/>
        <v/>
      </c>
      <c r="X387" s="9" t="str">
        <f t="shared" si="75"/>
        <v/>
      </c>
      <c r="Y387" s="2" t="str">
        <f t="shared" si="73"/>
        <v/>
      </c>
      <c r="Z387" s="9" t="str">
        <f t="shared" si="74"/>
        <v/>
      </c>
    </row>
    <row r="388" spans="22:26" x14ac:dyDescent="0.25">
      <c r="V388" s="2" t="str">
        <f t="shared" si="71"/>
        <v/>
      </c>
      <c r="W388" s="8" t="str">
        <f t="shared" si="72"/>
        <v/>
      </c>
      <c r="X388" s="9" t="str">
        <f t="shared" si="75"/>
        <v/>
      </c>
      <c r="Y388" s="2" t="str">
        <f t="shared" si="73"/>
        <v/>
      </c>
      <c r="Z388" s="9" t="str">
        <f t="shared" si="74"/>
        <v/>
      </c>
    </row>
    <row r="389" spans="22:26" x14ac:dyDescent="0.25">
      <c r="V389" s="2" t="str">
        <f t="shared" si="71"/>
        <v/>
      </c>
      <c r="W389" s="8" t="str">
        <f t="shared" si="72"/>
        <v/>
      </c>
      <c r="X389" s="9" t="str">
        <f t="shared" si="75"/>
        <v/>
      </c>
      <c r="Y389" s="2" t="str">
        <f t="shared" si="73"/>
        <v/>
      </c>
      <c r="Z389" s="9" t="str">
        <f t="shared" si="74"/>
        <v/>
      </c>
    </row>
    <row r="390" spans="22:26" x14ac:dyDescent="0.25">
      <c r="V390" s="2" t="str">
        <f t="shared" si="71"/>
        <v/>
      </c>
      <c r="W390" s="8" t="str">
        <f t="shared" si="72"/>
        <v/>
      </c>
      <c r="X390" s="9" t="str">
        <f t="shared" si="75"/>
        <v/>
      </c>
      <c r="Y390" s="2" t="str">
        <f t="shared" si="73"/>
        <v/>
      </c>
      <c r="Z390" s="9" t="str">
        <f t="shared" si="74"/>
        <v/>
      </c>
    </row>
    <row r="391" spans="22:26" x14ac:dyDescent="0.25">
      <c r="V391" s="2" t="str">
        <f t="shared" si="71"/>
        <v/>
      </c>
      <c r="W391" s="8" t="str">
        <f t="shared" si="72"/>
        <v/>
      </c>
      <c r="X391" s="9" t="str">
        <f t="shared" si="75"/>
        <v/>
      </c>
      <c r="Y391" s="2" t="str">
        <f t="shared" si="73"/>
        <v/>
      </c>
      <c r="Z391" s="9" t="str">
        <f t="shared" si="74"/>
        <v/>
      </c>
    </row>
    <row r="392" spans="22:26" x14ac:dyDescent="0.25">
      <c r="V392" s="2" t="str">
        <f t="shared" si="71"/>
        <v/>
      </c>
      <c r="W392" s="8" t="str">
        <f t="shared" si="72"/>
        <v/>
      </c>
      <c r="X392" s="9" t="str">
        <f t="shared" si="75"/>
        <v/>
      </c>
      <c r="Y392" s="2" t="str">
        <f t="shared" si="73"/>
        <v/>
      </c>
      <c r="Z392" s="9" t="str">
        <f t="shared" si="74"/>
        <v/>
      </c>
    </row>
    <row r="393" spans="22:26" x14ac:dyDescent="0.25">
      <c r="V393" s="2" t="str">
        <f t="shared" si="71"/>
        <v/>
      </c>
      <c r="W393" s="8" t="str">
        <f t="shared" si="72"/>
        <v/>
      </c>
      <c r="X393" s="9" t="str">
        <f t="shared" si="75"/>
        <v/>
      </c>
      <c r="Y393" s="2" t="str">
        <f t="shared" si="73"/>
        <v/>
      </c>
      <c r="Z393" s="9" t="str">
        <f t="shared" si="74"/>
        <v/>
      </c>
    </row>
    <row r="394" spans="22:26" x14ac:dyDescent="0.25">
      <c r="V394" s="2" t="str">
        <f t="shared" si="71"/>
        <v/>
      </c>
      <c r="W394" s="8" t="str">
        <f t="shared" si="72"/>
        <v/>
      </c>
      <c r="X394" s="9" t="str">
        <f t="shared" si="75"/>
        <v/>
      </c>
      <c r="Y394" s="2" t="str">
        <f t="shared" si="73"/>
        <v/>
      </c>
      <c r="Z394" s="9" t="str">
        <f t="shared" si="74"/>
        <v/>
      </c>
    </row>
    <row r="395" spans="22:26" x14ac:dyDescent="0.25">
      <c r="V395" s="2" t="str">
        <f t="shared" si="71"/>
        <v/>
      </c>
      <c r="W395" s="8" t="str">
        <f t="shared" si="72"/>
        <v/>
      </c>
      <c r="X395" s="9" t="str">
        <f t="shared" si="75"/>
        <v/>
      </c>
      <c r="Y395" s="2" t="str">
        <f t="shared" si="73"/>
        <v/>
      </c>
      <c r="Z395" s="9" t="str">
        <f t="shared" si="74"/>
        <v/>
      </c>
    </row>
    <row r="396" spans="22:26" x14ac:dyDescent="0.25">
      <c r="V396" s="2" t="str">
        <f t="shared" si="71"/>
        <v/>
      </c>
      <c r="W396" s="8" t="str">
        <f t="shared" si="72"/>
        <v/>
      </c>
      <c r="X396" s="9" t="str">
        <f t="shared" si="75"/>
        <v/>
      </c>
      <c r="Y396" s="2" t="str">
        <f t="shared" si="73"/>
        <v/>
      </c>
      <c r="Z396" s="9" t="str">
        <f t="shared" si="74"/>
        <v/>
      </c>
    </row>
    <row r="397" spans="22:26" x14ac:dyDescent="0.25">
      <c r="V397" s="2" t="str">
        <f t="shared" si="71"/>
        <v/>
      </c>
      <c r="W397" s="8" t="str">
        <f t="shared" si="72"/>
        <v/>
      </c>
      <c r="X397" s="9" t="str">
        <f t="shared" si="75"/>
        <v/>
      </c>
      <c r="Y397" s="2" t="str">
        <f t="shared" si="73"/>
        <v/>
      </c>
      <c r="Z397" s="9" t="str">
        <f t="shared" si="74"/>
        <v/>
      </c>
    </row>
    <row r="398" spans="22:26" x14ac:dyDescent="0.25">
      <c r="V398" s="2" t="str">
        <f t="shared" si="71"/>
        <v/>
      </c>
      <c r="W398" s="8" t="str">
        <f t="shared" si="72"/>
        <v/>
      </c>
      <c r="X398" s="9" t="str">
        <f t="shared" si="75"/>
        <v/>
      </c>
      <c r="Y398" s="2" t="str">
        <f t="shared" si="73"/>
        <v/>
      </c>
      <c r="Z398" s="9" t="str">
        <f t="shared" si="74"/>
        <v/>
      </c>
    </row>
    <row r="399" spans="22:26" x14ac:dyDescent="0.25">
      <c r="V399" s="2" t="str">
        <f t="shared" si="71"/>
        <v/>
      </c>
      <c r="W399" s="8" t="str">
        <f t="shared" si="72"/>
        <v/>
      </c>
      <c r="X399" s="9" t="str">
        <f t="shared" si="75"/>
        <v/>
      </c>
      <c r="Y399" s="2" t="str">
        <f t="shared" si="73"/>
        <v/>
      </c>
      <c r="Z399" s="9" t="str">
        <f t="shared" si="74"/>
        <v/>
      </c>
    </row>
    <row r="400" spans="22:26" x14ac:dyDescent="0.25">
      <c r="V400" s="2" t="str">
        <f t="shared" si="71"/>
        <v/>
      </c>
      <c r="W400" s="8" t="str">
        <f t="shared" si="72"/>
        <v/>
      </c>
      <c r="X400" s="9" t="str">
        <f t="shared" si="75"/>
        <v/>
      </c>
      <c r="Y400" s="2" t="str">
        <f t="shared" si="73"/>
        <v/>
      </c>
      <c r="Z400" s="9" t="str">
        <f t="shared" si="74"/>
        <v/>
      </c>
    </row>
    <row r="401" spans="22:26" x14ac:dyDescent="0.25">
      <c r="V401" s="2" t="str">
        <f t="shared" si="71"/>
        <v/>
      </c>
      <c r="W401" s="8" t="str">
        <f t="shared" si="72"/>
        <v/>
      </c>
      <c r="X401" s="9" t="str">
        <f t="shared" si="75"/>
        <v/>
      </c>
      <c r="Y401" s="2" t="str">
        <f t="shared" si="73"/>
        <v/>
      </c>
      <c r="Z401" s="9" t="str">
        <f t="shared" si="74"/>
        <v/>
      </c>
    </row>
    <row r="402" spans="22:26" x14ac:dyDescent="0.25">
      <c r="V402" s="2" t="str">
        <f t="shared" si="71"/>
        <v/>
      </c>
      <c r="W402" s="8" t="str">
        <f t="shared" si="72"/>
        <v/>
      </c>
      <c r="X402" s="9" t="str">
        <f t="shared" si="75"/>
        <v/>
      </c>
      <c r="Y402" s="2" t="str">
        <f t="shared" si="73"/>
        <v/>
      </c>
      <c r="Z402" s="9" t="str">
        <f t="shared" si="74"/>
        <v/>
      </c>
    </row>
    <row r="403" spans="22:26" x14ac:dyDescent="0.25">
      <c r="V403" s="2" t="str">
        <f t="shared" si="71"/>
        <v/>
      </c>
      <c r="W403" s="8" t="str">
        <f t="shared" si="72"/>
        <v/>
      </c>
      <c r="X403" s="9" t="str">
        <f t="shared" si="75"/>
        <v/>
      </c>
      <c r="Y403" s="2" t="str">
        <f t="shared" si="73"/>
        <v/>
      </c>
      <c r="Z403" s="9" t="str">
        <f t="shared" si="74"/>
        <v/>
      </c>
    </row>
    <row r="404" spans="22:26" x14ac:dyDescent="0.25">
      <c r="V404" s="2" t="str">
        <f t="shared" si="71"/>
        <v/>
      </c>
      <c r="W404" s="8" t="str">
        <f t="shared" si="72"/>
        <v/>
      </c>
      <c r="X404" s="9" t="str">
        <f t="shared" si="75"/>
        <v/>
      </c>
      <c r="Y404" s="2" t="str">
        <f t="shared" si="73"/>
        <v/>
      </c>
      <c r="Z404" s="9" t="str">
        <f t="shared" si="74"/>
        <v/>
      </c>
    </row>
    <row r="405" spans="22:26" x14ac:dyDescent="0.25">
      <c r="V405" s="2" t="str">
        <f t="shared" si="71"/>
        <v/>
      </c>
      <c r="W405" s="8" t="str">
        <f t="shared" si="72"/>
        <v/>
      </c>
      <c r="X405" s="9" t="str">
        <f t="shared" si="75"/>
        <v/>
      </c>
      <c r="Y405" s="2" t="str">
        <f t="shared" si="73"/>
        <v/>
      </c>
      <c r="Z405" s="9" t="str">
        <f t="shared" si="74"/>
        <v/>
      </c>
    </row>
    <row r="406" spans="22:26" x14ac:dyDescent="0.25">
      <c r="V406" s="2" t="str">
        <f t="shared" si="71"/>
        <v/>
      </c>
      <c r="W406" s="8" t="str">
        <f t="shared" si="72"/>
        <v/>
      </c>
      <c r="X406" s="9" t="str">
        <f t="shared" si="75"/>
        <v/>
      </c>
      <c r="Y406" s="2" t="str">
        <f t="shared" si="73"/>
        <v/>
      </c>
      <c r="Z406" s="9" t="str">
        <f t="shared" si="74"/>
        <v/>
      </c>
    </row>
    <row r="407" spans="22:26" x14ac:dyDescent="0.25">
      <c r="V407" s="2" t="str">
        <f t="shared" si="71"/>
        <v/>
      </c>
      <c r="W407" s="8" t="str">
        <f t="shared" si="72"/>
        <v/>
      </c>
      <c r="X407" s="9" t="str">
        <f t="shared" si="75"/>
        <v/>
      </c>
      <c r="Y407" s="2" t="str">
        <f t="shared" si="73"/>
        <v/>
      </c>
      <c r="Z407" s="9" t="str">
        <f t="shared" si="74"/>
        <v/>
      </c>
    </row>
    <row r="408" spans="22:26" x14ac:dyDescent="0.25">
      <c r="V408" s="2" t="str">
        <f t="shared" si="71"/>
        <v/>
      </c>
      <c r="W408" s="8" t="str">
        <f t="shared" si="72"/>
        <v/>
      </c>
      <c r="X408" s="9" t="str">
        <f t="shared" si="75"/>
        <v/>
      </c>
      <c r="Y408" s="2" t="str">
        <f t="shared" si="73"/>
        <v/>
      </c>
      <c r="Z408" s="9" t="str">
        <f t="shared" si="74"/>
        <v/>
      </c>
    </row>
    <row r="409" spans="22:26" x14ac:dyDescent="0.25">
      <c r="V409" s="2" t="str">
        <f t="shared" si="71"/>
        <v/>
      </c>
      <c r="W409" s="8" t="str">
        <f t="shared" si="72"/>
        <v/>
      </c>
      <c r="X409" s="9" t="str">
        <f t="shared" si="75"/>
        <v/>
      </c>
      <c r="Y409" s="2" t="str">
        <f t="shared" si="73"/>
        <v/>
      </c>
      <c r="Z409" s="9" t="str">
        <f t="shared" si="74"/>
        <v/>
      </c>
    </row>
    <row r="410" spans="22:26" x14ac:dyDescent="0.25">
      <c r="V410" s="2" t="str">
        <f t="shared" si="71"/>
        <v/>
      </c>
      <c r="W410" s="8" t="str">
        <f t="shared" si="72"/>
        <v/>
      </c>
      <c r="X410" s="9" t="str">
        <f t="shared" si="75"/>
        <v/>
      </c>
      <c r="Y410" s="2" t="str">
        <f t="shared" si="73"/>
        <v/>
      </c>
      <c r="Z410" s="9" t="str">
        <f t="shared" si="74"/>
        <v/>
      </c>
    </row>
    <row r="411" spans="22:26" x14ac:dyDescent="0.25">
      <c r="V411" s="2" t="str">
        <f t="shared" si="71"/>
        <v/>
      </c>
      <c r="W411" s="8" t="str">
        <f t="shared" si="72"/>
        <v/>
      </c>
      <c r="X411" s="9" t="str">
        <f t="shared" si="75"/>
        <v/>
      </c>
      <c r="Y411" s="2" t="str">
        <f t="shared" si="73"/>
        <v/>
      </c>
      <c r="Z411" s="9" t="str">
        <f t="shared" si="74"/>
        <v/>
      </c>
    </row>
    <row r="412" spans="22:26" x14ac:dyDescent="0.25">
      <c r="V412" s="2" t="str">
        <f t="shared" si="71"/>
        <v/>
      </c>
      <c r="W412" s="8" t="str">
        <f t="shared" si="72"/>
        <v/>
      </c>
      <c r="X412" s="9" t="str">
        <f t="shared" si="75"/>
        <v/>
      </c>
      <c r="Y412" s="2" t="str">
        <f t="shared" si="73"/>
        <v/>
      </c>
      <c r="Z412" s="9" t="str">
        <f t="shared" si="74"/>
        <v/>
      </c>
    </row>
    <row r="413" spans="22:26" x14ac:dyDescent="0.25">
      <c r="V413" s="2" t="str">
        <f t="shared" si="71"/>
        <v/>
      </c>
      <c r="W413" s="8" t="str">
        <f t="shared" si="72"/>
        <v/>
      </c>
      <c r="X413" s="9" t="str">
        <f t="shared" si="75"/>
        <v/>
      </c>
      <c r="Y413" s="2" t="str">
        <f t="shared" si="73"/>
        <v/>
      </c>
      <c r="Z413" s="9" t="str">
        <f t="shared" si="74"/>
        <v/>
      </c>
    </row>
    <row r="414" spans="22:26" x14ac:dyDescent="0.25">
      <c r="V414" s="2" t="str">
        <f t="shared" si="71"/>
        <v/>
      </c>
      <c r="W414" s="8" t="str">
        <f t="shared" si="72"/>
        <v/>
      </c>
      <c r="X414" s="9" t="str">
        <f t="shared" si="75"/>
        <v/>
      </c>
      <c r="Y414" s="2" t="str">
        <f t="shared" si="73"/>
        <v/>
      </c>
      <c r="Z414" s="9" t="str">
        <f t="shared" si="74"/>
        <v/>
      </c>
    </row>
    <row r="415" spans="22:26" x14ac:dyDescent="0.25">
      <c r="V415" s="2" t="str">
        <f t="shared" si="71"/>
        <v/>
      </c>
      <c r="W415" s="8" t="str">
        <f t="shared" si="72"/>
        <v/>
      </c>
      <c r="X415" s="9" t="str">
        <f t="shared" si="75"/>
        <v/>
      </c>
      <c r="Y415" s="2" t="str">
        <f t="shared" si="73"/>
        <v/>
      </c>
      <c r="Z415" s="9" t="str">
        <f t="shared" si="74"/>
        <v/>
      </c>
    </row>
    <row r="416" spans="22:26" x14ac:dyDescent="0.25">
      <c r="V416" s="2" t="str">
        <f t="shared" ref="V416:V479" si="76">IF(V415&lt;B$17,V415+1,"")</f>
        <v/>
      </c>
      <c r="W416" s="8" t="str">
        <f t="shared" ref="W416:W479" si="77">IF(V416="","",W415+30)</f>
        <v/>
      </c>
      <c r="X416" s="9" t="str">
        <f t="shared" si="75"/>
        <v/>
      </c>
      <c r="Y416" s="2" t="str">
        <f t="shared" ref="Y416:Y479" si="78">IF(X416="","",W416-W$30)</f>
        <v/>
      </c>
      <c r="Z416" s="9" t="str">
        <f t="shared" ref="Z416:Z479" si="79">IF(Y416="","",IF(Y416&lt;365,Y416*X416*X$26,365*X416*X$26))</f>
        <v/>
      </c>
    </row>
    <row r="417" spans="22:26" x14ac:dyDescent="0.25">
      <c r="V417" s="2" t="str">
        <f t="shared" si="76"/>
        <v/>
      </c>
      <c r="W417" s="8" t="str">
        <f t="shared" si="77"/>
        <v/>
      </c>
      <c r="X417" s="9" t="str">
        <f t="shared" si="75"/>
        <v/>
      </c>
      <c r="Y417" s="2" t="str">
        <f t="shared" si="78"/>
        <v/>
      </c>
      <c r="Z417" s="9" t="str">
        <f t="shared" si="79"/>
        <v/>
      </c>
    </row>
    <row r="418" spans="22:26" x14ac:dyDescent="0.25">
      <c r="V418" s="2" t="str">
        <f t="shared" si="76"/>
        <v/>
      </c>
      <c r="W418" s="8" t="str">
        <f t="shared" si="77"/>
        <v/>
      </c>
      <c r="X418" s="9" t="str">
        <f t="shared" si="75"/>
        <v/>
      </c>
      <c r="Y418" s="2" t="str">
        <f t="shared" si="78"/>
        <v/>
      </c>
      <c r="Z418" s="9" t="str">
        <f t="shared" si="79"/>
        <v/>
      </c>
    </row>
    <row r="419" spans="22:26" x14ac:dyDescent="0.25">
      <c r="V419" s="2" t="str">
        <f t="shared" si="76"/>
        <v/>
      </c>
      <c r="W419" s="8" t="str">
        <f t="shared" si="77"/>
        <v/>
      </c>
      <c r="X419" s="9" t="str">
        <f t="shared" si="75"/>
        <v/>
      </c>
      <c r="Y419" s="2" t="str">
        <f t="shared" si="78"/>
        <v/>
      </c>
      <c r="Z419" s="9" t="str">
        <f t="shared" si="79"/>
        <v/>
      </c>
    </row>
    <row r="420" spans="22:26" x14ac:dyDescent="0.25">
      <c r="V420" s="2" t="str">
        <f t="shared" si="76"/>
        <v/>
      </c>
      <c r="W420" s="8" t="str">
        <f t="shared" si="77"/>
        <v/>
      </c>
      <c r="X420" s="9" t="str">
        <f t="shared" si="75"/>
        <v/>
      </c>
      <c r="Y420" s="2" t="str">
        <f t="shared" si="78"/>
        <v/>
      </c>
      <c r="Z420" s="9" t="str">
        <f t="shared" si="79"/>
        <v/>
      </c>
    </row>
    <row r="421" spans="22:26" x14ac:dyDescent="0.25">
      <c r="V421" s="2" t="str">
        <f t="shared" si="76"/>
        <v/>
      </c>
      <c r="W421" s="8" t="str">
        <f t="shared" si="77"/>
        <v/>
      </c>
      <c r="X421" s="9" t="str">
        <f t="shared" si="75"/>
        <v/>
      </c>
      <c r="Y421" s="2" t="str">
        <f t="shared" si="78"/>
        <v/>
      </c>
      <c r="Z421" s="9" t="str">
        <f t="shared" si="79"/>
        <v/>
      </c>
    </row>
    <row r="422" spans="22:26" x14ac:dyDescent="0.25">
      <c r="V422" s="2" t="str">
        <f t="shared" si="76"/>
        <v/>
      </c>
      <c r="W422" s="8" t="str">
        <f t="shared" si="77"/>
        <v/>
      </c>
      <c r="X422" s="9" t="str">
        <f t="shared" si="75"/>
        <v/>
      </c>
      <c r="Y422" s="2" t="str">
        <f t="shared" si="78"/>
        <v/>
      </c>
      <c r="Z422" s="9" t="str">
        <f t="shared" si="79"/>
        <v/>
      </c>
    </row>
    <row r="423" spans="22:26" x14ac:dyDescent="0.25">
      <c r="V423" s="2" t="str">
        <f t="shared" si="76"/>
        <v/>
      </c>
      <c r="W423" s="8" t="str">
        <f t="shared" si="77"/>
        <v/>
      </c>
      <c r="X423" s="9" t="str">
        <f t="shared" si="75"/>
        <v/>
      </c>
      <c r="Y423" s="2" t="str">
        <f t="shared" si="78"/>
        <v/>
      </c>
      <c r="Z423" s="9" t="str">
        <f t="shared" si="79"/>
        <v/>
      </c>
    </row>
    <row r="424" spans="22:26" x14ac:dyDescent="0.25">
      <c r="V424" s="2" t="str">
        <f t="shared" si="76"/>
        <v/>
      </c>
      <c r="W424" s="8" t="str">
        <f t="shared" si="77"/>
        <v/>
      </c>
      <c r="X424" s="9" t="str">
        <f t="shared" si="75"/>
        <v/>
      </c>
      <c r="Y424" s="2" t="str">
        <f t="shared" si="78"/>
        <v/>
      </c>
      <c r="Z424" s="9" t="str">
        <f t="shared" si="79"/>
        <v/>
      </c>
    </row>
    <row r="425" spans="22:26" x14ac:dyDescent="0.25">
      <c r="V425" s="2" t="str">
        <f t="shared" si="76"/>
        <v/>
      </c>
      <c r="W425" s="8" t="str">
        <f t="shared" si="77"/>
        <v/>
      </c>
      <c r="X425" s="9" t="str">
        <f t="shared" si="75"/>
        <v/>
      </c>
      <c r="Y425" s="2" t="str">
        <f t="shared" si="78"/>
        <v/>
      </c>
      <c r="Z425" s="9" t="str">
        <f t="shared" si="79"/>
        <v/>
      </c>
    </row>
    <row r="426" spans="22:26" x14ac:dyDescent="0.25">
      <c r="V426" s="2" t="str">
        <f t="shared" si="76"/>
        <v/>
      </c>
      <c r="W426" s="8" t="str">
        <f t="shared" si="77"/>
        <v/>
      </c>
      <c r="X426" s="9" t="str">
        <f t="shared" si="75"/>
        <v/>
      </c>
      <c r="Y426" s="2" t="str">
        <f t="shared" si="78"/>
        <v/>
      </c>
      <c r="Z426" s="9" t="str">
        <f t="shared" si="79"/>
        <v/>
      </c>
    </row>
    <row r="427" spans="22:26" x14ac:dyDescent="0.25">
      <c r="V427" s="2" t="str">
        <f t="shared" si="76"/>
        <v/>
      </c>
      <c r="W427" s="8" t="str">
        <f t="shared" si="77"/>
        <v/>
      </c>
      <c r="X427" s="9" t="str">
        <f t="shared" si="75"/>
        <v/>
      </c>
      <c r="Y427" s="2" t="str">
        <f t="shared" si="78"/>
        <v/>
      </c>
      <c r="Z427" s="9" t="str">
        <f t="shared" si="79"/>
        <v/>
      </c>
    </row>
    <row r="428" spans="22:26" x14ac:dyDescent="0.25">
      <c r="V428" s="2" t="str">
        <f t="shared" si="76"/>
        <v/>
      </c>
      <c r="W428" s="8" t="str">
        <f t="shared" si="77"/>
        <v/>
      </c>
      <c r="X428" s="9" t="str">
        <f t="shared" si="75"/>
        <v/>
      </c>
      <c r="Y428" s="2" t="str">
        <f t="shared" si="78"/>
        <v/>
      </c>
      <c r="Z428" s="9" t="str">
        <f t="shared" si="79"/>
        <v/>
      </c>
    </row>
    <row r="429" spans="22:26" x14ac:dyDescent="0.25">
      <c r="V429" s="2" t="str">
        <f t="shared" si="76"/>
        <v/>
      </c>
      <c r="W429" s="8" t="str">
        <f t="shared" si="77"/>
        <v/>
      </c>
      <c r="X429" s="9" t="str">
        <f t="shared" si="75"/>
        <v/>
      </c>
      <c r="Y429" s="2" t="str">
        <f t="shared" si="78"/>
        <v/>
      </c>
      <c r="Z429" s="9" t="str">
        <f t="shared" si="79"/>
        <v/>
      </c>
    </row>
    <row r="430" spans="22:26" x14ac:dyDescent="0.25">
      <c r="V430" s="2" t="str">
        <f t="shared" si="76"/>
        <v/>
      </c>
      <c r="W430" s="8" t="str">
        <f t="shared" si="77"/>
        <v/>
      </c>
      <c r="X430" s="9" t="str">
        <f t="shared" si="75"/>
        <v/>
      </c>
      <c r="Y430" s="2" t="str">
        <f t="shared" si="78"/>
        <v/>
      </c>
      <c r="Z430" s="9" t="str">
        <f t="shared" si="79"/>
        <v/>
      </c>
    </row>
    <row r="431" spans="22:26" x14ac:dyDescent="0.25">
      <c r="V431" s="2" t="str">
        <f t="shared" si="76"/>
        <v/>
      </c>
      <c r="W431" s="8" t="str">
        <f t="shared" si="77"/>
        <v/>
      </c>
      <c r="X431" s="9" t="str">
        <f t="shared" si="75"/>
        <v/>
      </c>
      <c r="Y431" s="2" t="str">
        <f t="shared" si="78"/>
        <v/>
      </c>
      <c r="Z431" s="9" t="str">
        <f t="shared" si="79"/>
        <v/>
      </c>
    </row>
    <row r="432" spans="22:26" x14ac:dyDescent="0.25">
      <c r="V432" s="2" t="str">
        <f t="shared" si="76"/>
        <v/>
      </c>
      <c r="W432" s="8" t="str">
        <f t="shared" si="77"/>
        <v/>
      </c>
      <c r="X432" s="9" t="str">
        <f t="shared" si="75"/>
        <v/>
      </c>
      <c r="Y432" s="2" t="str">
        <f t="shared" si="78"/>
        <v/>
      </c>
      <c r="Z432" s="9" t="str">
        <f t="shared" si="79"/>
        <v/>
      </c>
    </row>
    <row r="433" spans="22:26" x14ac:dyDescent="0.25">
      <c r="V433" s="2" t="str">
        <f t="shared" si="76"/>
        <v/>
      </c>
      <c r="W433" s="8" t="str">
        <f t="shared" si="77"/>
        <v/>
      </c>
      <c r="X433" s="9" t="str">
        <f t="shared" si="75"/>
        <v/>
      </c>
      <c r="Y433" s="2" t="str">
        <f t="shared" si="78"/>
        <v/>
      </c>
      <c r="Z433" s="9" t="str">
        <f t="shared" si="79"/>
        <v/>
      </c>
    </row>
    <row r="434" spans="22:26" x14ac:dyDescent="0.25">
      <c r="V434" s="2" t="str">
        <f t="shared" si="76"/>
        <v/>
      </c>
      <c r="W434" s="8" t="str">
        <f t="shared" si="77"/>
        <v/>
      </c>
      <c r="X434" s="9" t="str">
        <f t="shared" si="75"/>
        <v/>
      </c>
      <c r="Y434" s="2" t="str">
        <f t="shared" si="78"/>
        <v/>
      </c>
      <c r="Z434" s="9" t="str">
        <f t="shared" si="79"/>
        <v/>
      </c>
    </row>
    <row r="435" spans="22:26" x14ac:dyDescent="0.25">
      <c r="V435" s="2" t="str">
        <f t="shared" si="76"/>
        <v/>
      </c>
      <c r="W435" s="8" t="str">
        <f t="shared" si="77"/>
        <v/>
      </c>
      <c r="X435" s="9" t="str">
        <f t="shared" si="75"/>
        <v/>
      </c>
      <c r="Y435" s="2" t="str">
        <f t="shared" si="78"/>
        <v/>
      </c>
      <c r="Z435" s="9" t="str">
        <f t="shared" si="79"/>
        <v/>
      </c>
    </row>
    <row r="436" spans="22:26" x14ac:dyDescent="0.25">
      <c r="V436" s="2" t="str">
        <f t="shared" si="76"/>
        <v/>
      </c>
      <c r="W436" s="8" t="str">
        <f t="shared" si="77"/>
        <v/>
      </c>
      <c r="X436" s="9" t="str">
        <f t="shared" si="75"/>
        <v/>
      </c>
      <c r="Y436" s="2" t="str">
        <f t="shared" si="78"/>
        <v/>
      </c>
      <c r="Z436" s="9" t="str">
        <f t="shared" si="79"/>
        <v/>
      </c>
    </row>
    <row r="437" spans="22:26" x14ac:dyDescent="0.25">
      <c r="V437" s="2" t="str">
        <f t="shared" si="76"/>
        <v/>
      </c>
      <c r="W437" s="8" t="str">
        <f t="shared" si="77"/>
        <v/>
      </c>
      <c r="X437" s="9" t="str">
        <f t="shared" si="75"/>
        <v/>
      </c>
      <c r="Y437" s="2" t="str">
        <f t="shared" si="78"/>
        <v/>
      </c>
      <c r="Z437" s="9" t="str">
        <f t="shared" si="79"/>
        <v/>
      </c>
    </row>
    <row r="438" spans="22:26" x14ac:dyDescent="0.25">
      <c r="V438" s="2" t="str">
        <f t="shared" si="76"/>
        <v/>
      </c>
      <c r="W438" s="8" t="str">
        <f t="shared" si="77"/>
        <v/>
      </c>
      <c r="X438" s="9" t="str">
        <f t="shared" si="75"/>
        <v/>
      </c>
      <c r="Y438" s="2" t="str">
        <f t="shared" si="78"/>
        <v/>
      </c>
      <c r="Z438" s="9" t="str">
        <f t="shared" si="79"/>
        <v/>
      </c>
    </row>
    <row r="439" spans="22:26" x14ac:dyDescent="0.25">
      <c r="V439" s="2" t="str">
        <f t="shared" si="76"/>
        <v/>
      </c>
      <c r="W439" s="8" t="str">
        <f t="shared" si="77"/>
        <v/>
      </c>
      <c r="X439" s="9" t="str">
        <f t="shared" si="75"/>
        <v/>
      </c>
      <c r="Y439" s="2" t="str">
        <f t="shared" si="78"/>
        <v/>
      </c>
      <c r="Z439" s="9" t="str">
        <f t="shared" si="79"/>
        <v/>
      </c>
    </row>
    <row r="440" spans="22:26" x14ac:dyDescent="0.25">
      <c r="V440" s="2" t="str">
        <f t="shared" si="76"/>
        <v/>
      </c>
      <c r="W440" s="8" t="str">
        <f t="shared" si="77"/>
        <v/>
      </c>
      <c r="X440" s="9" t="str">
        <f t="shared" si="75"/>
        <v/>
      </c>
      <c r="Y440" s="2" t="str">
        <f t="shared" si="78"/>
        <v/>
      </c>
      <c r="Z440" s="9" t="str">
        <f t="shared" si="79"/>
        <v/>
      </c>
    </row>
    <row r="441" spans="22:26" x14ac:dyDescent="0.25">
      <c r="V441" s="2" t="str">
        <f t="shared" si="76"/>
        <v/>
      </c>
      <c r="W441" s="8" t="str">
        <f t="shared" si="77"/>
        <v/>
      </c>
      <c r="X441" s="9" t="str">
        <f t="shared" si="75"/>
        <v/>
      </c>
      <c r="Y441" s="2" t="str">
        <f t="shared" si="78"/>
        <v/>
      </c>
      <c r="Z441" s="9" t="str">
        <f t="shared" si="79"/>
        <v/>
      </c>
    </row>
    <row r="442" spans="22:26" x14ac:dyDescent="0.25">
      <c r="V442" s="2" t="str">
        <f t="shared" si="76"/>
        <v/>
      </c>
      <c r="W442" s="8" t="str">
        <f t="shared" si="77"/>
        <v/>
      </c>
      <c r="X442" s="9" t="str">
        <f t="shared" si="75"/>
        <v/>
      </c>
      <c r="Y442" s="2" t="str">
        <f t="shared" si="78"/>
        <v/>
      </c>
      <c r="Z442" s="9" t="str">
        <f t="shared" si="79"/>
        <v/>
      </c>
    </row>
    <row r="443" spans="22:26" x14ac:dyDescent="0.25">
      <c r="V443" s="2" t="str">
        <f t="shared" si="76"/>
        <v/>
      </c>
      <c r="W443" s="8" t="str">
        <f t="shared" si="77"/>
        <v/>
      </c>
      <c r="X443" s="9" t="str">
        <f t="shared" si="75"/>
        <v/>
      </c>
      <c r="Y443" s="2" t="str">
        <f t="shared" si="78"/>
        <v/>
      </c>
      <c r="Z443" s="9" t="str">
        <f t="shared" si="79"/>
        <v/>
      </c>
    </row>
    <row r="444" spans="22:26" x14ac:dyDescent="0.25">
      <c r="V444" s="2" t="str">
        <f t="shared" si="76"/>
        <v/>
      </c>
      <c r="W444" s="8" t="str">
        <f t="shared" si="77"/>
        <v/>
      </c>
      <c r="X444" s="9" t="str">
        <f t="shared" si="75"/>
        <v/>
      </c>
      <c r="Y444" s="2" t="str">
        <f t="shared" si="78"/>
        <v/>
      </c>
      <c r="Z444" s="9" t="str">
        <f t="shared" si="79"/>
        <v/>
      </c>
    </row>
    <row r="445" spans="22:26" x14ac:dyDescent="0.25">
      <c r="V445" s="2" t="str">
        <f t="shared" si="76"/>
        <v/>
      </c>
      <c r="W445" s="8" t="str">
        <f t="shared" si="77"/>
        <v/>
      </c>
      <c r="X445" s="9" t="str">
        <f t="shared" si="75"/>
        <v/>
      </c>
      <c r="Y445" s="2" t="str">
        <f t="shared" si="78"/>
        <v/>
      </c>
      <c r="Z445" s="9" t="str">
        <f t="shared" si="79"/>
        <v/>
      </c>
    </row>
    <row r="446" spans="22:26" x14ac:dyDescent="0.25">
      <c r="V446" s="2" t="str">
        <f t="shared" si="76"/>
        <v/>
      </c>
      <c r="W446" s="8" t="str">
        <f t="shared" si="77"/>
        <v/>
      </c>
      <c r="X446" s="9" t="str">
        <f t="shared" si="75"/>
        <v/>
      </c>
      <c r="Y446" s="2" t="str">
        <f t="shared" si="78"/>
        <v/>
      </c>
      <c r="Z446" s="9" t="str">
        <f t="shared" si="79"/>
        <v/>
      </c>
    </row>
    <row r="447" spans="22:26" x14ac:dyDescent="0.25">
      <c r="V447" s="2" t="str">
        <f t="shared" si="76"/>
        <v/>
      </c>
      <c r="W447" s="8" t="str">
        <f t="shared" si="77"/>
        <v/>
      </c>
      <c r="X447" s="9" t="str">
        <f t="shared" si="75"/>
        <v/>
      </c>
      <c r="Y447" s="2" t="str">
        <f t="shared" si="78"/>
        <v/>
      </c>
      <c r="Z447" s="9" t="str">
        <f t="shared" si="79"/>
        <v/>
      </c>
    </row>
    <row r="448" spans="22:26" x14ac:dyDescent="0.25">
      <c r="V448" s="2" t="str">
        <f t="shared" si="76"/>
        <v/>
      </c>
      <c r="W448" s="8" t="str">
        <f t="shared" si="77"/>
        <v/>
      </c>
      <c r="X448" s="9" t="str">
        <f t="shared" si="75"/>
        <v/>
      </c>
      <c r="Y448" s="2" t="str">
        <f t="shared" si="78"/>
        <v/>
      </c>
      <c r="Z448" s="9" t="str">
        <f t="shared" si="79"/>
        <v/>
      </c>
    </row>
    <row r="449" spans="22:26" x14ac:dyDescent="0.25">
      <c r="V449" s="2" t="str">
        <f t="shared" si="76"/>
        <v/>
      </c>
      <c r="W449" s="8" t="str">
        <f t="shared" si="77"/>
        <v/>
      </c>
      <c r="X449" s="9" t="str">
        <f t="shared" si="75"/>
        <v/>
      </c>
      <c r="Y449" s="2" t="str">
        <f t="shared" si="78"/>
        <v/>
      </c>
      <c r="Z449" s="9" t="str">
        <f t="shared" si="79"/>
        <v/>
      </c>
    </row>
    <row r="450" spans="22:26" x14ac:dyDescent="0.25">
      <c r="V450" s="2" t="str">
        <f t="shared" si="76"/>
        <v/>
      </c>
      <c r="W450" s="8" t="str">
        <f t="shared" si="77"/>
        <v/>
      </c>
      <c r="X450" s="9" t="str">
        <f t="shared" ref="X450:X513" si="80">IF(W450="","",D443)</f>
        <v/>
      </c>
      <c r="Y450" s="2" t="str">
        <f t="shared" si="78"/>
        <v/>
      </c>
      <c r="Z450" s="9" t="str">
        <f t="shared" si="79"/>
        <v/>
      </c>
    </row>
    <row r="451" spans="22:26" x14ac:dyDescent="0.25">
      <c r="V451" s="2" t="str">
        <f t="shared" si="76"/>
        <v/>
      </c>
      <c r="W451" s="8" t="str">
        <f t="shared" si="77"/>
        <v/>
      </c>
      <c r="X451" s="9" t="str">
        <f t="shared" si="80"/>
        <v/>
      </c>
      <c r="Y451" s="2" t="str">
        <f t="shared" si="78"/>
        <v/>
      </c>
      <c r="Z451" s="9" t="str">
        <f t="shared" si="79"/>
        <v/>
      </c>
    </row>
    <row r="452" spans="22:26" x14ac:dyDescent="0.25">
      <c r="V452" s="2" t="str">
        <f t="shared" si="76"/>
        <v/>
      </c>
      <c r="W452" s="8" t="str">
        <f t="shared" si="77"/>
        <v/>
      </c>
      <c r="X452" s="9" t="str">
        <f t="shared" si="80"/>
        <v/>
      </c>
      <c r="Y452" s="2" t="str">
        <f t="shared" si="78"/>
        <v/>
      </c>
      <c r="Z452" s="9" t="str">
        <f t="shared" si="79"/>
        <v/>
      </c>
    </row>
    <row r="453" spans="22:26" x14ac:dyDescent="0.25">
      <c r="V453" s="2" t="str">
        <f t="shared" si="76"/>
        <v/>
      </c>
      <c r="W453" s="8" t="str">
        <f t="shared" si="77"/>
        <v/>
      </c>
      <c r="X453" s="9" t="str">
        <f t="shared" si="80"/>
        <v/>
      </c>
      <c r="Y453" s="2" t="str">
        <f t="shared" si="78"/>
        <v/>
      </c>
      <c r="Z453" s="9" t="str">
        <f t="shared" si="79"/>
        <v/>
      </c>
    </row>
    <row r="454" spans="22:26" x14ac:dyDescent="0.25">
      <c r="V454" s="2" t="str">
        <f t="shared" si="76"/>
        <v/>
      </c>
      <c r="W454" s="8" t="str">
        <f t="shared" si="77"/>
        <v/>
      </c>
      <c r="X454" s="9" t="str">
        <f t="shared" si="80"/>
        <v/>
      </c>
      <c r="Y454" s="2" t="str">
        <f t="shared" si="78"/>
        <v/>
      </c>
      <c r="Z454" s="9" t="str">
        <f t="shared" si="79"/>
        <v/>
      </c>
    </row>
    <row r="455" spans="22:26" x14ac:dyDescent="0.25">
      <c r="V455" s="2" t="str">
        <f t="shared" si="76"/>
        <v/>
      </c>
      <c r="W455" s="8" t="str">
        <f t="shared" si="77"/>
        <v/>
      </c>
      <c r="X455" s="9" t="str">
        <f t="shared" si="80"/>
        <v/>
      </c>
      <c r="Y455" s="2" t="str">
        <f t="shared" si="78"/>
        <v/>
      </c>
      <c r="Z455" s="9" t="str">
        <f t="shared" si="79"/>
        <v/>
      </c>
    </row>
    <row r="456" spans="22:26" x14ac:dyDescent="0.25">
      <c r="V456" s="2" t="str">
        <f t="shared" si="76"/>
        <v/>
      </c>
      <c r="W456" s="8" t="str">
        <f t="shared" si="77"/>
        <v/>
      </c>
      <c r="X456" s="9" t="str">
        <f t="shared" si="80"/>
        <v/>
      </c>
      <c r="Y456" s="2" t="str">
        <f t="shared" si="78"/>
        <v/>
      </c>
      <c r="Z456" s="9" t="str">
        <f t="shared" si="79"/>
        <v/>
      </c>
    </row>
    <row r="457" spans="22:26" x14ac:dyDescent="0.25">
      <c r="V457" s="2" t="str">
        <f t="shared" si="76"/>
        <v/>
      </c>
      <c r="W457" s="8" t="str">
        <f t="shared" si="77"/>
        <v/>
      </c>
      <c r="X457" s="9" t="str">
        <f t="shared" si="80"/>
        <v/>
      </c>
      <c r="Y457" s="2" t="str">
        <f t="shared" si="78"/>
        <v/>
      </c>
      <c r="Z457" s="9" t="str">
        <f t="shared" si="79"/>
        <v/>
      </c>
    </row>
    <row r="458" spans="22:26" x14ac:dyDescent="0.25">
      <c r="V458" s="2" t="str">
        <f t="shared" si="76"/>
        <v/>
      </c>
      <c r="W458" s="8" t="str">
        <f t="shared" si="77"/>
        <v/>
      </c>
      <c r="X458" s="9" t="str">
        <f t="shared" si="80"/>
        <v/>
      </c>
      <c r="Y458" s="2" t="str">
        <f t="shared" si="78"/>
        <v/>
      </c>
      <c r="Z458" s="9" t="str">
        <f t="shared" si="79"/>
        <v/>
      </c>
    </row>
    <row r="459" spans="22:26" x14ac:dyDescent="0.25">
      <c r="V459" s="2" t="str">
        <f t="shared" si="76"/>
        <v/>
      </c>
      <c r="W459" s="8" t="str">
        <f t="shared" si="77"/>
        <v/>
      </c>
      <c r="X459" s="9" t="str">
        <f t="shared" si="80"/>
        <v/>
      </c>
      <c r="Y459" s="2" t="str">
        <f t="shared" si="78"/>
        <v/>
      </c>
      <c r="Z459" s="9" t="str">
        <f t="shared" si="79"/>
        <v/>
      </c>
    </row>
    <row r="460" spans="22:26" x14ac:dyDescent="0.25">
      <c r="V460" s="2" t="str">
        <f t="shared" si="76"/>
        <v/>
      </c>
      <c r="W460" s="8" t="str">
        <f t="shared" si="77"/>
        <v/>
      </c>
      <c r="X460" s="9" t="str">
        <f t="shared" si="80"/>
        <v/>
      </c>
      <c r="Y460" s="2" t="str">
        <f t="shared" si="78"/>
        <v/>
      </c>
      <c r="Z460" s="9" t="str">
        <f t="shared" si="79"/>
        <v/>
      </c>
    </row>
    <row r="461" spans="22:26" x14ac:dyDescent="0.25">
      <c r="V461" s="2" t="str">
        <f t="shared" si="76"/>
        <v/>
      </c>
      <c r="W461" s="8" t="str">
        <f t="shared" si="77"/>
        <v/>
      </c>
      <c r="X461" s="9" t="str">
        <f t="shared" si="80"/>
        <v/>
      </c>
      <c r="Y461" s="2" t="str">
        <f t="shared" si="78"/>
        <v/>
      </c>
      <c r="Z461" s="9" t="str">
        <f t="shared" si="79"/>
        <v/>
      </c>
    </row>
    <row r="462" spans="22:26" x14ac:dyDescent="0.25">
      <c r="V462" s="2" t="str">
        <f t="shared" si="76"/>
        <v/>
      </c>
      <c r="W462" s="8" t="str">
        <f t="shared" si="77"/>
        <v/>
      </c>
      <c r="X462" s="9" t="str">
        <f t="shared" si="80"/>
        <v/>
      </c>
      <c r="Y462" s="2" t="str">
        <f t="shared" si="78"/>
        <v/>
      </c>
      <c r="Z462" s="9" t="str">
        <f t="shared" si="79"/>
        <v/>
      </c>
    </row>
    <row r="463" spans="22:26" x14ac:dyDescent="0.25">
      <c r="V463" s="2" t="str">
        <f t="shared" si="76"/>
        <v/>
      </c>
      <c r="W463" s="8" t="str">
        <f t="shared" si="77"/>
        <v/>
      </c>
      <c r="X463" s="9" t="str">
        <f t="shared" si="80"/>
        <v/>
      </c>
      <c r="Y463" s="2" t="str">
        <f t="shared" si="78"/>
        <v/>
      </c>
      <c r="Z463" s="9" t="str">
        <f t="shared" si="79"/>
        <v/>
      </c>
    </row>
    <row r="464" spans="22:26" x14ac:dyDescent="0.25">
      <c r="V464" s="2" t="str">
        <f t="shared" si="76"/>
        <v/>
      </c>
      <c r="W464" s="8" t="str">
        <f t="shared" si="77"/>
        <v/>
      </c>
      <c r="X464" s="9" t="str">
        <f t="shared" si="80"/>
        <v/>
      </c>
      <c r="Y464" s="2" t="str">
        <f t="shared" si="78"/>
        <v/>
      </c>
      <c r="Z464" s="9" t="str">
        <f t="shared" si="79"/>
        <v/>
      </c>
    </row>
    <row r="465" spans="22:26" x14ac:dyDescent="0.25">
      <c r="V465" s="2" t="str">
        <f t="shared" si="76"/>
        <v/>
      </c>
      <c r="W465" s="8" t="str">
        <f t="shared" si="77"/>
        <v/>
      </c>
      <c r="X465" s="9" t="str">
        <f t="shared" si="80"/>
        <v/>
      </c>
      <c r="Y465" s="2" t="str">
        <f t="shared" si="78"/>
        <v/>
      </c>
      <c r="Z465" s="9" t="str">
        <f t="shared" si="79"/>
        <v/>
      </c>
    </row>
    <row r="466" spans="22:26" x14ac:dyDescent="0.25">
      <c r="V466" s="2" t="str">
        <f t="shared" si="76"/>
        <v/>
      </c>
      <c r="W466" s="8" t="str">
        <f t="shared" si="77"/>
        <v/>
      </c>
      <c r="X466" s="9" t="str">
        <f t="shared" si="80"/>
        <v/>
      </c>
      <c r="Y466" s="2" t="str">
        <f t="shared" si="78"/>
        <v/>
      </c>
      <c r="Z466" s="9" t="str">
        <f t="shared" si="79"/>
        <v/>
      </c>
    </row>
    <row r="467" spans="22:26" x14ac:dyDescent="0.25">
      <c r="V467" s="2" t="str">
        <f t="shared" si="76"/>
        <v/>
      </c>
      <c r="W467" s="8" t="str">
        <f t="shared" si="77"/>
        <v/>
      </c>
      <c r="X467" s="9" t="str">
        <f t="shared" si="80"/>
        <v/>
      </c>
      <c r="Y467" s="2" t="str">
        <f t="shared" si="78"/>
        <v/>
      </c>
      <c r="Z467" s="9" t="str">
        <f t="shared" si="79"/>
        <v/>
      </c>
    </row>
    <row r="468" spans="22:26" x14ac:dyDescent="0.25">
      <c r="V468" s="2" t="str">
        <f t="shared" si="76"/>
        <v/>
      </c>
      <c r="W468" s="8" t="str">
        <f t="shared" si="77"/>
        <v/>
      </c>
      <c r="X468" s="9" t="str">
        <f t="shared" si="80"/>
        <v/>
      </c>
      <c r="Y468" s="2" t="str">
        <f t="shared" si="78"/>
        <v/>
      </c>
      <c r="Z468" s="9" t="str">
        <f t="shared" si="79"/>
        <v/>
      </c>
    </row>
    <row r="469" spans="22:26" x14ac:dyDescent="0.25">
      <c r="V469" s="2" t="str">
        <f t="shared" si="76"/>
        <v/>
      </c>
      <c r="W469" s="8" t="str">
        <f t="shared" si="77"/>
        <v/>
      </c>
      <c r="X469" s="9" t="str">
        <f t="shared" si="80"/>
        <v/>
      </c>
      <c r="Y469" s="2" t="str">
        <f t="shared" si="78"/>
        <v/>
      </c>
      <c r="Z469" s="9" t="str">
        <f t="shared" si="79"/>
        <v/>
      </c>
    </row>
    <row r="470" spans="22:26" x14ac:dyDescent="0.25">
      <c r="V470" s="2" t="str">
        <f t="shared" si="76"/>
        <v/>
      </c>
      <c r="W470" s="8" t="str">
        <f t="shared" si="77"/>
        <v/>
      </c>
      <c r="X470" s="9" t="str">
        <f t="shared" si="80"/>
        <v/>
      </c>
      <c r="Y470" s="2" t="str">
        <f t="shared" si="78"/>
        <v/>
      </c>
      <c r="Z470" s="9" t="str">
        <f t="shared" si="79"/>
        <v/>
      </c>
    </row>
    <row r="471" spans="22:26" x14ac:dyDescent="0.25">
      <c r="V471" s="2" t="str">
        <f t="shared" si="76"/>
        <v/>
      </c>
      <c r="W471" s="8" t="str">
        <f t="shared" si="77"/>
        <v/>
      </c>
      <c r="X471" s="9" t="str">
        <f t="shared" si="80"/>
        <v/>
      </c>
      <c r="Y471" s="2" t="str">
        <f t="shared" si="78"/>
        <v/>
      </c>
      <c r="Z471" s="9" t="str">
        <f t="shared" si="79"/>
        <v/>
      </c>
    </row>
    <row r="472" spans="22:26" x14ac:dyDescent="0.25">
      <c r="V472" s="2" t="str">
        <f t="shared" si="76"/>
        <v/>
      </c>
      <c r="W472" s="8" t="str">
        <f t="shared" si="77"/>
        <v/>
      </c>
      <c r="X472" s="9" t="str">
        <f t="shared" si="80"/>
        <v/>
      </c>
      <c r="Y472" s="2" t="str">
        <f t="shared" si="78"/>
        <v/>
      </c>
      <c r="Z472" s="9" t="str">
        <f t="shared" si="79"/>
        <v/>
      </c>
    </row>
    <row r="473" spans="22:26" x14ac:dyDescent="0.25">
      <c r="V473" s="2" t="str">
        <f t="shared" si="76"/>
        <v/>
      </c>
      <c r="W473" s="8" t="str">
        <f t="shared" si="77"/>
        <v/>
      </c>
      <c r="X473" s="9" t="str">
        <f t="shared" si="80"/>
        <v/>
      </c>
      <c r="Y473" s="2" t="str">
        <f t="shared" si="78"/>
        <v/>
      </c>
      <c r="Z473" s="9" t="str">
        <f t="shared" si="79"/>
        <v/>
      </c>
    </row>
    <row r="474" spans="22:26" x14ac:dyDescent="0.25">
      <c r="V474" s="2" t="str">
        <f t="shared" si="76"/>
        <v/>
      </c>
      <c r="W474" s="8" t="str">
        <f t="shared" si="77"/>
        <v/>
      </c>
      <c r="X474" s="9" t="str">
        <f t="shared" si="80"/>
        <v/>
      </c>
      <c r="Y474" s="2" t="str">
        <f t="shared" si="78"/>
        <v/>
      </c>
      <c r="Z474" s="9" t="str">
        <f t="shared" si="79"/>
        <v/>
      </c>
    </row>
    <row r="475" spans="22:26" x14ac:dyDescent="0.25">
      <c r="V475" s="2" t="str">
        <f t="shared" si="76"/>
        <v/>
      </c>
      <c r="W475" s="8" t="str">
        <f t="shared" si="77"/>
        <v/>
      </c>
      <c r="X475" s="9" t="str">
        <f t="shared" si="80"/>
        <v/>
      </c>
      <c r="Y475" s="2" t="str">
        <f t="shared" si="78"/>
        <v/>
      </c>
      <c r="Z475" s="9" t="str">
        <f t="shared" si="79"/>
        <v/>
      </c>
    </row>
    <row r="476" spans="22:26" x14ac:dyDescent="0.25">
      <c r="V476" s="2" t="str">
        <f t="shared" si="76"/>
        <v/>
      </c>
      <c r="W476" s="8" t="str">
        <f t="shared" si="77"/>
        <v/>
      </c>
      <c r="X476" s="9" t="str">
        <f t="shared" si="80"/>
        <v/>
      </c>
      <c r="Y476" s="2" t="str">
        <f t="shared" si="78"/>
        <v/>
      </c>
      <c r="Z476" s="9" t="str">
        <f t="shared" si="79"/>
        <v/>
      </c>
    </row>
    <row r="477" spans="22:26" x14ac:dyDescent="0.25">
      <c r="V477" s="2" t="str">
        <f t="shared" si="76"/>
        <v/>
      </c>
      <c r="W477" s="8" t="str">
        <f t="shared" si="77"/>
        <v/>
      </c>
      <c r="X477" s="9" t="str">
        <f t="shared" si="80"/>
        <v/>
      </c>
      <c r="Y477" s="2" t="str">
        <f t="shared" si="78"/>
        <v/>
      </c>
      <c r="Z477" s="9" t="str">
        <f t="shared" si="79"/>
        <v/>
      </c>
    </row>
    <row r="478" spans="22:26" x14ac:dyDescent="0.25">
      <c r="V478" s="2" t="str">
        <f t="shared" si="76"/>
        <v/>
      </c>
      <c r="W478" s="8" t="str">
        <f t="shared" si="77"/>
        <v/>
      </c>
      <c r="X478" s="9" t="str">
        <f t="shared" si="80"/>
        <v/>
      </c>
      <c r="Y478" s="2" t="str">
        <f t="shared" si="78"/>
        <v/>
      </c>
      <c r="Z478" s="9" t="str">
        <f t="shared" si="79"/>
        <v/>
      </c>
    </row>
    <row r="479" spans="22:26" x14ac:dyDescent="0.25">
      <c r="V479" s="2" t="str">
        <f t="shared" si="76"/>
        <v/>
      </c>
      <c r="W479" s="8" t="str">
        <f t="shared" si="77"/>
        <v/>
      </c>
      <c r="X479" s="9" t="str">
        <f t="shared" si="80"/>
        <v/>
      </c>
      <c r="Y479" s="2" t="str">
        <f t="shared" si="78"/>
        <v/>
      </c>
      <c r="Z479" s="9" t="str">
        <f t="shared" si="79"/>
        <v/>
      </c>
    </row>
    <row r="480" spans="22:26" x14ac:dyDescent="0.25">
      <c r="V480" s="2" t="str">
        <f t="shared" ref="V480:V543" si="81">IF(V479&lt;B$17,V479+1,"")</f>
        <v/>
      </c>
      <c r="W480" s="8" t="str">
        <f t="shared" ref="W480:W543" si="82">IF(V480="","",W479+30)</f>
        <v/>
      </c>
      <c r="X480" s="9" t="str">
        <f t="shared" si="80"/>
        <v/>
      </c>
      <c r="Y480" s="2" t="str">
        <f t="shared" ref="Y480:Y543" si="83">IF(X480="","",W480-W$30)</f>
        <v/>
      </c>
      <c r="Z480" s="9" t="str">
        <f t="shared" ref="Z480:Z503" si="84">IF(Y480="","",IF(Y480&lt;365,Y480*X480*X$26,365*X480*X$26))</f>
        <v/>
      </c>
    </row>
    <row r="481" spans="22:26" x14ac:dyDescent="0.25">
      <c r="V481" s="2" t="str">
        <f t="shared" si="81"/>
        <v/>
      </c>
      <c r="W481" s="8" t="str">
        <f t="shared" si="82"/>
        <v/>
      </c>
      <c r="X481" s="9" t="str">
        <f t="shared" si="80"/>
        <v/>
      </c>
      <c r="Y481" s="2" t="str">
        <f t="shared" si="83"/>
        <v/>
      </c>
      <c r="Z481" s="9" t="str">
        <f t="shared" si="84"/>
        <v/>
      </c>
    </row>
    <row r="482" spans="22:26" x14ac:dyDescent="0.25">
      <c r="V482" s="2" t="str">
        <f t="shared" si="81"/>
        <v/>
      </c>
      <c r="W482" s="8" t="str">
        <f t="shared" si="82"/>
        <v/>
      </c>
      <c r="X482" s="9" t="str">
        <f t="shared" si="80"/>
        <v/>
      </c>
      <c r="Y482" s="2" t="str">
        <f t="shared" si="83"/>
        <v/>
      </c>
      <c r="Z482" s="9" t="str">
        <f t="shared" si="84"/>
        <v/>
      </c>
    </row>
    <row r="483" spans="22:26" x14ac:dyDescent="0.25">
      <c r="V483" s="2" t="str">
        <f t="shared" si="81"/>
        <v/>
      </c>
      <c r="W483" s="8" t="str">
        <f t="shared" si="82"/>
        <v/>
      </c>
      <c r="X483" s="9" t="str">
        <f t="shared" si="80"/>
        <v/>
      </c>
      <c r="Y483" s="2" t="str">
        <f t="shared" si="83"/>
        <v/>
      </c>
      <c r="Z483" s="9" t="str">
        <f t="shared" si="84"/>
        <v/>
      </c>
    </row>
    <row r="484" spans="22:26" x14ac:dyDescent="0.25">
      <c r="V484" s="2" t="str">
        <f t="shared" si="81"/>
        <v/>
      </c>
      <c r="W484" s="8" t="str">
        <f t="shared" si="82"/>
        <v/>
      </c>
      <c r="X484" s="9" t="str">
        <f t="shared" si="80"/>
        <v/>
      </c>
      <c r="Y484" s="2" t="str">
        <f t="shared" si="83"/>
        <v/>
      </c>
      <c r="Z484" s="9" t="str">
        <f t="shared" si="84"/>
        <v/>
      </c>
    </row>
    <row r="485" spans="22:26" x14ac:dyDescent="0.25">
      <c r="V485" s="2" t="str">
        <f t="shared" si="81"/>
        <v/>
      </c>
      <c r="W485" s="8" t="str">
        <f t="shared" si="82"/>
        <v/>
      </c>
      <c r="X485" s="9" t="str">
        <f t="shared" si="80"/>
        <v/>
      </c>
      <c r="Y485" s="2" t="str">
        <f t="shared" si="83"/>
        <v/>
      </c>
      <c r="Z485" s="9" t="str">
        <f t="shared" si="84"/>
        <v/>
      </c>
    </row>
    <row r="486" spans="22:26" x14ac:dyDescent="0.25">
      <c r="V486" s="2" t="str">
        <f t="shared" si="81"/>
        <v/>
      </c>
      <c r="W486" s="8" t="str">
        <f t="shared" si="82"/>
        <v/>
      </c>
      <c r="X486" s="9" t="str">
        <f t="shared" si="80"/>
        <v/>
      </c>
      <c r="Y486" s="2" t="str">
        <f t="shared" si="83"/>
        <v/>
      </c>
      <c r="Z486" s="9" t="str">
        <f t="shared" si="84"/>
        <v/>
      </c>
    </row>
    <row r="487" spans="22:26" x14ac:dyDescent="0.25">
      <c r="V487" s="2" t="str">
        <f t="shared" si="81"/>
        <v/>
      </c>
      <c r="W487" s="8" t="str">
        <f t="shared" si="82"/>
        <v/>
      </c>
      <c r="X487" s="9" t="str">
        <f t="shared" si="80"/>
        <v/>
      </c>
      <c r="Y487" s="2" t="str">
        <f t="shared" si="83"/>
        <v/>
      </c>
      <c r="Z487" s="9" t="str">
        <f t="shared" si="84"/>
        <v/>
      </c>
    </row>
    <row r="488" spans="22:26" x14ac:dyDescent="0.25">
      <c r="V488" s="2" t="str">
        <f t="shared" si="81"/>
        <v/>
      </c>
      <c r="W488" s="8" t="str">
        <f t="shared" si="82"/>
        <v/>
      </c>
      <c r="X488" s="9" t="str">
        <f t="shared" si="80"/>
        <v/>
      </c>
      <c r="Y488" s="2" t="str">
        <f t="shared" si="83"/>
        <v/>
      </c>
      <c r="Z488" s="9" t="str">
        <f t="shared" si="84"/>
        <v/>
      </c>
    </row>
    <row r="489" spans="22:26" x14ac:dyDescent="0.25">
      <c r="V489" s="2" t="str">
        <f t="shared" si="81"/>
        <v/>
      </c>
      <c r="W489" s="8" t="str">
        <f t="shared" si="82"/>
        <v/>
      </c>
      <c r="X489" s="9" t="str">
        <f t="shared" si="80"/>
        <v/>
      </c>
      <c r="Y489" s="2" t="str">
        <f t="shared" si="83"/>
        <v/>
      </c>
      <c r="Z489" s="9" t="str">
        <f t="shared" si="84"/>
        <v/>
      </c>
    </row>
    <row r="490" spans="22:26" x14ac:dyDescent="0.25">
      <c r="V490" s="2" t="str">
        <f t="shared" si="81"/>
        <v/>
      </c>
      <c r="W490" s="8" t="str">
        <f t="shared" si="82"/>
        <v/>
      </c>
      <c r="X490" s="9" t="str">
        <f t="shared" si="80"/>
        <v/>
      </c>
      <c r="Y490" s="2" t="str">
        <f t="shared" si="83"/>
        <v/>
      </c>
      <c r="Z490" s="9" t="str">
        <f t="shared" si="84"/>
        <v/>
      </c>
    </row>
    <row r="491" spans="22:26" x14ac:dyDescent="0.25">
      <c r="V491" s="2" t="str">
        <f t="shared" si="81"/>
        <v/>
      </c>
      <c r="W491" s="8" t="str">
        <f t="shared" si="82"/>
        <v/>
      </c>
      <c r="X491" s="9" t="str">
        <f t="shared" si="80"/>
        <v/>
      </c>
      <c r="Y491" s="2" t="str">
        <f t="shared" si="83"/>
        <v/>
      </c>
      <c r="Z491" s="9" t="str">
        <f t="shared" si="84"/>
        <v/>
      </c>
    </row>
    <row r="492" spans="22:26" x14ac:dyDescent="0.25">
      <c r="V492" s="2" t="str">
        <f t="shared" si="81"/>
        <v/>
      </c>
      <c r="W492" s="8" t="str">
        <f t="shared" si="82"/>
        <v/>
      </c>
      <c r="X492" s="9" t="str">
        <f t="shared" si="80"/>
        <v/>
      </c>
      <c r="Y492" s="2" t="str">
        <f t="shared" si="83"/>
        <v/>
      </c>
      <c r="Z492" s="9" t="str">
        <f t="shared" si="84"/>
        <v/>
      </c>
    </row>
    <row r="493" spans="22:26" x14ac:dyDescent="0.25">
      <c r="V493" s="2" t="str">
        <f t="shared" si="81"/>
        <v/>
      </c>
      <c r="W493" s="8" t="str">
        <f t="shared" si="82"/>
        <v/>
      </c>
      <c r="X493" s="9" t="str">
        <f t="shared" si="80"/>
        <v/>
      </c>
      <c r="Y493" s="2" t="str">
        <f t="shared" si="83"/>
        <v/>
      </c>
      <c r="Z493" s="9" t="str">
        <f t="shared" si="84"/>
        <v/>
      </c>
    </row>
    <row r="494" spans="22:26" x14ac:dyDescent="0.25">
      <c r="V494" s="2" t="str">
        <f t="shared" si="81"/>
        <v/>
      </c>
      <c r="W494" s="8" t="str">
        <f t="shared" si="82"/>
        <v/>
      </c>
      <c r="X494" s="9" t="str">
        <f t="shared" si="80"/>
        <v/>
      </c>
      <c r="Y494" s="2" t="str">
        <f t="shared" si="83"/>
        <v/>
      </c>
      <c r="Z494" s="9" t="str">
        <f t="shared" si="84"/>
        <v/>
      </c>
    </row>
    <row r="495" spans="22:26" x14ac:dyDescent="0.25">
      <c r="V495" s="2" t="str">
        <f t="shared" si="81"/>
        <v/>
      </c>
      <c r="W495" s="8" t="str">
        <f t="shared" si="82"/>
        <v/>
      </c>
      <c r="X495" s="9" t="str">
        <f t="shared" si="80"/>
        <v/>
      </c>
      <c r="Y495" s="2" t="str">
        <f t="shared" si="83"/>
        <v/>
      </c>
      <c r="Z495" s="9" t="str">
        <f t="shared" si="84"/>
        <v/>
      </c>
    </row>
    <row r="496" spans="22:26" x14ac:dyDescent="0.25">
      <c r="V496" s="2" t="str">
        <f t="shared" si="81"/>
        <v/>
      </c>
      <c r="W496" s="8" t="str">
        <f t="shared" si="82"/>
        <v/>
      </c>
      <c r="X496" s="9" t="str">
        <f t="shared" si="80"/>
        <v/>
      </c>
      <c r="Y496" s="2" t="str">
        <f t="shared" si="83"/>
        <v/>
      </c>
      <c r="Z496" s="9" t="str">
        <f t="shared" si="84"/>
        <v/>
      </c>
    </row>
    <row r="497" spans="22:26" x14ac:dyDescent="0.25">
      <c r="V497" s="2" t="str">
        <f t="shared" si="81"/>
        <v/>
      </c>
      <c r="W497" s="8" t="str">
        <f t="shared" si="82"/>
        <v/>
      </c>
      <c r="X497" s="9" t="str">
        <f t="shared" si="80"/>
        <v/>
      </c>
      <c r="Y497" s="2" t="str">
        <f t="shared" si="83"/>
        <v/>
      </c>
      <c r="Z497" s="9" t="str">
        <f t="shared" si="84"/>
        <v/>
      </c>
    </row>
    <row r="498" spans="22:26" x14ac:dyDescent="0.25">
      <c r="V498" s="2" t="str">
        <f t="shared" si="81"/>
        <v/>
      </c>
      <c r="W498" s="8" t="str">
        <f t="shared" si="82"/>
        <v/>
      </c>
      <c r="X498" s="9" t="str">
        <f t="shared" si="80"/>
        <v/>
      </c>
      <c r="Y498" s="2" t="str">
        <f t="shared" si="83"/>
        <v/>
      </c>
      <c r="Z498" s="9" t="str">
        <f t="shared" si="84"/>
        <v/>
      </c>
    </row>
    <row r="499" spans="22:26" x14ac:dyDescent="0.25">
      <c r="V499" s="2" t="str">
        <f t="shared" si="81"/>
        <v/>
      </c>
      <c r="W499" s="8" t="str">
        <f t="shared" si="82"/>
        <v/>
      </c>
      <c r="X499" s="9" t="str">
        <f t="shared" si="80"/>
        <v/>
      </c>
      <c r="Y499" s="2" t="str">
        <f t="shared" si="83"/>
        <v/>
      </c>
      <c r="Z499" s="9" t="str">
        <f t="shared" si="84"/>
        <v/>
      </c>
    </row>
    <row r="500" spans="22:26" x14ac:dyDescent="0.25">
      <c r="V500" s="2" t="str">
        <f t="shared" si="81"/>
        <v/>
      </c>
      <c r="W500" s="8" t="str">
        <f t="shared" si="82"/>
        <v/>
      </c>
      <c r="X500" s="9" t="str">
        <f t="shared" si="80"/>
        <v/>
      </c>
      <c r="Y500" s="2" t="str">
        <f t="shared" si="83"/>
        <v/>
      </c>
      <c r="Z500" s="9" t="str">
        <f t="shared" si="84"/>
        <v/>
      </c>
    </row>
    <row r="501" spans="22:26" x14ac:dyDescent="0.25">
      <c r="V501" s="2" t="str">
        <f t="shared" si="81"/>
        <v/>
      </c>
      <c r="W501" s="8" t="str">
        <f t="shared" si="82"/>
        <v/>
      </c>
      <c r="X501" s="9" t="str">
        <f t="shared" si="80"/>
        <v/>
      </c>
      <c r="Y501" s="2" t="str">
        <f t="shared" si="83"/>
        <v/>
      </c>
      <c r="Z501" s="9" t="str">
        <f t="shared" si="84"/>
        <v/>
      </c>
    </row>
    <row r="502" spans="22:26" x14ac:dyDescent="0.25">
      <c r="V502" s="2" t="str">
        <f t="shared" si="81"/>
        <v/>
      </c>
      <c r="W502" s="8" t="str">
        <f t="shared" si="82"/>
        <v/>
      </c>
      <c r="X502" s="9" t="str">
        <f t="shared" si="80"/>
        <v/>
      </c>
      <c r="Y502" s="2" t="str">
        <f t="shared" si="83"/>
        <v/>
      </c>
      <c r="Z502" s="9" t="str">
        <f t="shared" si="84"/>
        <v/>
      </c>
    </row>
    <row r="503" spans="22:26" x14ac:dyDescent="0.25">
      <c r="V503" s="2" t="str">
        <f t="shared" si="81"/>
        <v/>
      </c>
      <c r="W503" s="8" t="str">
        <f t="shared" si="82"/>
        <v/>
      </c>
      <c r="X503" s="9" t="str">
        <f t="shared" si="80"/>
        <v/>
      </c>
      <c r="Y503" s="2" t="str">
        <f t="shared" si="83"/>
        <v/>
      </c>
      <c r="Z503" s="9" t="str">
        <f t="shared" si="84"/>
        <v/>
      </c>
    </row>
    <row r="504" spans="22:26" x14ac:dyDescent="0.25">
      <c r="V504" s="2" t="str">
        <f t="shared" si="81"/>
        <v/>
      </c>
      <c r="W504" s="8" t="str">
        <f t="shared" si="82"/>
        <v/>
      </c>
      <c r="X504" s="9" t="str">
        <f t="shared" si="80"/>
        <v/>
      </c>
      <c r="Y504" s="2" t="str">
        <f t="shared" si="83"/>
        <v/>
      </c>
      <c r="Z504" s="9" t="str">
        <f t="shared" ref="Z504:Z543" si="85">IF(Y504="","",Y504*X504*X$26)</f>
        <v/>
      </c>
    </row>
    <row r="505" spans="22:26" x14ac:dyDescent="0.25">
      <c r="V505" s="2" t="str">
        <f t="shared" si="81"/>
        <v/>
      </c>
      <c r="W505" s="8" t="str">
        <f t="shared" si="82"/>
        <v/>
      </c>
      <c r="X505" s="9" t="str">
        <f t="shared" si="80"/>
        <v/>
      </c>
      <c r="Y505" s="2" t="str">
        <f t="shared" si="83"/>
        <v/>
      </c>
      <c r="Z505" s="9" t="str">
        <f t="shared" si="85"/>
        <v/>
      </c>
    </row>
    <row r="506" spans="22:26" x14ac:dyDescent="0.25">
      <c r="V506" s="2" t="str">
        <f t="shared" si="81"/>
        <v/>
      </c>
      <c r="W506" s="8" t="str">
        <f t="shared" si="82"/>
        <v/>
      </c>
      <c r="X506" s="9" t="str">
        <f t="shared" si="80"/>
        <v/>
      </c>
      <c r="Y506" s="2" t="str">
        <f t="shared" si="83"/>
        <v/>
      </c>
      <c r="Z506" s="9" t="str">
        <f t="shared" si="85"/>
        <v/>
      </c>
    </row>
    <row r="507" spans="22:26" x14ac:dyDescent="0.25">
      <c r="V507" s="2" t="str">
        <f t="shared" si="81"/>
        <v/>
      </c>
      <c r="W507" s="8" t="str">
        <f t="shared" si="82"/>
        <v/>
      </c>
      <c r="X507" s="9" t="str">
        <f t="shared" si="80"/>
        <v/>
      </c>
      <c r="Y507" s="2" t="str">
        <f t="shared" si="83"/>
        <v/>
      </c>
      <c r="Z507" s="9" t="str">
        <f t="shared" si="85"/>
        <v/>
      </c>
    </row>
    <row r="508" spans="22:26" x14ac:dyDescent="0.25">
      <c r="V508" s="2" t="str">
        <f t="shared" si="81"/>
        <v/>
      </c>
      <c r="W508" s="8" t="str">
        <f t="shared" si="82"/>
        <v/>
      </c>
      <c r="X508" s="9" t="str">
        <f t="shared" si="80"/>
        <v/>
      </c>
      <c r="Y508" s="2" t="str">
        <f t="shared" si="83"/>
        <v/>
      </c>
      <c r="Z508" s="9" t="str">
        <f t="shared" si="85"/>
        <v/>
      </c>
    </row>
    <row r="509" spans="22:26" x14ac:dyDescent="0.25">
      <c r="V509" s="2" t="str">
        <f t="shared" si="81"/>
        <v/>
      </c>
      <c r="W509" s="8" t="str">
        <f t="shared" si="82"/>
        <v/>
      </c>
      <c r="X509" s="9" t="str">
        <f t="shared" si="80"/>
        <v/>
      </c>
      <c r="Y509" s="2" t="str">
        <f t="shared" si="83"/>
        <v/>
      </c>
      <c r="Z509" s="9" t="str">
        <f t="shared" si="85"/>
        <v/>
      </c>
    </row>
    <row r="510" spans="22:26" x14ac:dyDescent="0.25">
      <c r="V510" s="2" t="str">
        <f t="shared" si="81"/>
        <v/>
      </c>
      <c r="W510" s="8" t="str">
        <f t="shared" si="82"/>
        <v/>
      </c>
      <c r="X510" s="9" t="str">
        <f t="shared" si="80"/>
        <v/>
      </c>
      <c r="Y510" s="2" t="str">
        <f t="shared" si="83"/>
        <v/>
      </c>
      <c r="Z510" s="9" t="str">
        <f t="shared" si="85"/>
        <v/>
      </c>
    </row>
    <row r="511" spans="22:26" x14ac:dyDescent="0.25">
      <c r="V511" s="2" t="str">
        <f t="shared" si="81"/>
        <v/>
      </c>
      <c r="W511" s="8" t="str">
        <f t="shared" si="82"/>
        <v/>
      </c>
      <c r="X511" s="9" t="str">
        <f t="shared" si="80"/>
        <v/>
      </c>
      <c r="Y511" s="2" t="str">
        <f t="shared" si="83"/>
        <v/>
      </c>
      <c r="Z511" s="9" t="str">
        <f t="shared" si="85"/>
        <v/>
      </c>
    </row>
    <row r="512" spans="22:26" x14ac:dyDescent="0.25">
      <c r="V512" s="2" t="str">
        <f t="shared" si="81"/>
        <v/>
      </c>
      <c r="W512" s="8" t="str">
        <f t="shared" si="82"/>
        <v/>
      </c>
      <c r="X512" s="9" t="str">
        <f t="shared" si="80"/>
        <v/>
      </c>
      <c r="Y512" s="2" t="str">
        <f t="shared" si="83"/>
        <v/>
      </c>
      <c r="Z512" s="9" t="str">
        <f t="shared" si="85"/>
        <v/>
      </c>
    </row>
    <row r="513" spans="22:26" x14ac:dyDescent="0.25">
      <c r="V513" s="2" t="str">
        <f t="shared" si="81"/>
        <v/>
      </c>
      <c r="W513" s="8" t="str">
        <f t="shared" si="82"/>
        <v/>
      </c>
      <c r="X513" s="9" t="str">
        <f t="shared" si="80"/>
        <v/>
      </c>
      <c r="Y513" s="2" t="str">
        <f t="shared" si="83"/>
        <v/>
      </c>
      <c r="Z513" s="9" t="str">
        <f t="shared" si="85"/>
        <v/>
      </c>
    </row>
    <row r="514" spans="22:26" x14ac:dyDescent="0.25">
      <c r="V514" s="2" t="str">
        <f t="shared" si="81"/>
        <v/>
      </c>
      <c r="W514" s="8" t="str">
        <f t="shared" si="82"/>
        <v/>
      </c>
      <c r="X514" s="9" t="str">
        <f t="shared" ref="X514:X577" si="86">IF(W514="","",D507)</f>
        <v/>
      </c>
      <c r="Y514" s="2" t="str">
        <f t="shared" si="83"/>
        <v/>
      </c>
      <c r="Z514" s="9" t="str">
        <f t="shared" si="85"/>
        <v/>
      </c>
    </row>
    <row r="515" spans="22:26" x14ac:dyDescent="0.25">
      <c r="V515" s="2" t="str">
        <f t="shared" si="81"/>
        <v/>
      </c>
      <c r="W515" s="8" t="str">
        <f t="shared" si="82"/>
        <v/>
      </c>
      <c r="X515" s="9" t="str">
        <f t="shared" si="86"/>
        <v/>
      </c>
      <c r="Y515" s="2" t="str">
        <f t="shared" si="83"/>
        <v/>
      </c>
      <c r="Z515" s="9" t="str">
        <f t="shared" si="85"/>
        <v/>
      </c>
    </row>
    <row r="516" spans="22:26" x14ac:dyDescent="0.25">
      <c r="V516" s="2" t="str">
        <f t="shared" si="81"/>
        <v/>
      </c>
      <c r="W516" s="8" t="str">
        <f t="shared" si="82"/>
        <v/>
      </c>
      <c r="X516" s="9" t="str">
        <f t="shared" si="86"/>
        <v/>
      </c>
      <c r="Y516" s="2" t="str">
        <f t="shared" si="83"/>
        <v/>
      </c>
      <c r="Z516" s="9" t="str">
        <f t="shared" si="85"/>
        <v/>
      </c>
    </row>
    <row r="517" spans="22:26" x14ac:dyDescent="0.25">
      <c r="V517" s="2" t="str">
        <f t="shared" si="81"/>
        <v/>
      </c>
      <c r="W517" s="8" t="str">
        <f t="shared" si="82"/>
        <v/>
      </c>
      <c r="X517" s="9" t="str">
        <f t="shared" si="86"/>
        <v/>
      </c>
      <c r="Y517" s="2" t="str">
        <f t="shared" si="83"/>
        <v/>
      </c>
      <c r="Z517" s="9" t="str">
        <f t="shared" si="85"/>
        <v/>
      </c>
    </row>
    <row r="518" spans="22:26" x14ac:dyDescent="0.25">
      <c r="V518" s="2" t="str">
        <f t="shared" si="81"/>
        <v/>
      </c>
      <c r="W518" s="8" t="str">
        <f t="shared" si="82"/>
        <v/>
      </c>
      <c r="X518" s="9" t="str">
        <f t="shared" si="86"/>
        <v/>
      </c>
      <c r="Y518" s="2" t="str">
        <f t="shared" si="83"/>
        <v/>
      </c>
      <c r="Z518" s="9" t="str">
        <f t="shared" si="85"/>
        <v/>
      </c>
    </row>
    <row r="519" spans="22:26" x14ac:dyDescent="0.25">
      <c r="V519" s="2" t="str">
        <f t="shared" si="81"/>
        <v/>
      </c>
      <c r="W519" s="8" t="str">
        <f t="shared" si="82"/>
        <v/>
      </c>
      <c r="X519" s="9" t="str">
        <f t="shared" si="86"/>
        <v/>
      </c>
      <c r="Y519" s="2" t="str">
        <f t="shared" si="83"/>
        <v/>
      </c>
      <c r="Z519" s="9" t="str">
        <f t="shared" si="85"/>
        <v/>
      </c>
    </row>
    <row r="520" spans="22:26" x14ac:dyDescent="0.25">
      <c r="V520" s="2" t="str">
        <f t="shared" si="81"/>
        <v/>
      </c>
      <c r="W520" s="8" t="str">
        <f t="shared" si="82"/>
        <v/>
      </c>
      <c r="X520" s="9" t="str">
        <f t="shared" si="86"/>
        <v/>
      </c>
      <c r="Y520" s="2" t="str">
        <f t="shared" si="83"/>
        <v/>
      </c>
      <c r="Z520" s="9" t="str">
        <f t="shared" si="85"/>
        <v/>
      </c>
    </row>
    <row r="521" spans="22:26" x14ac:dyDescent="0.25">
      <c r="V521" s="2" t="str">
        <f t="shared" si="81"/>
        <v/>
      </c>
      <c r="W521" s="8" t="str">
        <f t="shared" si="82"/>
        <v/>
      </c>
      <c r="X521" s="9" t="str">
        <f t="shared" si="86"/>
        <v/>
      </c>
      <c r="Y521" s="2" t="str">
        <f t="shared" si="83"/>
        <v/>
      </c>
      <c r="Z521" s="9" t="str">
        <f t="shared" si="85"/>
        <v/>
      </c>
    </row>
    <row r="522" spans="22:26" x14ac:dyDescent="0.25">
      <c r="V522" s="2" t="str">
        <f t="shared" si="81"/>
        <v/>
      </c>
      <c r="W522" s="8" t="str">
        <f t="shared" si="82"/>
        <v/>
      </c>
      <c r="X522" s="9" t="str">
        <f t="shared" si="86"/>
        <v/>
      </c>
      <c r="Y522" s="2" t="str">
        <f t="shared" si="83"/>
        <v/>
      </c>
      <c r="Z522" s="9" t="str">
        <f t="shared" si="85"/>
        <v/>
      </c>
    </row>
    <row r="523" spans="22:26" x14ac:dyDescent="0.25">
      <c r="V523" s="2" t="str">
        <f t="shared" si="81"/>
        <v/>
      </c>
      <c r="W523" s="8" t="str">
        <f t="shared" si="82"/>
        <v/>
      </c>
      <c r="X523" s="9" t="str">
        <f t="shared" si="86"/>
        <v/>
      </c>
      <c r="Y523" s="2" t="str">
        <f t="shared" si="83"/>
        <v/>
      </c>
      <c r="Z523" s="9" t="str">
        <f t="shared" si="85"/>
        <v/>
      </c>
    </row>
    <row r="524" spans="22:26" x14ac:dyDescent="0.25">
      <c r="V524" s="2" t="str">
        <f t="shared" si="81"/>
        <v/>
      </c>
      <c r="W524" s="8" t="str">
        <f t="shared" si="82"/>
        <v/>
      </c>
      <c r="X524" s="9" t="str">
        <f t="shared" si="86"/>
        <v/>
      </c>
      <c r="Y524" s="2" t="str">
        <f t="shared" si="83"/>
        <v/>
      </c>
      <c r="Z524" s="9" t="str">
        <f t="shared" si="85"/>
        <v/>
      </c>
    </row>
    <row r="525" spans="22:26" x14ac:dyDescent="0.25">
      <c r="V525" s="2" t="str">
        <f t="shared" si="81"/>
        <v/>
      </c>
      <c r="W525" s="8" t="str">
        <f t="shared" si="82"/>
        <v/>
      </c>
      <c r="X525" s="9" t="str">
        <f t="shared" si="86"/>
        <v/>
      </c>
      <c r="Y525" s="2" t="str">
        <f t="shared" si="83"/>
        <v/>
      </c>
      <c r="Z525" s="9" t="str">
        <f t="shared" si="85"/>
        <v/>
      </c>
    </row>
    <row r="526" spans="22:26" x14ac:dyDescent="0.25">
      <c r="V526" s="2" t="str">
        <f t="shared" si="81"/>
        <v/>
      </c>
      <c r="W526" s="8" t="str">
        <f t="shared" si="82"/>
        <v/>
      </c>
      <c r="X526" s="9" t="str">
        <f t="shared" si="86"/>
        <v/>
      </c>
      <c r="Y526" s="2" t="str">
        <f t="shared" si="83"/>
        <v/>
      </c>
      <c r="Z526" s="9" t="str">
        <f t="shared" si="85"/>
        <v/>
      </c>
    </row>
    <row r="527" spans="22:26" x14ac:dyDescent="0.25">
      <c r="V527" s="2" t="str">
        <f t="shared" si="81"/>
        <v/>
      </c>
      <c r="W527" s="8" t="str">
        <f t="shared" si="82"/>
        <v/>
      </c>
      <c r="X527" s="9" t="str">
        <f t="shared" si="86"/>
        <v/>
      </c>
      <c r="Y527" s="2" t="str">
        <f t="shared" si="83"/>
        <v/>
      </c>
      <c r="Z527" s="9" t="str">
        <f t="shared" si="85"/>
        <v/>
      </c>
    </row>
    <row r="528" spans="22:26" x14ac:dyDescent="0.25">
      <c r="V528" s="2" t="str">
        <f t="shared" si="81"/>
        <v/>
      </c>
      <c r="W528" s="8" t="str">
        <f t="shared" si="82"/>
        <v/>
      </c>
      <c r="X528" s="9" t="str">
        <f t="shared" si="86"/>
        <v/>
      </c>
      <c r="Y528" s="2" t="str">
        <f t="shared" si="83"/>
        <v/>
      </c>
      <c r="Z528" s="9" t="str">
        <f t="shared" si="85"/>
        <v/>
      </c>
    </row>
    <row r="529" spans="22:26" x14ac:dyDescent="0.25">
      <c r="V529" s="2" t="str">
        <f t="shared" si="81"/>
        <v/>
      </c>
      <c r="W529" s="8" t="str">
        <f t="shared" si="82"/>
        <v/>
      </c>
      <c r="X529" s="9" t="str">
        <f t="shared" si="86"/>
        <v/>
      </c>
      <c r="Y529" s="2" t="str">
        <f t="shared" si="83"/>
        <v/>
      </c>
      <c r="Z529" s="9" t="str">
        <f t="shared" si="85"/>
        <v/>
      </c>
    </row>
    <row r="530" spans="22:26" x14ac:dyDescent="0.25">
      <c r="V530" s="2" t="str">
        <f t="shared" si="81"/>
        <v/>
      </c>
      <c r="W530" s="8" t="str">
        <f t="shared" si="82"/>
        <v/>
      </c>
      <c r="X530" s="9" t="str">
        <f t="shared" si="86"/>
        <v/>
      </c>
      <c r="Y530" s="2" t="str">
        <f t="shared" si="83"/>
        <v/>
      </c>
      <c r="Z530" s="9" t="str">
        <f t="shared" si="85"/>
        <v/>
      </c>
    </row>
    <row r="531" spans="22:26" x14ac:dyDescent="0.25">
      <c r="V531" s="2" t="str">
        <f t="shared" si="81"/>
        <v/>
      </c>
      <c r="W531" s="8" t="str">
        <f t="shared" si="82"/>
        <v/>
      </c>
      <c r="X531" s="9" t="str">
        <f t="shared" si="86"/>
        <v/>
      </c>
      <c r="Y531" s="2" t="str">
        <f t="shared" si="83"/>
        <v/>
      </c>
      <c r="Z531" s="9" t="str">
        <f t="shared" si="85"/>
        <v/>
      </c>
    </row>
    <row r="532" spans="22:26" x14ac:dyDescent="0.25">
      <c r="V532" s="2" t="str">
        <f t="shared" si="81"/>
        <v/>
      </c>
      <c r="W532" s="8" t="str">
        <f t="shared" si="82"/>
        <v/>
      </c>
      <c r="X532" s="9" t="str">
        <f t="shared" si="86"/>
        <v/>
      </c>
      <c r="Y532" s="2" t="str">
        <f t="shared" si="83"/>
        <v/>
      </c>
      <c r="Z532" s="9" t="str">
        <f t="shared" si="85"/>
        <v/>
      </c>
    </row>
    <row r="533" spans="22:26" x14ac:dyDescent="0.25">
      <c r="V533" s="2" t="str">
        <f t="shared" si="81"/>
        <v/>
      </c>
      <c r="W533" s="8" t="str">
        <f t="shared" si="82"/>
        <v/>
      </c>
      <c r="X533" s="9" t="str">
        <f t="shared" si="86"/>
        <v/>
      </c>
      <c r="Y533" s="2" t="str">
        <f t="shared" si="83"/>
        <v/>
      </c>
      <c r="Z533" s="9" t="str">
        <f t="shared" si="85"/>
        <v/>
      </c>
    </row>
    <row r="534" spans="22:26" x14ac:dyDescent="0.25">
      <c r="V534" s="2" t="str">
        <f t="shared" si="81"/>
        <v/>
      </c>
      <c r="W534" s="8" t="str">
        <f t="shared" si="82"/>
        <v/>
      </c>
      <c r="X534" s="9" t="str">
        <f t="shared" si="86"/>
        <v/>
      </c>
      <c r="Y534" s="2" t="str">
        <f t="shared" si="83"/>
        <v/>
      </c>
      <c r="Z534" s="9" t="str">
        <f t="shared" si="85"/>
        <v/>
      </c>
    </row>
    <row r="535" spans="22:26" x14ac:dyDescent="0.25">
      <c r="V535" s="2" t="str">
        <f t="shared" si="81"/>
        <v/>
      </c>
      <c r="W535" s="8" t="str">
        <f t="shared" si="82"/>
        <v/>
      </c>
      <c r="X535" s="9" t="str">
        <f t="shared" si="86"/>
        <v/>
      </c>
      <c r="Y535" s="2" t="str">
        <f t="shared" si="83"/>
        <v/>
      </c>
      <c r="Z535" s="9" t="str">
        <f t="shared" si="85"/>
        <v/>
      </c>
    </row>
    <row r="536" spans="22:26" x14ac:dyDescent="0.25">
      <c r="V536" s="2" t="str">
        <f t="shared" si="81"/>
        <v/>
      </c>
      <c r="W536" s="8" t="str">
        <f t="shared" si="82"/>
        <v/>
      </c>
      <c r="X536" s="9" t="str">
        <f t="shared" si="86"/>
        <v/>
      </c>
      <c r="Y536" s="2" t="str">
        <f t="shared" si="83"/>
        <v/>
      </c>
      <c r="Z536" s="9" t="str">
        <f t="shared" si="85"/>
        <v/>
      </c>
    </row>
    <row r="537" spans="22:26" x14ac:dyDescent="0.25">
      <c r="V537" s="2" t="str">
        <f t="shared" si="81"/>
        <v/>
      </c>
      <c r="W537" s="8" t="str">
        <f t="shared" si="82"/>
        <v/>
      </c>
      <c r="X537" s="9" t="str">
        <f t="shared" si="86"/>
        <v/>
      </c>
      <c r="Y537" s="2" t="str">
        <f t="shared" si="83"/>
        <v/>
      </c>
      <c r="Z537" s="9" t="str">
        <f t="shared" si="85"/>
        <v/>
      </c>
    </row>
    <row r="538" spans="22:26" x14ac:dyDescent="0.25">
      <c r="V538" s="2" t="str">
        <f t="shared" si="81"/>
        <v/>
      </c>
      <c r="W538" s="8" t="str">
        <f t="shared" si="82"/>
        <v/>
      </c>
      <c r="X538" s="9" t="str">
        <f t="shared" si="86"/>
        <v/>
      </c>
      <c r="Y538" s="2" t="str">
        <f t="shared" si="83"/>
        <v/>
      </c>
      <c r="Z538" s="9" t="str">
        <f t="shared" si="85"/>
        <v/>
      </c>
    </row>
    <row r="539" spans="22:26" x14ac:dyDescent="0.25">
      <c r="V539" s="2" t="str">
        <f t="shared" si="81"/>
        <v/>
      </c>
      <c r="W539" s="8" t="str">
        <f t="shared" si="82"/>
        <v/>
      </c>
      <c r="X539" s="9" t="str">
        <f t="shared" si="86"/>
        <v/>
      </c>
      <c r="Y539" s="2" t="str">
        <f t="shared" si="83"/>
        <v/>
      </c>
      <c r="Z539" s="9" t="str">
        <f t="shared" si="85"/>
        <v/>
      </c>
    </row>
    <row r="540" spans="22:26" x14ac:dyDescent="0.25">
      <c r="V540" s="2" t="str">
        <f t="shared" si="81"/>
        <v/>
      </c>
      <c r="W540" s="8" t="str">
        <f t="shared" si="82"/>
        <v/>
      </c>
      <c r="X540" s="9" t="str">
        <f t="shared" si="86"/>
        <v/>
      </c>
      <c r="Y540" s="2" t="str">
        <f t="shared" si="83"/>
        <v/>
      </c>
      <c r="Z540" s="9" t="str">
        <f t="shared" si="85"/>
        <v/>
      </c>
    </row>
    <row r="541" spans="22:26" x14ac:dyDescent="0.25">
      <c r="V541" s="2" t="str">
        <f t="shared" si="81"/>
        <v/>
      </c>
      <c r="W541" s="8" t="str">
        <f t="shared" si="82"/>
        <v/>
      </c>
      <c r="X541" s="9" t="str">
        <f t="shared" si="86"/>
        <v/>
      </c>
      <c r="Y541" s="2" t="str">
        <f t="shared" si="83"/>
        <v/>
      </c>
      <c r="Z541" s="9" t="str">
        <f t="shared" si="85"/>
        <v/>
      </c>
    </row>
    <row r="542" spans="22:26" x14ac:dyDescent="0.25">
      <c r="V542" s="2" t="str">
        <f t="shared" si="81"/>
        <v/>
      </c>
      <c r="W542" s="8" t="str">
        <f t="shared" si="82"/>
        <v/>
      </c>
      <c r="X542" s="9" t="str">
        <f t="shared" si="86"/>
        <v/>
      </c>
      <c r="Y542" s="2" t="str">
        <f t="shared" si="83"/>
        <v/>
      </c>
      <c r="Z542" s="9" t="str">
        <f t="shared" si="85"/>
        <v/>
      </c>
    </row>
    <row r="543" spans="22:26" x14ac:dyDescent="0.25">
      <c r="V543" s="2" t="str">
        <f t="shared" si="81"/>
        <v/>
      </c>
      <c r="W543" s="8" t="str">
        <f t="shared" si="82"/>
        <v/>
      </c>
      <c r="X543" s="9" t="str">
        <f t="shared" si="86"/>
        <v/>
      </c>
      <c r="Y543" s="2" t="str">
        <f t="shared" si="83"/>
        <v/>
      </c>
      <c r="Z543" s="9" t="str">
        <f t="shared" si="85"/>
        <v/>
      </c>
    </row>
    <row r="544" spans="22:26" x14ac:dyDescent="0.25">
      <c r="V544" s="2" t="str">
        <f t="shared" ref="V544:V607" si="87">IF(V543&lt;B$17,V543+1,"")</f>
        <v/>
      </c>
      <c r="X544" s="9" t="str">
        <f t="shared" si="86"/>
        <v/>
      </c>
      <c r="Y544" s="2" t="str">
        <f t="shared" ref="Y544:Y607" si="88">IF(X544="","",W544-W$30)</f>
        <v/>
      </c>
      <c r="Z544" s="9" t="str">
        <f t="shared" ref="Z544:Z607" si="89">IF(Y544="","",Y544*X544*X$26)</f>
        <v/>
      </c>
    </row>
    <row r="545" spans="22:26" x14ac:dyDescent="0.25">
      <c r="V545" s="2" t="str">
        <f t="shared" si="87"/>
        <v/>
      </c>
      <c r="X545" s="9" t="str">
        <f t="shared" si="86"/>
        <v/>
      </c>
      <c r="Y545" s="2" t="str">
        <f t="shared" si="88"/>
        <v/>
      </c>
      <c r="Z545" s="9" t="str">
        <f t="shared" si="89"/>
        <v/>
      </c>
    </row>
    <row r="546" spans="22:26" x14ac:dyDescent="0.25">
      <c r="V546" s="2" t="str">
        <f t="shared" si="87"/>
        <v/>
      </c>
      <c r="X546" s="9" t="str">
        <f t="shared" si="86"/>
        <v/>
      </c>
      <c r="Y546" s="2" t="str">
        <f t="shared" si="88"/>
        <v/>
      </c>
      <c r="Z546" s="9" t="str">
        <f t="shared" si="89"/>
        <v/>
      </c>
    </row>
    <row r="547" spans="22:26" x14ac:dyDescent="0.25">
      <c r="V547" s="2" t="str">
        <f t="shared" si="87"/>
        <v/>
      </c>
      <c r="X547" s="9" t="str">
        <f t="shared" si="86"/>
        <v/>
      </c>
      <c r="Y547" s="2" t="str">
        <f t="shared" si="88"/>
        <v/>
      </c>
      <c r="Z547" s="9" t="str">
        <f t="shared" si="89"/>
        <v/>
      </c>
    </row>
    <row r="548" spans="22:26" x14ac:dyDescent="0.25">
      <c r="V548" s="2" t="str">
        <f t="shared" si="87"/>
        <v/>
      </c>
      <c r="X548" s="9" t="str">
        <f t="shared" si="86"/>
        <v/>
      </c>
      <c r="Y548" s="2" t="str">
        <f t="shared" si="88"/>
        <v/>
      </c>
      <c r="Z548" s="9" t="str">
        <f t="shared" si="89"/>
        <v/>
      </c>
    </row>
    <row r="549" spans="22:26" x14ac:dyDescent="0.25">
      <c r="V549" s="2" t="str">
        <f t="shared" si="87"/>
        <v/>
      </c>
      <c r="X549" s="9" t="str">
        <f t="shared" si="86"/>
        <v/>
      </c>
      <c r="Y549" s="2" t="str">
        <f t="shared" si="88"/>
        <v/>
      </c>
      <c r="Z549" s="9" t="str">
        <f t="shared" si="89"/>
        <v/>
      </c>
    </row>
    <row r="550" spans="22:26" x14ac:dyDescent="0.25">
      <c r="V550" s="2" t="str">
        <f t="shared" si="87"/>
        <v/>
      </c>
      <c r="X550" s="9" t="str">
        <f t="shared" si="86"/>
        <v/>
      </c>
      <c r="Y550" s="2" t="str">
        <f t="shared" si="88"/>
        <v/>
      </c>
      <c r="Z550" s="9" t="str">
        <f t="shared" si="89"/>
        <v/>
      </c>
    </row>
    <row r="551" spans="22:26" x14ac:dyDescent="0.25">
      <c r="V551" s="2" t="str">
        <f t="shared" si="87"/>
        <v/>
      </c>
      <c r="X551" s="9" t="str">
        <f t="shared" si="86"/>
        <v/>
      </c>
      <c r="Y551" s="2" t="str">
        <f t="shared" si="88"/>
        <v/>
      </c>
      <c r="Z551" s="9" t="str">
        <f t="shared" si="89"/>
        <v/>
      </c>
    </row>
    <row r="552" spans="22:26" x14ac:dyDescent="0.25">
      <c r="V552" s="2" t="str">
        <f t="shared" si="87"/>
        <v/>
      </c>
      <c r="X552" s="9" t="str">
        <f t="shared" si="86"/>
        <v/>
      </c>
      <c r="Y552" s="2" t="str">
        <f t="shared" si="88"/>
        <v/>
      </c>
      <c r="Z552" s="9" t="str">
        <f t="shared" si="89"/>
        <v/>
      </c>
    </row>
    <row r="553" spans="22:26" x14ac:dyDescent="0.25">
      <c r="V553" s="2" t="str">
        <f t="shared" si="87"/>
        <v/>
      </c>
      <c r="X553" s="9" t="str">
        <f t="shared" si="86"/>
        <v/>
      </c>
      <c r="Y553" s="2" t="str">
        <f t="shared" si="88"/>
        <v/>
      </c>
      <c r="Z553" s="9" t="str">
        <f t="shared" si="89"/>
        <v/>
      </c>
    </row>
    <row r="554" spans="22:26" x14ac:dyDescent="0.25">
      <c r="V554" s="2" t="str">
        <f t="shared" si="87"/>
        <v/>
      </c>
      <c r="X554" s="9" t="str">
        <f t="shared" si="86"/>
        <v/>
      </c>
      <c r="Y554" s="2" t="str">
        <f t="shared" si="88"/>
        <v/>
      </c>
      <c r="Z554" s="9" t="str">
        <f t="shared" si="89"/>
        <v/>
      </c>
    </row>
    <row r="555" spans="22:26" x14ac:dyDescent="0.25">
      <c r="V555" s="2" t="str">
        <f t="shared" si="87"/>
        <v/>
      </c>
      <c r="X555" s="9" t="str">
        <f t="shared" si="86"/>
        <v/>
      </c>
      <c r="Y555" s="2" t="str">
        <f t="shared" si="88"/>
        <v/>
      </c>
      <c r="Z555" s="9" t="str">
        <f t="shared" si="89"/>
        <v/>
      </c>
    </row>
    <row r="556" spans="22:26" x14ac:dyDescent="0.25">
      <c r="V556" s="2" t="str">
        <f t="shared" si="87"/>
        <v/>
      </c>
      <c r="X556" s="9" t="str">
        <f t="shared" si="86"/>
        <v/>
      </c>
      <c r="Y556" s="2" t="str">
        <f t="shared" si="88"/>
        <v/>
      </c>
      <c r="Z556" s="9" t="str">
        <f t="shared" si="89"/>
        <v/>
      </c>
    </row>
    <row r="557" spans="22:26" x14ac:dyDescent="0.25">
      <c r="V557" s="2" t="str">
        <f t="shared" si="87"/>
        <v/>
      </c>
      <c r="X557" s="9" t="str">
        <f t="shared" si="86"/>
        <v/>
      </c>
      <c r="Y557" s="2" t="str">
        <f t="shared" si="88"/>
        <v/>
      </c>
      <c r="Z557" s="9" t="str">
        <f t="shared" si="89"/>
        <v/>
      </c>
    </row>
    <row r="558" spans="22:26" x14ac:dyDescent="0.25">
      <c r="V558" s="2" t="str">
        <f t="shared" si="87"/>
        <v/>
      </c>
      <c r="X558" s="9" t="str">
        <f t="shared" si="86"/>
        <v/>
      </c>
      <c r="Y558" s="2" t="str">
        <f t="shared" si="88"/>
        <v/>
      </c>
      <c r="Z558" s="9" t="str">
        <f t="shared" si="89"/>
        <v/>
      </c>
    </row>
    <row r="559" spans="22:26" x14ac:dyDescent="0.25">
      <c r="V559" s="2" t="str">
        <f t="shared" si="87"/>
        <v/>
      </c>
      <c r="X559" s="9" t="str">
        <f t="shared" si="86"/>
        <v/>
      </c>
      <c r="Y559" s="2" t="str">
        <f t="shared" si="88"/>
        <v/>
      </c>
      <c r="Z559" s="9" t="str">
        <f t="shared" si="89"/>
        <v/>
      </c>
    </row>
    <row r="560" spans="22:26" x14ac:dyDescent="0.25">
      <c r="V560" s="2" t="str">
        <f t="shared" si="87"/>
        <v/>
      </c>
      <c r="X560" s="9" t="str">
        <f t="shared" si="86"/>
        <v/>
      </c>
      <c r="Y560" s="2" t="str">
        <f t="shared" si="88"/>
        <v/>
      </c>
      <c r="Z560" s="9" t="str">
        <f t="shared" si="89"/>
        <v/>
      </c>
    </row>
    <row r="561" spans="22:26" x14ac:dyDescent="0.25">
      <c r="V561" s="2" t="str">
        <f t="shared" si="87"/>
        <v/>
      </c>
      <c r="X561" s="9" t="str">
        <f t="shared" si="86"/>
        <v/>
      </c>
      <c r="Y561" s="2" t="str">
        <f t="shared" si="88"/>
        <v/>
      </c>
      <c r="Z561" s="9" t="str">
        <f t="shared" si="89"/>
        <v/>
      </c>
    </row>
    <row r="562" spans="22:26" x14ac:dyDescent="0.25">
      <c r="V562" s="2" t="str">
        <f t="shared" si="87"/>
        <v/>
      </c>
      <c r="X562" s="9" t="str">
        <f t="shared" si="86"/>
        <v/>
      </c>
      <c r="Y562" s="2" t="str">
        <f t="shared" si="88"/>
        <v/>
      </c>
      <c r="Z562" s="9" t="str">
        <f t="shared" si="89"/>
        <v/>
      </c>
    </row>
    <row r="563" spans="22:26" x14ac:dyDescent="0.25">
      <c r="V563" s="2" t="str">
        <f t="shared" si="87"/>
        <v/>
      </c>
      <c r="X563" s="9" t="str">
        <f t="shared" si="86"/>
        <v/>
      </c>
      <c r="Y563" s="2" t="str">
        <f t="shared" si="88"/>
        <v/>
      </c>
      <c r="Z563" s="9" t="str">
        <f t="shared" si="89"/>
        <v/>
      </c>
    </row>
    <row r="564" spans="22:26" x14ac:dyDescent="0.25">
      <c r="V564" s="2" t="str">
        <f t="shared" si="87"/>
        <v/>
      </c>
      <c r="X564" s="9" t="str">
        <f t="shared" si="86"/>
        <v/>
      </c>
      <c r="Y564" s="2" t="str">
        <f t="shared" si="88"/>
        <v/>
      </c>
      <c r="Z564" s="9" t="str">
        <f t="shared" si="89"/>
        <v/>
      </c>
    </row>
    <row r="565" spans="22:26" x14ac:dyDescent="0.25">
      <c r="V565" s="2" t="str">
        <f t="shared" si="87"/>
        <v/>
      </c>
      <c r="X565" s="9" t="str">
        <f t="shared" si="86"/>
        <v/>
      </c>
      <c r="Y565" s="2" t="str">
        <f t="shared" si="88"/>
        <v/>
      </c>
      <c r="Z565" s="9" t="str">
        <f t="shared" si="89"/>
        <v/>
      </c>
    </row>
    <row r="566" spans="22:26" x14ac:dyDescent="0.25">
      <c r="V566" s="2" t="str">
        <f t="shared" si="87"/>
        <v/>
      </c>
      <c r="X566" s="9" t="str">
        <f t="shared" si="86"/>
        <v/>
      </c>
      <c r="Y566" s="2" t="str">
        <f t="shared" si="88"/>
        <v/>
      </c>
      <c r="Z566" s="9" t="str">
        <f t="shared" si="89"/>
        <v/>
      </c>
    </row>
    <row r="567" spans="22:26" x14ac:dyDescent="0.25">
      <c r="V567" s="2" t="str">
        <f t="shared" si="87"/>
        <v/>
      </c>
      <c r="X567" s="9" t="str">
        <f t="shared" si="86"/>
        <v/>
      </c>
      <c r="Y567" s="2" t="str">
        <f t="shared" si="88"/>
        <v/>
      </c>
      <c r="Z567" s="9" t="str">
        <f t="shared" si="89"/>
        <v/>
      </c>
    </row>
    <row r="568" spans="22:26" x14ac:dyDescent="0.25">
      <c r="V568" s="2" t="str">
        <f t="shared" si="87"/>
        <v/>
      </c>
      <c r="X568" s="9" t="str">
        <f t="shared" si="86"/>
        <v/>
      </c>
      <c r="Y568" s="2" t="str">
        <f t="shared" si="88"/>
        <v/>
      </c>
      <c r="Z568" s="9" t="str">
        <f t="shared" si="89"/>
        <v/>
      </c>
    </row>
    <row r="569" spans="22:26" x14ac:dyDescent="0.25">
      <c r="V569" s="2" t="str">
        <f t="shared" si="87"/>
        <v/>
      </c>
      <c r="X569" s="9" t="str">
        <f t="shared" si="86"/>
        <v/>
      </c>
      <c r="Y569" s="2" t="str">
        <f t="shared" si="88"/>
        <v/>
      </c>
      <c r="Z569" s="9" t="str">
        <f t="shared" si="89"/>
        <v/>
      </c>
    </row>
    <row r="570" spans="22:26" x14ac:dyDescent="0.25">
      <c r="V570" s="2" t="str">
        <f t="shared" si="87"/>
        <v/>
      </c>
      <c r="X570" s="9" t="str">
        <f t="shared" si="86"/>
        <v/>
      </c>
      <c r="Y570" s="2" t="str">
        <f t="shared" si="88"/>
        <v/>
      </c>
      <c r="Z570" s="9" t="str">
        <f t="shared" si="89"/>
        <v/>
      </c>
    </row>
    <row r="571" spans="22:26" x14ac:dyDescent="0.25">
      <c r="V571" s="2" t="str">
        <f t="shared" si="87"/>
        <v/>
      </c>
      <c r="X571" s="9" t="str">
        <f t="shared" si="86"/>
        <v/>
      </c>
      <c r="Y571" s="2" t="str">
        <f t="shared" si="88"/>
        <v/>
      </c>
      <c r="Z571" s="9" t="str">
        <f t="shared" si="89"/>
        <v/>
      </c>
    </row>
    <row r="572" spans="22:26" x14ac:dyDescent="0.25">
      <c r="V572" s="2" t="str">
        <f t="shared" si="87"/>
        <v/>
      </c>
      <c r="X572" s="9" t="str">
        <f t="shared" si="86"/>
        <v/>
      </c>
      <c r="Y572" s="2" t="str">
        <f t="shared" si="88"/>
        <v/>
      </c>
      <c r="Z572" s="9" t="str">
        <f t="shared" si="89"/>
        <v/>
      </c>
    </row>
    <row r="573" spans="22:26" x14ac:dyDescent="0.25">
      <c r="V573" s="2" t="str">
        <f t="shared" si="87"/>
        <v/>
      </c>
      <c r="X573" s="9" t="str">
        <f t="shared" si="86"/>
        <v/>
      </c>
      <c r="Y573" s="2" t="str">
        <f t="shared" si="88"/>
        <v/>
      </c>
      <c r="Z573" s="9" t="str">
        <f t="shared" si="89"/>
        <v/>
      </c>
    </row>
    <row r="574" spans="22:26" x14ac:dyDescent="0.25">
      <c r="V574" s="2" t="str">
        <f t="shared" si="87"/>
        <v/>
      </c>
      <c r="X574" s="9" t="str">
        <f t="shared" si="86"/>
        <v/>
      </c>
      <c r="Y574" s="2" t="str">
        <f t="shared" si="88"/>
        <v/>
      </c>
      <c r="Z574" s="9" t="str">
        <f t="shared" si="89"/>
        <v/>
      </c>
    </row>
    <row r="575" spans="22:26" x14ac:dyDescent="0.25">
      <c r="V575" s="2" t="str">
        <f t="shared" si="87"/>
        <v/>
      </c>
      <c r="X575" s="9" t="str">
        <f t="shared" si="86"/>
        <v/>
      </c>
      <c r="Y575" s="2" t="str">
        <f t="shared" si="88"/>
        <v/>
      </c>
      <c r="Z575" s="9" t="str">
        <f t="shared" si="89"/>
        <v/>
      </c>
    </row>
    <row r="576" spans="22:26" x14ac:dyDescent="0.25">
      <c r="V576" s="2" t="str">
        <f t="shared" si="87"/>
        <v/>
      </c>
      <c r="X576" s="9" t="str">
        <f t="shared" si="86"/>
        <v/>
      </c>
      <c r="Y576" s="2" t="str">
        <f t="shared" si="88"/>
        <v/>
      </c>
      <c r="Z576" s="9" t="str">
        <f t="shared" si="89"/>
        <v/>
      </c>
    </row>
    <row r="577" spans="22:26" x14ac:dyDescent="0.25">
      <c r="V577" s="2" t="str">
        <f t="shared" si="87"/>
        <v/>
      </c>
      <c r="X577" s="9" t="str">
        <f t="shared" si="86"/>
        <v/>
      </c>
      <c r="Y577" s="2" t="str">
        <f t="shared" si="88"/>
        <v/>
      </c>
      <c r="Z577" s="9" t="str">
        <f t="shared" si="89"/>
        <v/>
      </c>
    </row>
    <row r="578" spans="22:26" x14ac:dyDescent="0.25">
      <c r="V578" s="2" t="str">
        <f t="shared" si="87"/>
        <v/>
      </c>
      <c r="X578" s="9" t="str">
        <f t="shared" ref="X578:X610" si="90">IF(W578="","",D571)</f>
        <v/>
      </c>
      <c r="Y578" s="2" t="str">
        <f t="shared" si="88"/>
        <v/>
      </c>
      <c r="Z578" s="9" t="str">
        <f t="shared" si="89"/>
        <v/>
      </c>
    </row>
    <row r="579" spans="22:26" x14ac:dyDescent="0.25">
      <c r="V579" s="2" t="str">
        <f t="shared" si="87"/>
        <v/>
      </c>
      <c r="X579" s="9" t="str">
        <f t="shared" si="90"/>
        <v/>
      </c>
      <c r="Y579" s="2" t="str">
        <f t="shared" si="88"/>
        <v/>
      </c>
      <c r="Z579" s="9" t="str">
        <f t="shared" si="89"/>
        <v/>
      </c>
    </row>
    <row r="580" spans="22:26" x14ac:dyDescent="0.25">
      <c r="V580" s="2" t="str">
        <f t="shared" si="87"/>
        <v/>
      </c>
      <c r="X580" s="9" t="str">
        <f t="shared" si="90"/>
        <v/>
      </c>
      <c r="Y580" s="2" t="str">
        <f t="shared" si="88"/>
        <v/>
      </c>
      <c r="Z580" s="9" t="str">
        <f t="shared" si="89"/>
        <v/>
      </c>
    </row>
    <row r="581" spans="22:26" x14ac:dyDescent="0.25">
      <c r="V581" s="2" t="str">
        <f t="shared" si="87"/>
        <v/>
      </c>
      <c r="X581" s="9" t="str">
        <f t="shared" si="90"/>
        <v/>
      </c>
      <c r="Y581" s="2" t="str">
        <f t="shared" si="88"/>
        <v/>
      </c>
      <c r="Z581" s="9" t="str">
        <f t="shared" si="89"/>
        <v/>
      </c>
    </row>
    <row r="582" spans="22:26" x14ac:dyDescent="0.25">
      <c r="V582" s="2" t="str">
        <f t="shared" si="87"/>
        <v/>
      </c>
      <c r="X582" s="9" t="str">
        <f t="shared" si="90"/>
        <v/>
      </c>
      <c r="Y582" s="2" t="str">
        <f t="shared" si="88"/>
        <v/>
      </c>
      <c r="Z582" s="9" t="str">
        <f t="shared" si="89"/>
        <v/>
      </c>
    </row>
    <row r="583" spans="22:26" x14ac:dyDescent="0.25">
      <c r="V583" s="2" t="str">
        <f t="shared" si="87"/>
        <v/>
      </c>
      <c r="X583" s="9" t="str">
        <f t="shared" si="90"/>
        <v/>
      </c>
      <c r="Y583" s="2" t="str">
        <f t="shared" si="88"/>
        <v/>
      </c>
      <c r="Z583" s="9" t="str">
        <f t="shared" si="89"/>
        <v/>
      </c>
    </row>
    <row r="584" spans="22:26" x14ac:dyDescent="0.25">
      <c r="V584" s="2" t="str">
        <f t="shared" si="87"/>
        <v/>
      </c>
      <c r="X584" s="9" t="str">
        <f t="shared" si="90"/>
        <v/>
      </c>
      <c r="Y584" s="2" t="str">
        <f t="shared" si="88"/>
        <v/>
      </c>
      <c r="Z584" s="9" t="str">
        <f t="shared" si="89"/>
        <v/>
      </c>
    </row>
    <row r="585" spans="22:26" x14ac:dyDescent="0.25">
      <c r="V585" s="2" t="str">
        <f t="shared" si="87"/>
        <v/>
      </c>
      <c r="X585" s="9" t="str">
        <f t="shared" si="90"/>
        <v/>
      </c>
      <c r="Y585" s="2" t="str">
        <f t="shared" si="88"/>
        <v/>
      </c>
      <c r="Z585" s="9" t="str">
        <f t="shared" si="89"/>
        <v/>
      </c>
    </row>
    <row r="586" spans="22:26" x14ac:dyDescent="0.25">
      <c r="V586" s="2" t="str">
        <f t="shared" si="87"/>
        <v/>
      </c>
      <c r="X586" s="9" t="str">
        <f t="shared" si="90"/>
        <v/>
      </c>
      <c r="Y586" s="2" t="str">
        <f t="shared" si="88"/>
        <v/>
      </c>
      <c r="Z586" s="9" t="str">
        <f t="shared" si="89"/>
        <v/>
      </c>
    </row>
    <row r="587" spans="22:26" x14ac:dyDescent="0.25">
      <c r="V587" s="2" t="str">
        <f t="shared" si="87"/>
        <v/>
      </c>
      <c r="X587" s="9" t="str">
        <f t="shared" si="90"/>
        <v/>
      </c>
      <c r="Y587" s="2" t="str">
        <f t="shared" si="88"/>
        <v/>
      </c>
      <c r="Z587" s="9" t="str">
        <f t="shared" si="89"/>
        <v/>
      </c>
    </row>
    <row r="588" spans="22:26" x14ac:dyDescent="0.25">
      <c r="V588" s="2" t="str">
        <f t="shared" si="87"/>
        <v/>
      </c>
      <c r="X588" s="9" t="str">
        <f t="shared" si="90"/>
        <v/>
      </c>
      <c r="Y588" s="2" t="str">
        <f t="shared" si="88"/>
        <v/>
      </c>
      <c r="Z588" s="9" t="str">
        <f t="shared" si="89"/>
        <v/>
      </c>
    </row>
    <row r="589" spans="22:26" x14ac:dyDescent="0.25">
      <c r="V589" s="2" t="str">
        <f t="shared" si="87"/>
        <v/>
      </c>
      <c r="X589" s="9" t="str">
        <f t="shared" si="90"/>
        <v/>
      </c>
      <c r="Y589" s="2" t="str">
        <f t="shared" si="88"/>
        <v/>
      </c>
      <c r="Z589" s="9" t="str">
        <f t="shared" si="89"/>
        <v/>
      </c>
    </row>
    <row r="590" spans="22:26" x14ac:dyDescent="0.25">
      <c r="V590" s="2" t="str">
        <f t="shared" si="87"/>
        <v/>
      </c>
      <c r="X590" s="9" t="str">
        <f t="shared" si="90"/>
        <v/>
      </c>
      <c r="Y590" s="2" t="str">
        <f t="shared" si="88"/>
        <v/>
      </c>
      <c r="Z590" s="9" t="str">
        <f t="shared" si="89"/>
        <v/>
      </c>
    </row>
    <row r="591" spans="22:26" x14ac:dyDescent="0.25">
      <c r="V591" s="2" t="str">
        <f t="shared" si="87"/>
        <v/>
      </c>
      <c r="X591" s="9" t="str">
        <f t="shared" si="90"/>
        <v/>
      </c>
      <c r="Y591" s="2" t="str">
        <f t="shared" si="88"/>
        <v/>
      </c>
      <c r="Z591" s="9" t="str">
        <f t="shared" si="89"/>
        <v/>
      </c>
    </row>
    <row r="592" spans="22:26" x14ac:dyDescent="0.25">
      <c r="V592" s="2" t="str">
        <f t="shared" si="87"/>
        <v/>
      </c>
      <c r="X592" s="9" t="str">
        <f t="shared" si="90"/>
        <v/>
      </c>
      <c r="Y592" s="2" t="str">
        <f t="shared" si="88"/>
        <v/>
      </c>
      <c r="Z592" s="9" t="str">
        <f t="shared" si="89"/>
        <v/>
      </c>
    </row>
    <row r="593" spans="22:26" x14ac:dyDescent="0.25">
      <c r="V593" s="2" t="str">
        <f t="shared" si="87"/>
        <v/>
      </c>
      <c r="X593" s="9" t="str">
        <f t="shared" si="90"/>
        <v/>
      </c>
      <c r="Y593" s="2" t="str">
        <f t="shared" si="88"/>
        <v/>
      </c>
      <c r="Z593" s="9" t="str">
        <f t="shared" si="89"/>
        <v/>
      </c>
    </row>
    <row r="594" spans="22:26" x14ac:dyDescent="0.25">
      <c r="V594" s="2" t="str">
        <f t="shared" si="87"/>
        <v/>
      </c>
      <c r="X594" s="9" t="str">
        <f t="shared" si="90"/>
        <v/>
      </c>
      <c r="Y594" s="2" t="str">
        <f t="shared" si="88"/>
        <v/>
      </c>
      <c r="Z594" s="9" t="str">
        <f t="shared" si="89"/>
        <v/>
      </c>
    </row>
    <row r="595" spans="22:26" x14ac:dyDescent="0.25">
      <c r="V595" s="2" t="str">
        <f t="shared" si="87"/>
        <v/>
      </c>
      <c r="X595" s="9" t="str">
        <f t="shared" si="90"/>
        <v/>
      </c>
      <c r="Y595" s="2" t="str">
        <f t="shared" si="88"/>
        <v/>
      </c>
      <c r="Z595" s="9" t="str">
        <f t="shared" si="89"/>
        <v/>
      </c>
    </row>
    <row r="596" spans="22:26" x14ac:dyDescent="0.25">
      <c r="V596" s="2" t="str">
        <f t="shared" si="87"/>
        <v/>
      </c>
      <c r="X596" s="9" t="str">
        <f t="shared" si="90"/>
        <v/>
      </c>
      <c r="Y596" s="2" t="str">
        <f t="shared" si="88"/>
        <v/>
      </c>
      <c r="Z596" s="9" t="str">
        <f t="shared" si="89"/>
        <v/>
      </c>
    </row>
    <row r="597" spans="22:26" x14ac:dyDescent="0.25">
      <c r="V597" s="2" t="str">
        <f t="shared" si="87"/>
        <v/>
      </c>
      <c r="X597" s="9" t="str">
        <f t="shared" si="90"/>
        <v/>
      </c>
      <c r="Y597" s="2" t="str">
        <f t="shared" si="88"/>
        <v/>
      </c>
      <c r="Z597" s="9" t="str">
        <f t="shared" si="89"/>
        <v/>
      </c>
    </row>
    <row r="598" spans="22:26" x14ac:dyDescent="0.25">
      <c r="V598" s="2" t="str">
        <f t="shared" si="87"/>
        <v/>
      </c>
      <c r="X598" s="9" t="str">
        <f t="shared" si="90"/>
        <v/>
      </c>
      <c r="Y598" s="2" t="str">
        <f t="shared" si="88"/>
        <v/>
      </c>
      <c r="Z598" s="9" t="str">
        <f t="shared" si="89"/>
        <v/>
      </c>
    </row>
    <row r="599" spans="22:26" x14ac:dyDescent="0.25">
      <c r="V599" s="2" t="str">
        <f t="shared" si="87"/>
        <v/>
      </c>
      <c r="X599" s="9" t="str">
        <f t="shared" si="90"/>
        <v/>
      </c>
      <c r="Y599" s="2" t="str">
        <f t="shared" si="88"/>
        <v/>
      </c>
      <c r="Z599" s="9" t="str">
        <f t="shared" si="89"/>
        <v/>
      </c>
    </row>
    <row r="600" spans="22:26" x14ac:dyDescent="0.25">
      <c r="V600" s="2" t="str">
        <f t="shared" si="87"/>
        <v/>
      </c>
      <c r="X600" s="9" t="str">
        <f t="shared" si="90"/>
        <v/>
      </c>
      <c r="Y600" s="2" t="str">
        <f t="shared" si="88"/>
        <v/>
      </c>
      <c r="Z600" s="9" t="str">
        <f t="shared" si="89"/>
        <v/>
      </c>
    </row>
    <row r="601" spans="22:26" x14ac:dyDescent="0.25">
      <c r="V601" s="2" t="str">
        <f t="shared" si="87"/>
        <v/>
      </c>
      <c r="X601" s="9" t="str">
        <f t="shared" si="90"/>
        <v/>
      </c>
      <c r="Y601" s="2" t="str">
        <f t="shared" si="88"/>
        <v/>
      </c>
      <c r="Z601" s="9" t="str">
        <f t="shared" si="89"/>
        <v/>
      </c>
    </row>
    <row r="602" spans="22:26" x14ac:dyDescent="0.25">
      <c r="V602" s="2" t="str">
        <f t="shared" si="87"/>
        <v/>
      </c>
      <c r="X602" s="9" t="str">
        <f t="shared" si="90"/>
        <v/>
      </c>
      <c r="Y602" s="2" t="str">
        <f t="shared" si="88"/>
        <v/>
      </c>
      <c r="Z602" s="9" t="str">
        <f t="shared" si="89"/>
        <v/>
      </c>
    </row>
    <row r="603" spans="22:26" x14ac:dyDescent="0.25">
      <c r="V603" s="2" t="str">
        <f t="shared" si="87"/>
        <v/>
      </c>
      <c r="X603" s="9" t="str">
        <f t="shared" si="90"/>
        <v/>
      </c>
      <c r="Y603" s="2" t="str">
        <f t="shared" si="88"/>
        <v/>
      </c>
      <c r="Z603" s="9" t="str">
        <f t="shared" si="89"/>
        <v/>
      </c>
    </row>
    <row r="604" spans="22:26" x14ac:dyDescent="0.25">
      <c r="V604" s="2" t="str">
        <f t="shared" si="87"/>
        <v/>
      </c>
      <c r="X604" s="9" t="str">
        <f t="shared" si="90"/>
        <v/>
      </c>
      <c r="Y604" s="2" t="str">
        <f t="shared" si="88"/>
        <v/>
      </c>
      <c r="Z604" s="9" t="str">
        <f t="shared" si="89"/>
        <v/>
      </c>
    </row>
    <row r="605" spans="22:26" x14ac:dyDescent="0.25">
      <c r="V605" s="2" t="str">
        <f t="shared" si="87"/>
        <v/>
      </c>
      <c r="X605" s="9" t="str">
        <f t="shared" si="90"/>
        <v/>
      </c>
      <c r="Y605" s="2" t="str">
        <f t="shared" si="88"/>
        <v/>
      </c>
      <c r="Z605" s="9" t="str">
        <f t="shared" si="89"/>
        <v/>
      </c>
    </row>
    <row r="606" spans="22:26" x14ac:dyDescent="0.25">
      <c r="V606" s="2" t="str">
        <f t="shared" si="87"/>
        <v/>
      </c>
      <c r="X606" s="9" t="str">
        <f t="shared" si="90"/>
        <v/>
      </c>
      <c r="Y606" s="2" t="str">
        <f t="shared" si="88"/>
        <v/>
      </c>
      <c r="Z606" s="9" t="str">
        <f t="shared" si="89"/>
        <v/>
      </c>
    </row>
    <row r="607" spans="22:26" x14ac:dyDescent="0.25">
      <c r="V607" s="2" t="str">
        <f t="shared" si="87"/>
        <v/>
      </c>
      <c r="X607" s="9" t="str">
        <f t="shared" si="90"/>
        <v/>
      </c>
      <c r="Y607" s="2" t="str">
        <f t="shared" si="88"/>
        <v/>
      </c>
      <c r="Z607" s="9" t="str">
        <f t="shared" si="89"/>
        <v/>
      </c>
    </row>
    <row r="608" spans="22:26" x14ac:dyDescent="0.25">
      <c r="V608" s="2" t="str">
        <f t="shared" ref="V608:V616" si="91">IF(V607&lt;B$17,V607+1,"")</f>
        <v/>
      </c>
      <c r="X608" s="9" t="str">
        <f t="shared" si="90"/>
        <v/>
      </c>
      <c r="Y608" s="2" t="str">
        <f>IF(X608="","",W608-W$30)</f>
        <v/>
      </c>
      <c r="Z608" s="9" t="str">
        <f>IF(Y608="","",Y608*X608*X$26)</f>
        <v/>
      </c>
    </row>
    <row r="609" spans="22:26" x14ac:dyDescent="0.25">
      <c r="V609" s="2" t="str">
        <f t="shared" si="91"/>
        <v/>
      </c>
      <c r="X609" s="9" t="str">
        <f t="shared" si="90"/>
        <v/>
      </c>
      <c r="Z609" s="9" t="str">
        <f>IF(Y609="","",Y609*X609*X$26)</f>
        <v/>
      </c>
    </row>
    <row r="610" spans="22:26" x14ac:dyDescent="0.25">
      <c r="V610" s="2" t="str">
        <f t="shared" si="91"/>
        <v/>
      </c>
      <c r="X610" s="9" t="str">
        <f t="shared" si="90"/>
        <v/>
      </c>
      <c r="Z610" s="9" t="str">
        <f>IF(Y610="","",Y610*X610*X$26)</f>
        <v/>
      </c>
    </row>
    <row r="611" spans="22:26" x14ac:dyDescent="0.25">
      <c r="V611" s="2" t="str">
        <f t="shared" si="91"/>
        <v/>
      </c>
      <c r="Z611" s="9" t="str">
        <f>IF(Y611="","",Y611*X611*X$26)</f>
        <v/>
      </c>
    </row>
    <row r="612" spans="22:26" x14ac:dyDescent="0.25">
      <c r="V612" s="2" t="str">
        <f t="shared" si="91"/>
        <v/>
      </c>
      <c r="Z612" s="9" t="str">
        <f>IF(Y612="","",Y612*X612*X$26)</f>
        <v/>
      </c>
    </row>
    <row r="613" spans="22:26" x14ac:dyDescent="0.25">
      <c r="V613" s="2" t="str">
        <f t="shared" si="91"/>
        <v/>
      </c>
    </row>
    <row r="614" spans="22:26" x14ac:dyDescent="0.25">
      <c r="V614" s="2" t="str">
        <f t="shared" si="91"/>
        <v/>
      </c>
    </row>
    <row r="615" spans="22:26" x14ac:dyDescent="0.25">
      <c r="V615" s="2" t="str">
        <f t="shared" si="91"/>
        <v/>
      </c>
    </row>
    <row r="616" spans="22:26" x14ac:dyDescent="0.25">
      <c r="V616" s="2" t="str">
        <f t="shared" si="91"/>
        <v/>
      </c>
    </row>
  </sheetData>
  <sheetProtection algorithmName="SHA-512" hashValue="YqOlZXA/0kyMsmFz1JWEfSKpgh4dxoj0SMk52f2vev5bt4j8ooGJ29R/EOgf3//C2/zwgV8VQAwkcnZlMYEfXQ==" saltValue="Tp+loFCgKHzh/oLB0+h0bQ==" spinCount="100000" sheet="1" objects="1" scenarios="1"/>
  <protectedRanges>
    <protectedRange password="C474" sqref="A18:D18 F18:G18 A19 C19:D19" name="Intervalo1"/>
    <protectedRange password="C474" sqref="B19" name="Intervalo1_1"/>
  </protectedRanges>
  <mergeCells count="11">
    <mergeCell ref="A14:G14"/>
    <mergeCell ref="W23:AB24"/>
    <mergeCell ref="E4:F6"/>
    <mergeCell ref="A1:G1"/>
    <mergeCell ref="A2:G2"/>
    <mergeCell ref="A3:G3"/>
    <mergeCell ref="A20:G20"/>
    <mergeCell ref="A22:B22"/>
    <mergeCell ref="F21:F22"/>
    <mergeCell ref="D17:E17"/>
    <mergeCell ref="A18:G18"/>
  </mergeCells>
  <conditionalFormatting sqref="A27:B81 A264:G264">
    <cfRule type="notContainsBlanks" dxfId="28" priority="8" stopIfTrue="1">
      <formula>LEN(TRIM(A27))&gt;0</formula>
    </cfRule>
  </conditionalFormatting>
  <conditionalFormatting sqref="A82:B263">
    <cfRule type="notContainsBlanks" dxfId="27" priority="2" stopIfTrue="1">
      <formula>LEN(TRIM(A82))&gt;0</formula>
    </cfRule>
  </conditionalFormatting>
  <conditionalFormatting sqref="A24:C26 D24:G261 C27:C261 C262:G263 A23:G23">
    <cfRule type="notContainsBlanks" dxfId="26" priority="13" stopIfTrue="1">
      <formula>LEN(TRIM(A23))&gt;0</formula>
    </cfRule>
  </conditionalFormatting>
  <conditionalFormatting sqref="A24:G24 A26:G26">
    <cfRule type="notContainsBlanks" dxfId="25" priority="10">
      <formula>LEN(TRIM(A24))&gt;0</formula>
    </cfRule>
  </conditionalFormatting>
  <conditionalFormatting sqref="A28:G28 A30:G30 A32:G32 A34:G34 A36:G36 A38:G38 A40:G40 A42:G42 A44:G44 A46:G46 A48:G48 A50:G50 A52:G52 A54:G54 A56:G56 A58:G58 A60:G60 A62:G62 A64:G64 A66:G66 A68:G68 A70:G70 A72:G72 A74:G74 A76:G76 A78:G78 A80:G80 A264:G264">
    <cfRule type="notContainsBlanks" dxfId="24" priority="7">
      <formula>LEN(TRIM(A28))&gt;0</formula>
    </cfRule>
  </conditionalFormatting>
  <conditionalFormatting sqref="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">
    <cfRule type="notContainsBlanks" dxfId="23" priority="1">
      <formula>LEN(TRIM(A82))&gt;0</formula>
    </cfRule>
  </conditionalFormatting>
  <conditionalFormatting sqref="F19">
    <cfRule type="expression" dxfId="22" priority="5">
      <formula>$K$4=2</formula>
    </cfRule>
  </conditionalFormatting>
  <dataValidations disablePrompts="1" count="1">
    <dataValidation type="decimal" allowBlank="1" showInputMessage="1" showErrorMessage="1" errorTitle="atenção!" error="A garantia do FAMPE deve variar de 20% a 80%." sqref="F19" xr:uid="{00000000-0002-0000-0200-000000000000}">
      <formula1>0.2</formula1>
      <formula2>0.8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4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476250</xdr:colOff>
                    <xdr:row>3</xdr:row>
                    <xdr:rowOff>0</xdr:rowOff>
                  </from>
                  <to>
                    <xdr:col>6</xdr:col>
                    <xdr:colOff>752475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5" name="Drop Down 9">
              <controlPr locked="0" defaultSize="0" autoLine="0" autoPict="0">
                <anchor moveWithCells="1">
                  <from>
                    <xdr:col>6</xdr:col>
                    <xdr:colOff>123825</xdr:colOff>
                    <xdr:row>15</xdr:row>
                    <xdr:rowOff>38100</xdr:rowOff>
                  </from>
                  <to>
                    <xdr:col>6</xdr:col>
                    <xdr:colOff>1095375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6" name="Drop Down 26">
              <controlPr locked="0" defaultSize="0" autoLine="0" autoPict="0">
                <anchor moveWithCells="1">
                  <from>
                    <xdr:col>4</xdr:col>
                    <xdr:colOff>38100</xdr:colOff>
                    <xdr:row>18</xdr:row>
                    <xdr:rowOff>219075</xdr:rowOff>
                  </from>
                  <to>
                    <xdr:col>4</xdr:col>
                    <xdr:colOff>1104900</xdr:colOff>
                    <xdr:row>18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Drop Down 6">
              <controlPr locked="0" defaultSize="0" autoLine="0" autoPict="0">
                <anchor moveWithCells="1">
                  <from>
                    <xdr:col>6</xdr:col>
                    <xdr:colOff>123825</xdr:colOff>
                    <xdr:row>14</xdr:row>
                    <xdr:rowOff>38100</xdr:rowOff>
                  </from>
                  <to>
                    <xdr:col>6</xdr:col>
                    <xdr:colOff>1104900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88AB-D2F4-412E-956A-791D37104BF9}">
  <sheetPr codeName="Planilha3">
    <pageSetUpPr fitToPage="1"/>
  </sheetPr>
  <dimension ref="A1:BX616"/>
  <sheetViews>
    <sheetView showGridLines="0" zoomScale="85" zoomScaleNormal="85" workbookViewId="0">
      <selection activeCell="A14" sqref="A14:G14"/>
    </sheetView>
  </sheetViews>
  <sheetFormatPr defaultRowHeight="15" x14ac:dyDescent="0.25"/>
  <cols>
    <col min="1" max="1" width="13.7109375" style="74" customWidth="1"/>
    <col min="2" max="2" width="21.140625" style="40" customWidth="1"/>
    <col min="3" max="3" width="17.7109375" style="21" customWidth="1"/>
    <col min="4" max="4" width="19.7109375" style="21" customWidth="1"/>
    <col min="5" max="5" width="17.28515625" style="21" customWidth="1"/>
    <col min="6" max="6" width="18.5703125" style="21" customWidth="1"/>
    <col min="7" max="7" width="19.28515625" style="21" customWidth="1"/>
    <col min="8" max="8" width="17" style="2" hidden="1" customWidth="1"/>
    <col min="9" max="11" width="17.7109375" style="2" hidden="1" customWidth="1"/>
    <col min="12" max="12" width="7.140625" style="2" hidden="1" customWidth="1"/>
    <col min="13" max="13" width="17.7109375" style="2" hidden="1" customWidth="1"/>
    <col min="14" max="14" width="34.42578125" style="2" hidden="1" customWidth="1"/>
    <col min="15" max="19" width="17.7109375" style="91" hidden="1" customWidth="1"/>
    <col min="20" max="21" width="17.7109375" style="2" hidden="1" customWidth="1"/>
    <col min="22" max="22" width="9.140625" style="2" hidden="1" customWidth="1"/>
    <col min="23" max="23" width="10.42578125" style="2" hidden="1" customWidth="1"/>
    <col min="24" max="24" width="12" style="2" hidden="1" customWidth="1"/>
    <col min="25" max="25" width="16" style="2" hidden="1" customWidth="1"/>
    <col min="26" max="26" width="18.28515625" style="2" hidden="1" customWidth="1"/>
    <col min="27" max="27" width="16.85546875" style="2" hidden="1" customWidth="1"/>
    <col min="28" max="28" width="15.5703125" style="2" hidden="1" customWidth="1"/>
    <col min="29" max="29" width="17.85546875" style="2" hidden="1" customWidth="1"/>
    <col min="30" max="30" width="18.85546875" style="2" hidden="1" customWidth="1"/>
    <col min="31" max="31" width="13.85546875" style="2" hidden="1" customWidth="1"/>
    <col min="32" max="34" width="9.140625" style="2" hidden="1" customWidth="1"/>
    <col min="35" max="35" width="0.7109375" style="2" hidden="1" customWidth="1"/>
    <col min="36" max="40" width="9.140625" style="2" hidden="1" customWidth="1"/>
    <col min="41" max="41" width="13.42578125" style="2" hidden="1" customWidth="1"/>
    <col min="42" max="49" width="9.140625" style="2" hidden="1" customWidth="1"/>
    <col min="50" max="72" width="9.140625" style="2" customWidth="1"/>
    <col min="73" max="75" width="9.140625" style="2"/>
    <col min="76" max="76" width="12.28515625" style="2" bestFit="1" customWidth="1"/>
    <col min="77" max="16384" width="9.140625" style="2"/>
  </cols>
  <sheetData>
    <row r="1" spans="1:26" ht="72" customHeight="1" x14ac:dyDescent="0.25">
      <c r="A1" s="252" t="s">
        <v>59</v>
      </c>
      <c r="B1" s="253"/>
      <c r="C1" s="253"/>
      <c r="D1" s="253"/>
      <c r="E1" s="253"/>
      <c r="F1" s="253"/>
      <c r="G1" s="254"/>
      <c r="H1" s="2" t="s">
        <v>89</v>
      </c>
      <c r="U1" s="2" t="s">
        <v>39</v>
      </c>
      <c r="V1" s="2" t="s">
        <v>40</v>
      </c>
      <c r="W1" s="2" t="s">
        <v>50</v>
      </c>
    </row>
    <row r="2" spans="1:26" ht="30" customHeight="1" x14ac:dyDescent="0.25">
      <c r="A2" s="255" t="s">
        <v>57</v>
      </c>
      <c r="B2" s="255"/>
      <c r="C2" s="255"/>
      <c r="D2" s="255"/>
      <c r="E2" s="255"/>
      <c r="F2" s="255"/>
      <c r="G2" s="256"/>
      <c r="W2" s="2" t="s">
        <v>43</v>
      </c>
    </row>
    <row r="3" spans="1:26" ht="35.1" customHeight="1" x14ac:dyDescent="0.25">
      <c r="A3" s="257" t="s">
        <v>90</v>
      </c>
      <c r="B3" s="240"/>
      <c r="C3" s="240"/>
      <c r="D3" s="240"/>
      <c r="E3" s="240"/>
      <c r="F3" s="240"/>
      <c r="G3" s="241"/>
      <c r="J3" s="2">
        <v>1</v>
      </c>
      <c r="N3" s="7" t="s">
        <v>0</v>
      </c>
      <c r="O3" s="7" t="s">
        <v>29</v>
      </c>
      <c r="P3" s="7" t="s">
        <v>80</v>
      </c>
      <c r="Q3" s="7" t="s">
        <v>5</v>
      </c>
      <c r="R3" s="7" t="s">
        <v>9</v>
      </c>
      <c r="S3" s="7" t="s">
        <v>85</v>
      </c>
      <c r="T3" s="7" t="s">
        <v>8</v>
      </c>
      <c r="U3" s="2" t="s">
        <v>43</v>
      </c>
      <c r="V3" s="2" t="s">
        <v>43</v>
      </c>
      <c r="W3" s="3" t="s">
        <v>44</v>
      </c>
    </row>
    <row r="4" spans="1:26" ht="26.1" customHeight="1" x14ac:dyDescent="0.25">
      <c r="A4" s="69" t="s">
        <v>131</v>
      </c>
      <c r="B4" s="38"/>
      <c r="C4" s="31"/>
      <c r="D4" s="31"/>
      <c r="E4" s="250"/>
      <c r="F4" s="250"/>
      <c r="G4" s="32"/>
      <c r="K4" s="2">
        <v>2</v>
      </c>
      <c r="N4" s="2" t="s">
        <v>77</v>
      </c>
      <c r="O4" s="114">
        <f>IF($I$15&lt;=2,'Tabela de Encargos'!C43*100,'Tabela de Encargos'!C47*100)</f>
        <v>5.5</v>
      </c>
      <c r="Q4" s="91">
        <f>'Tabela de Encargos'!G43</f>
        <v>96</v>
      </c>
      <c r="R4" s="91">
        <f>'Tabela de Encargos'!H43</f>
        <v>24</v>
      </c>
      <c r="S4" s="94">
        <v>150000</v>
      </c>
      <c r="T4" s="23">
        <f>'Tabela de Encargos'!I43</f>
        <v>2000000</v>
      </c>
      <c r="U4" s="3" t="s">
        <v>44</v>
      </c>
      <c r="V4" s="3" t="s">
        <v>44</v>
      </c>
    </row>
    <row r="5" spans="1:26" ht="23.25" hidden="1" customHeight="1" x14ac:dyDescent="0.25">
      <c r="A5" s="70"/>
      <c r="B5" s="48"/>
      <c r="C5" s="31"/>
      <c r="D5" s="31"/>
      <c r="E5" s="250"/>
      <c r="F5" s="250"/>
      <c r="G5" s="32"/>
      <c r="N5" s="2" t="s">
        <v>78</v>
      </c>
      <c r="O5" s="114">
        <f>IF($I$15&lt;=2,'Tabela de Encargos'!C44*100,'Tabela de Encargos'!C48*100)</f>
        <v>5.5</v>
      </c>
      <c r="Q5" s="91">
        <f>'Tabela de Encargos'!G44</f>
        <v>48</v>
      </c>
      <c r="R5" s="91">
        <f>'Tabela de Encargos'!H44</f>
        <v>12</v>
      </c>
      <c r="S5" s="94">
        <v>50000</v>
      </c>
      <c r="T5" s="23">
        <f>'Tabela de Encargos'!I44</f>
        <v>2000000</v>
      </c>
      <c r="U5" s="206">
        <v>1</v>
      </c>
      <c r="V5" s="2">
        <v>2</v>
      </c>
      <c r="W5" s="2">
        <v>2</v>
      </c>
      <c r="X5" s="2" t="b">
        <v>0</v>
      </c>
    </row>
    <row r="6" spans="1:26" ht="23.25" hidden="1" customHeight="1" x14ac:dyDescent="0.35">
      <c r="A6" s="71"/>
      <c r="B6" s="49"/>
      <c r="C6" s="33"/>
      <c r="D6" s="33"/>
      <c r="E6" s="251"/>
      <c r="F6" s="251"/>
      <c r="G6" s="50"/>
      <c r="N6" s="2" t="s">
        <v>79</v>
      </c>
      <c r="O6" s="114">
        <f>IF($I$15&lt;=1,'Tabela de Encargos'!C45*100,'Tabela de Encargos'!C49*100)</f>
        <v>7.0000000000000009</v>
      </c>
      <c r="Q6" s="91">
        <f>'Tabela de Encargos'!G45</f>
        <v>120</v>
      </c>
      <c r="R6" s="91">
        <f>'Tabela de Encargos'!H45</f>
        <v>24</v>
      </c>
      <c r="S6" s="94">
        <v>150000</v>
      </c>
      <c r="T6" s="23">
        <f>'Tabela de Encargos'!I45</f>
        <v>2000000</v>
      </c>
      <c r="V6" s="2" t="s">
        <v>67</v>
      </c>
    </row>
    <row r="7" spans="1:26" ht="23.25" hidden="1" customHeight="1" x14ac:dyDescent="0.35">
      <c r="A7" s="72"/>
      <c r="B7" s="48"/>
      <c r="C7" s="33"/>
      <c r="D7" s="33"/>
      <c r="E7" s="39"/>
      <c r="F7" s="39"/>
      <c r="G7" s="50"/>
      <c r="O7" s="91">
        <f t="shared" ref="O7:Q7" si="0">IF($J$3=1,O4,IF(G3=2,O5,O6))</f>
        <v>5.5</v>
      </c>
      <c r="P7" s="91">
        <f t="shared" si="0"/>
        <v>0</v>
      </c>
      <c r="Q7" s="91">
        <f t="shared" si="0"/>
        <v>96</v>
      </c>
      <c r="R7" s="91">
        <f>IF($J$3=1,R4,IF(J3=2,R5,R6))</f>
        <v>24</v>
      </c>
      <c r="S7" s="94">
        <f t="shared" ref="S7:T7" si="1">IF($J$3=1,S4,IF(K3=2,S5,S6))</f>
        <v>150000</v>
      </c>
      <c r="T7" s="94">
        <f t="shared" si="1"/>
        <v>2000000</v>
      </c>
      <c r="V7" s="2" t="s">
        <v>66</v>
      </c>
    </row>
    <row r="8" spans="1:26" ht="23.25" hidden="1" customHeight="1" x14ac:dyDescent="0.35">
      <c r="A8" s="72"/>
      <c r="B8" s="48"/>
      <c r="C8" s="33"/>
      <c r="D8" s="33"/>
      <c r="E8" s="39"/>
      <c r="F8" s="39"/>
      <c r="G8" s="50"/>
      <c r="T8" s="9"/>
    </row>
    <row r="9" spans="1:26" ht="23.25" hidden="1" customHeight="1" x14ac:dyDescent="0.35">
      <c r="A9" s="72"/>
      <c r="B9" s="48"/>
      <c r="C9" s="33"/>
      <c r="D9" s="33"/>
      <c r="E9" s="39"/>
      <c r="F9" s="39"/>
      <c r="G9" s="50"/>
      <c r="T9" s="9"/>
    </row>
    <row r="10" spans="1:26" ht="23.25" hidden="1" customHeight="1" x14ac:dyDescent="0.35">
      <c r="A10" s="72"/>
      <c r="B10" s="48"/>
      <c r="C10" s="33"/>
      <c r="D10" s="33"/>
      <c r="E10" s="39"/>
      <c r="F10" s="39"/>
      <c r="G10" s="50"/>
      <c r="T10" s="9"/>
    </row>
    <row r="11" spans="1:26" ht="23.25" hidden="1" customHeight="1" x14ac:dyDescent="0.35">
      <c r="A11" s="72"/>
      <c r="B11" s="48"/>
      <c r="C11" s="33"/>
      <c r="D11" s="33"/>
      <c r="E11" s="39"/>
      <c r="F11" s="39"/>
      <c r="G11" s="50"/>
      <c r="T11" s="9"/>
    </row>
    <row r="12" spans="1:26" ht="23.25" hidden="1" customHeight="1" x14ac:dyDescent="0.35">
      <c r="A12" s="72"/>
      <c r="B12" s="48"/>
      <c r="C12" s="33"/>
      <c r="D12" s="33"/>
      <c r="E12" s="39"/>
      <c r="F12" s="39"/>
      <c r="G12" s="50"/>
      <c r="T12" s="9"/>
    </row>
    <row r="13" spans="1:26" ht="23.25" hidden="1" customHeight="1" x14ac:dyDescent="0.35">
      <c r="A13" s="72"/>
      <c r="B13" s="48"/>
      <c r="C13" s="33"/>
      <c r="D13" s="33"/>
      <c r="E13" s="39"/>
      <c r="F13" s="39"/>
      <c r="G13" s="50"/>
      <c r="T13" s="9"/>
    </row>
    <row r="14" spans="1:26" s="25" customFormat="1" ht="26.1" customHeight="1" x14ac:dyDescent="0.25">
      <c r="A14" s="247" t="s">
        <v>17</v>
      </c>
      <c r="B14" s="247"/>
      <c r="C14" s="248"/>
      <c r="D14" s="248"/>
      <c r="E14" s="248"/>
      <c r="F14" s="248"/>
      <c r="G14" s="248"/>
      <c r="O14" s="92"/>
      <c r="P14" s="92"/>
      <c r="Q14" s="92"/>
      <c r="R14" s="92"/>
      <c r="S14" s="92"/>
      <c r="T14" s="28"/>
      <c r="Z14" s="29"/>
    </row>
    <row r="15" spans="1:26" ht="35.25" customHeight="1" x14ac:dyDescent="0.25">
      <c r="A15" s="34" t="s">
        <v>10</v>
      </c>
      <c r="B15" s="150">
        <v>300000</v>
      </c>
      <c r="C15" s="34" t="s">
        <v>87</v>
      </c>
      <c r="D15" s="146">
        <f>IF(J3=1,O4,IF(J3=2,O5,IF(J3=3,O6,IF(J3=4,O14,))))/100</f>
        <v>5.5E-2</v>
      </c>
      <c r="E15" s="51"/>
      <c r="F15" s="36"/>
      <c r="G15" s="176">
        <f>IF(B15&lt;=3000,50,IF(B15&lt;=21000,IF(B15*0.03&lt;=420,B15*0.03,420),IF(B15&lt;=100000,B15*0.02,2000+B15*0.005)))</f>
        <v>3500</v>
      </c>
      <c r="I15" s="208">
        <v>3</v>
      </c>
      <c r="Z15" s="15"/>
    </row>
    <row r="16" spans="1:26" ht="35.25" customHeight="1" x14ac:dyDescent="0.25">
      <c r="A16" s="35" t="s">
        <v>6</v>
      </c>
      <c r="B16" s="133">
        <v>6</v>
      </c>
      <c r="C16" s="34" t="s">
        <v>88</v>
      </c>
      <c r="D16" s="153">
        <v>1.0699999999999999E-2</v>
      </c>
      <c r="E16" s="51"/>
      <c r="F16" s="36" t="s">
        <v>48</v>
      </c>
      <c r="G16" s="180">
        <f>IF(K4=1,(G19*0.001*B17),IF(K4=2,0,""))</f>
        <v>0</v>
      </c>
      <c r="H16" s="16"/>
      <c r="I16" s="2" t="s">
        <v>82</v>
      </c>
      <c r="J16" s="23">
        <v>400000</v>
      </c>
      <c r="Y16" s="5"/>
    </row>
    <row r="17" spans="1:76" ht="35.25" customHeight="1" x14ac:dyDescent="0.25">
      <c r="A17" s="35" t="s">
        <v>4</v>
      </c>
      <c r="B17" s="133">
        <v>60</v>
      </c>
      <c r="C17" s="34" t="s">
        <v>11</v>
      </c>
      <c r="D17" s="262">
        <f ca="1">TODAY()</f>
        <v>46240</v>
      </c>
      <c r="E17" s="263"/>
      <c r="F17" s="35" t="s">
        <v>81</v>
      </c>
      <c r="G17" s="53"/>
      <c r="I17" s="2" t="s">
        <v>83</v>
      </c>
      <c r="J17" s="23">
        <v>700000</v>
      </c>
      <c r="Y17" s="5"/>
      <c r="Z17" s="5"/>
    </row>
    <row r="18" spans="1:76" ht="35.25" customHeight="1" x14ac:dyDescent="0.25">
      <c r="A18" s="248" t="s">
        <v>65</v>
      </c>
      <c r="B18" s="248"/>
      <c r="C18" s="264"/>
      <c r="D18" s="264"/>
      <c r="E18" s="265"/>
      <c r="F18" s="265"/>
      <c r="G18" s="265"/>
      <c r="I18" s="2" t="s">
        <v>84</v>
      </c>
      <c r="J18" s="23">
        <v>0</v>
      </c>
      <c r="Y18" s="5"/>
      <c r="Z18" s="5"/>
      <c r="BX18" s="5"/>
    </row>
    <row r="19" spans="1:76" ht="35.25" customHeight="1" x14ac:dyDescent="0.25">
      <c r="A19" s="34" t="s">
        <v>63</v>
      </c>
      <c r="B19" s="43">
        <f>IF(LARGE(G23:G241,1)*3&gt;=2424,LARGE(G23:G241,1)*3,2424)</f>
        <v>21723.844864267994</v>
      </c>
      <c r="C19" s="42" t="s">
        <v>64</v>
      </c>
      <c r="D19" s="43">
        <f>IF(K4=1,(B15-G19)*150%/0.7,IF(K4=2,(B15*150%/0.7),IF(AND((J4=1),(K4=2)),((B15*150%/0.7)-G19),((B15-G19)*150%/0.7))))</f>
        <v>642857.14285714284</v>
      </c>
      <c r="E19" s="44" t="s">
        <v>47</v>
      </c>
      <c r="F19" s="136">
        <v>0.2</v>
      </c>
      <c r="G19" s="175">
        <f>IF(K4=1,F19*B15,0)</f>
        <v>0</v>
      </c>
      <c r="I19" s="5"/>
      <c r="J19" s="23">
        <f>IF(I15=1,J16,IF(I15=2,J17,J18))</f>
        <v>0</v>
      </c>
      <c r="Y19" s="5"/>
      <c r="Z19" s="5"/>
      <c r="AO19" s="23"/>
      <c r="BX19" s="5"/>
    </row>
    <row r="20" spans="1:76" ht="30" customHeight="1" x14ac:dyDescent="0.25">
      <c r="A20" s="229" t="s">
        <v>36</v>
      </c>
      <c r="B20" s="230"/>
      <c r="C20" s="230"/>
      <c r="D20" s="230"/>
      <c r="E20" s="230"/>
      <c r="F20" s="230"/>
      <c r="G20" s="231"/>
      <c r="H20" s="27"/>
      <c r="I20" s="88">
        <f>IF(LARGE(G23:G241,1)*3&gt;=2424,LARGE(G23:G241,1)*3,2424)</f>
        <v>21723.844864267994</v>
      </c>
      <c r="J20" s="23">
        <f>IF(B15*0.5&lt;=J19,B15*F19,J19)</f>
        <v>0</v>
      </c>
      <c r="K20" s="95">
        <f>J20/B15</f>
        <v>0</v>
      </c>
    </row>
    <row r="21" spans="1:76" customFormat="1" ht="30" customHeight="1" x14ac:dyDescent="0.25">
      <c r="A21" s="45" t="s">
        <v>12</v>
      </c>
      <c r="B21" s="45" t="s">
        <v>15</v>
      </c>
      <c r="C21" s="45" t="s">
        <v>14</v>
      </c>
      <c r="D21" s="45" t="s">
        <v>86</v>
      </c>
      <c r="E21" s="46" t="s">
        <v>35</v>
      </c>
      <c r="F21" s="260" t="s">
        <v>13</v>
      </c>
      <c r="G21" s="46" t="s">
        <v>18</v>
      </c>
      <c r="H21" s="17"/>
      <c r="O21" s="93"/>
      <c r="P21" s="93"/>
      <c r="Q21" s="93"/>
      <c r="R21" s="93"/>
      <c r="S21" s="93"/>
      <c r="AO21" s="185"/>
    </row>
    <row r="22" spans="1:76" customFormat="1" ht="18.75" x14ac:dyDescent="0.25">
      <c r="A22" s="258" t="s">
        <v>60</v>
      </c>
      <c r="B22" s="259"/>
      <c r="C22" s="167">
        <f>SUM(C23:C242)</f>
        <v>47129.377599483967</v>
      </c>
      <c r="D22" s="167">
        <f>SUM(D23:D242)</f>
        <v>9342.4456070641227</v>
      </c>
      <c r="E22" s="167">
        <f>SUM(E23:E242)</f>
        <v>300000.00000000023</v>
      </c>
      <c r="F22" s="261"/>
      <c r="G22" s="167">
        <f>SUM(G23:G242)</f>
        <v>356471.82320654811</v>
      </c>
      <c r="H22" s="17"/>
      <c r="O22" s="93"/>
      <c r="P22" s="93"/>
      <c r="Q22" s="93"/>
      <c r="R22" s="93"/>
      <c r="S22" s="93"/>
    </row>
    <row r="23" spans="1:76" customFormat="1" ht="15" customHeight="1" x14ac:dyDescent="0.25">
      <c r="A23" s="68">
        <v>0</v>
      </c>
      <c r="B23" s="68"/>
      <c r="C23" s="65"/>
      <c r="D23" s="65"/>
      <c r="E23" s="66"/>
      <c r="F23" s="158">
        <f>IF(AND(U5=1,V5=1,W5=1),B15,IF(AND(U5=1,V5=1,W5=2),B15+G16,IF(AND(U5=1,V5=1,W5=3),B15,IF(AND(U5=1,V5=2,W5=1),B15+G17,IF(AND(U5=1,V5=2,W5=2),B15+G16+G17,IF(AND(U5=1,V5=2,W5=3),B15+G17,IF(AND(U5=2,V5=1,W5=1),B15+G15,IF(AND(U5=2,V5=1,W5=2),B15+G16+G15,IF(AND(U5=2,V5=1,W5=3),B15+G15,IF(AND(U5=2,V5=2,W5=1),B15+G15+G17,IF(AND(U5=2,V5=2,W5=2),B15+G16+G15+G17,IF(AND(U5=2,V5=2,W5=3),B15+G15+G17,))))))))))))</f>
        <v>300000</v>
      </c>
      <c r="G23" s="128"/>
      <c r="I23" s="10"/>
      <c r="M23" s="18"/>
      <c r="O23" s="93"/>
      <c r="P23" s="93"/>
      <c r="Q23" s="93"/>
      <c r="R23" s="93"/>
      <c r="S23" s="93"/>
      <c r="X23" s="249" t="s">
        <v>45</v>
      </c>
      <c r="Y23" s="249"/>
      <c r="Z23" s="249"/>
      <c r="AA23" s="249"/>
      <c r="AB23" s="249"/>
      <c r="AC23" s="249"/>
    </row>
    <row r="24" spans="1:76" customFormat="1" ht="15" customHeight="1" x14ac:dyDescent="0.25">
      <c r="A24" s="68">
        <f t="shared" ref="A24:A87" si="2">IF(A23&lt;B$17,A23+1,"")</f>
        <v>1</v>
      </c>
      <c r="B24" s="68" t="str">
        <f t="shared" ref="B24:B87" si="3">IF(A24="","",IF(A24&lt;=B$16,"carência","amortização"))</f>
        <v>carência</v>
      </c>
      <c r="C24" s="156">
        <f>IF(B24="","",((1+D$15))^(22/252)-1)*(F23+D24)</f>
        <v>1406.847092521911</v>
      </c>
      <c r="D24" s="156">
        <f>IF(B24="","",((1+D$16))^(22/252)-1)*(F23)</f>
        <v>278.87897334519795</v>
      </c>
      <c r="E24" s="162">
        <f t="shared" ref="E24:E87" si="4">IF(D24="","",IF(A24&lt;=B$16,0,F$23/(B$17-B$16)))</f>
        <v>0</v>
      </c>
      <c r="F24" s="156">
        <f t="shared" ref="F24:F87" si="5">IF(G24="","",F23-E24)</f>
        <v>300000</v>
      </c>
      <c r="G24" s="171">
        <f t="shared" ref="G24:G87" si="6">IF(E24="","",C24+D24+E24)</f>
        <v>1685.7260658671089</v>
      </c>
      <c r="H24" s="10"/>
      <c r="I24" s="10"/>
      <c r="M24" s="18"/>
      <c r="O24" s="93"/>
      <c r="P24" s="93"/>
      <c r="Q24" s="93"/>
      <c r="R24" s="93"/>
      <c r="S24" s="93"/>
      <c r="X24" s="249"/>
      <c r="Y24" s="249"/>
      <c r="Z24" s="249"/>
      <c r="AA24" s="249"/>
      <c r="AB24" s="249"/>
      <c r="AC24" s="249"/>
    </row>
    <row r="25" spans="1:76" customFormat="1" ht="15" customHeight="1" x14ac:dyDescent="0.25">
      <c r="A25" s="68">
        <f t="shared" si="2"/>
        <v>2</v>
      </c>
      <c r="B25" s="68" t="str">
        <f t="shared" si="3"/>
        <v>carência</v>
      </c>
      <c r="C25" s="156">
        <f>IF(B25="","",((1+D$15))^(22/252)-1)*(F24+D25)</f>
        <v>1406.847092521911</v>
      </c>
      <c r="D25" s="156">
        <f>IF(B25="","",((1+(D$16))^(22/252)-1)*(F24))</f>
        <v>278.87897334519795</v>
      </c>
      <c r="E25" s="162">
        <f t="shared" si="4"/>
        <v>0</v>
      </c>
      <c r="F25" s="156">
        <f t="shared" si="5"/>
        <v>300000</v>
      </c>
      <c r="G25" s="171">
        <f t="shared" si="6"/>
        <v>1685.7260658671089</v>
      </c>
      <c r="H25" s="10"/>
      <c r="M25" s="18"/>
      <c r="O25" s="93"/>
      <c r="P25" s="93"/>
      <c r="Q25" s="93"/>
      <c r="R25" s="93"/>
      <c r="S25" s="93"/>
      <c r="X25" t="s">
        <v>38</v>
      </c>
      <c r="Y25" s="19">
        <v>3.8E-3</v>
      </c>
      <c r="AA25" s="20">
        <f>Y27*Y25</f>
        <v>1140</v>
      </c>
      <c r="AB25" s="20">
        <f ca="1">AA25+AA26</f>
        <v>5520.1666666666615</v>
      </c>
    </row>
    <row r="26" spans="1:76" customFormat="1" ht="15" customHeight="1" x14ac:dyDescent="0.25">
      <c r="A26" s="68">
        <f t="shared" si="2"/>
        <v>3</v>
      </c>
      <c r="B26" s="68" t="str">
        <f t="shared" si="3"/>
        <v>carência</v>
      </c>
      <c r="C26" s="156">
        <f>IF(B26="","",((1+(D$15))^(22/252)-1)*(F25+D26))</f>
        <v>1406.847092521911</v>
      </c>
      <c r="D26" s="156">
        <f>IF(B26="","",((1+(D$16))^(22/252)-1)*(F25))</f>
        <v>278.87897334519795</v>
      </c>
      <c r="E26" s="162">
        <f t="shared" si="4"/>
        <v>0</v>
      </c>
      <c r="F26" s="156">
        <f t="shared" si="5"/>
        <v>300000</v>
      </c>
      <c r="G26" s="171">
        <f t="shared" si="6"/>
        <v>1685.7260658671089</v>
      </c>
      <c r="M26" s="18"/>
      <c r="O26" s="93"/>
      <c r="P26" s="93"/>
      <c r="Q26" s="93"/>
      <c r="R26" s="93"/>
      <c r="S26" s="93"/>
      <c r="X26" t="s">
        <v>46</v>
      </c>
      <c r="Y26" s="19">
        <v>4.1E-5</v>
      </c>
      <c r="AA26" s="10">
        <f ca="1">SUM(AA31:AA608)</f>
        <v>4380.1666666666615</v>
      </c>
      <c r="AC26" s="20"/>
    </row>
    <row r="27" spans="1:76" customFormat="1" ht="15" customHeight="1" x14ac:dyDescent="0.25">
      <c r="A27" s="68">
        <f t="shared" si="2"/>
        <v>4</v>
      </c>
      <c r="B27" s="68" t="str">
        <f t="shared" si="3"/>
        <v>carência</v>
      </c>
      <c r="C27" s="156">
        <f>IF(B27="","",((1+(D$15))^(22/252)-1)*(F26+D27))</f>
        <v>1406.847092521911</v>
      </c>
      <c r="D27" s="156">
        <f t="shared" ref="D27:D90" si="7">IF(B27="","",((1+(D$16))^(22/252)-1)*(F26))</f>
        <v>278.87897334519795</v>
      </c>
      <c r="E27" s="162">
        <f t="shared" si="4"/>
        <v>0</v>
      </c>
      <c r="F27" s="156">
        <f t="shared" si="5"/>
        <v>300000</v>
      </c>
      <c r="G27" s="171">
        <f t="shared" si="6"/>
        <v>1685.7260658671089</v>
      </c>
      <c r="M27" s="18"/>
      <c r="O27" s="93"/>
      <c r="P27" s="93"/>
      <c r="Q27" s="93"/>
      <c r="R27" s="93"/>
      <c r="S27" s="93"/>
      <c r="X27" t="s">
        <v>16</v>
      </c>
      <c r="Y27" s="10">
        <f>B15</f>
        <v>300000</v>
      </c>
    </row>
    <row r="28" spans="1:76" customFormat="1" ht="15" customHeight="1" x14ac:dyDescent="0.25">
      <c r="A28" s="68">
        <f t="shared" si="2"/>
        <v>5</v>
      </c>
      <c r="B28" s="68" t="str">
        <f t="shared" si="3"/>
        <v>carência</v>
      </c>
      <c r="C28" s="156">
        <f>IF(B28="","",((1+(D$15))^(22/252)-1)*(F27+D28))</f>
        <v>1406.847092521911</v>
      </c>
      <c r="D28" s="156">
        <f t="shared" si="7"/>
        <v>278.87897334519795</v>
      </c>
      <c r="E28" s="162">
        <f t="shared" si="4"/>
        <v>0</v>
      </c>
      <c r="F28" s="156">
        <f t="shared" si="5"/>
        <v>300000</v>
      </c>
      <c r="G28" s="171">
        <f t="shared" si="6"/>
        <v>1685.7260658671089</v>
      </c>
      <c r="M28" s="18"/>
      <c r="O28" s="93"/>
      <c r="P28" s="93"/>
      <c r="Q28" s="93"/>
      <c r="R28" s="93"/>
      <c r="S28" s="93"/>
    </row>
    <row r="29" spans="1:76" customFormat="1" x14ac:dyDescent="0.25">
      <c r="A29" s="68">
        <f t="shared" si="2"/>
        <v>6</v>
      </c>
      <c r="B29" s="68" t="str">
        <f t="shared" si="3"/>
        <v>carência</v>
      </c>
      <c r="C29" s="156">
        <f t="shared" ref="C29:C92" si="8">IF(B29="","",((1+(D$15))^(22/252)-1)*(F28+D29))</f>
        <v>1406.847092521911</v>
      </c>
      <c r="D29" s="156">
        <f t="shared" si="7"/>
        <v>278.87897334519795</v>
      </c>
      <c r="E29" s="162">
        <f t="shared" si="4"/>
        <v>0</v>
      </c>
      <c r="F29" s="156">
        <f t="shared" si="5"/>
        <v>300000</v>
      </c>
      <c r="G29" s="171">
        <f t="shared" si="6"/>
        <v>1685.7260658671089</v>
      </c>
      <c r="M29" s="18"/>
      <c r="O29" s="93"/>
      <c r="P29" s="93"/>
      <c r="Q29" s="93"/>
      <c r="R29" s="93"/>
      <c r="S29" s="93"/>
    </row>
    <row r="30" spans="1:76" customFormat="1" x14ac:dyDescent="0.25">
      <c r="A30" s="68">
        <f t="shared" si="2"/>
        <v>7</v>
      </c>
      <c r="B30" s="68" t="str">
        <f t="shared" si="3"/>
        <v>amortização</v>
      </c>
      <c r="C30" s="156">
        <f t="shared" si="8"/>
        <v>1406.847092521911</v>
      </c>
      <c r="D30" s="156">
        <f t="shared" si="7"/>
        <v>278.87897334519795</v>
      </c>
      <c r="E30" s="162">
        <f t="shared" si="4"/>
        <v>5555.5555555555557</v>
      </c>
      <c r="F30" s="156">
        <f t="shared" si="5"/>
        <v>294444.44444444444</v>
      </c>
      <c r="G30" s="171">
        <f t="shared" si="6"/>
        <v>7241.2816214226641</v>
      </c>
      <c r="J30" s="10">
        <f>G30</f>
        <v>7241.2816214226641</v>
      </c>
      <c r="M30" s="18"/>
      <c r="O30" s="93"/>
      <c r="P30" s="93"/>
      <c r="Q30" s="93"/>
      <c r="R30" s="93"/>
      <c r="S30" s="93"/>
      <c r="W30">
        <v>0</v>
      </c>
      <c r="X30" s="18">
        <f ca="1">D17</f>
        <v>46240</v>
      </c>
      <c r="Y30" s="1">
        <f t="shared" ref="Y30:Y93" ca="1" si="9">IF(X30="","",IF(W30&lt;=B$16,0,Y$27/(B$17-B$16)))</f>
        <v>0</v>
      </c>
    </row>
    <row r="31" spans="1:76" customFormat="1" x14ac:dyDescent="0.25">
      <c r="A31" s="68">
        <f t="shared" si="2"/>
        <v>8</v>
      </c>
      <c r="B31" s="68" t="str">
        <f t="shared" si="3"/>
        <v>amortização</v>
      </c>
      <c r="C31" s="156">
        <f t="shared" si="8"/>
        <v>1380.7943685863199</v>
      </c>
      <c r="D31" s="156">
        <f t="shared" si="7"/>
        <v>273.71454791287948</v>
      </c>
      <c r="E31" s="162">
        <f t="shared" si="4"/>
        <v>5555.5555555555557</v>
      </c>
      <c r="F31" s="156">
        <f t="shared" si="5"/>
        <v>288888.88888888888</v>
      </c>
      <c r="G31" s="171">
        <f t="shared" si="6"/>
        <v>7210.0644720547552</v>
      </c>
      <c r="M31" s="18"/>
      <c r="O31" s="93"/>
      <c r="P31" s="93"/>
      <c r="Q31" s="93"/>
      <c r="R31" s="93"/>
      <c r="S31" s="93"/>
      <c r="W31">
        <f>IF(W30&lt;B$17,W30+1,"")</f>
        <v>1</v>
      </c>
      <c r="X31" s="18">
        <f ca="1">IF(W31="","",X30+30)</f>
        <v>46270</v>
      </c>
      <c r="Y31" s="1">
        <f t="shared" ca="1" si="9"/>
        <v>0</v>
      </c>
      <c r="Z31">
        <f ca="1">IF(Y31="","",X31-X$30)</f>
        <v>30</v>
      </c>
      <c r="AA31" s="1">
        <f ca="1">IF(Z31="","",IF(Z31&lt;365,Z31*Y31*Y$26,365*Y31*Y$26))</f>
        <v>0</v>
      </c>
    </row>
    <row r="32" spans="1:76" customFormat="1" x14ac:dyDescent="0.25">
      <c r="A32" s="68">
        <f t="shared" si="2"/>
        <v>9</v>
      </c>
      <c r="B32" s="68" t="str">
        <f t="shared" si="3"/>
        <v>amortização</v>
      </c>
      <c r="C32" s="156">
        <f t="shared" si="8"/>
        <v>1354.7416446507289</v>
      </c>
      <c r="D32" s="156">
        <f t="shared" si="7"/>
        <v>268.55012248056096</v>
      </c>
      <c r="E32" s="162">
        <f t="shared" si="4"/>
        <v>5555.5555555555557</v>
      </c>
      <c r="F32" s="156">
        <f t="shared" si="5"/>
        <v>283333.33333333331</v>
      </c>
      <c r="G32" s="171">
        <f t="shared" si="6"/>
        <v>7178.8473226868455</v>
      </c>
      <c r="M32" s="18"/>
      <c r="O32" s="93"/>
      <c r="P32" s="93"/>
      <c r="Q32" s="93"/>
      <c r="R32" s="93"/>
      <c r="S32" s="93"/>
      <c r="W32">
        <f t="shared" ref="W32:W95" si="10">IF(W31&lt;B$17,W31+1,"")</f>
        <v>2</v>
      </c>
      <c r="X32" s="18">
        <f t="shared" ref="X32:X95" ca="1" si="11">IF(W32="","",X31+30)</f>
        <v>46300</v>
      </c>
      <c r="Y32" s="1">
        <f t="shared" ca="1" si="9"/>
        <v>0</v>
      </c>
      <c r="Z32">
        <f t="shared" ref="Z32:Z95" ca="1" si="12">IF(Y32="","",X32-X$30)</f>
        <v>60</v>
      </c>
      <c r="AA32" s="1">
        <f t="shared" ref="AA32:AA95" ca="1" si="13">IF(Z32="","",IF(Z32&lt;365,Z32*Y32*Y$26,365*Y32*Y$26))</f>
        <v>0</v>
      </c>
    </row>
    <row r="33" spans="1:27" customFormat="1" x14ac:dyDescent="0.25">
      <c r="A33" s="68">
        <f t="shared" si="2"/>
        <v>10</v>
      </c>
      <c r="B33" s="68" t="str">
        <f t="shared" si="3"/>
        <v>amortização</v>
      </c>
      <c r="C33" s="156">
        <f t="shared" si="8"/>
        <v>1328.6889207151378</v>
      </c>
      <c r="D33" s="156">
        <f t="shared" si="7"/>
        <v>263.38569704824249</v>
      </c>
      <c r="E33" s="162">
        <f t="shared" si="4"/>
        <v>5555.5555555555557</v>
      </c>
      <c r="F33" s="156">
        <f t="shared" si="5"/>
        <v>277777.77777777775</v>
      </c>
      <c r="G33" s="171">
        <f t="shared" si="6"/>
        <v>7147.6301733189357</v>
      </c>
      <c r="M33" s="18"/>
      <c r="O33" s="93"/>
      <c r="P33" s="93"/>
      <c r="Q33" s="93"/>
      <c r="R33" s="93"/>
      <c r="S33" s="93"/>
      <c r="W33">
        <f t="shared" si="10"/>
        <v>3</v>
      </c>
      <c r="X33" s="18">
        <f t="shared" ca="1" si="11"/>
        <v>46330</v>
      </c>
      <c r="Y33" s="1">
        <f t="shared" ca="1" si="9"/>
        <v>0</v>
      </c>
      <c r="Z33">
        <f t="shared" ca="1" si="12"/>
        <v>90</v>
      </c>
      <c r="AA33" s="1">
        <f t="shared" ca="1" si="13"/>
        <v>0</v>
      </c>
    </row>
    <row r="34" spans="1:27" customFormat="1" x14ac:dyDescent="0.25">
      <c r="A34" s="68">
        <f t="shared" si="2"/>
        <v>11</v>
      </c>
      <c r="B34" s="68" t="str">
        <f t="shared" si="3"/>
        <v>amortização</v>
      </c>
      <c r="C34" s="156">
        <f t="shared" si="8"/>
        <v>1302.6361967795469</v>
      </c>
      <c r="D34" s="156">
        <f t="shared" si="7"/>
        <v>258.22127161592402</v>
      </c>
      <c r="E34" s="162">
        <f t="shared" si="4"/>
        <v>5555.5555555555557</v>
      </c>
      <c r="F34" s="156">
        <f t="shared" si="5"/>
        <v>272222.22222222219</v>
      </c>
      <c r="G34" s="171">
        <f t="shared" si="6"/>
        <v>7116.4130239510268</v>
      </c>
      <c r="M34" s="18"/>
      <c r="O34" s="93"/>
      <c r="P34" s="93"/>
      <c r="Q34" s="93"/>
      <c r="R34" s="93"/>
      <c r="S34" s="93"/>
      <c r="W34">
        <f t="shared" si="10"/>
        <v>4</v>
      </c>
      <c r="X34" s="18">
        <f t="shared" ca="1" si="11"/>
        <v>46360</v>
      </c>
      <c r="Y34" s="1">
        <f t="shared" ca="1" si="9"/>
        <v>0</v>
      </c>
      <c r="Z34">
        <f t="shared" ca="1" si="12"/>
        <v>120</v>
      </c>
      <c r="AA34" s="1">
        <f t="shared" ca="1" si="13"/>
        <v>0</v>
      </c>
    </row>
    <row r="35" spans="1:27" customFormat="1" x14ac:dyDescent="0.25">
      <c r="A35" s="68">
        <f t="shared" si="2"/>
        <v>12</v>
      </c>
      <c r="B35" s="68" t="str">
        <f t="shared" si="3"/>
        <v>amortização</v>
      </c>
      <c r="C35" s="156">
        <f t="shared" si="8"/>
        <v>1276.5834728439561</v>
      </c>
      <c r="D35" s="156">
        <f t="shared" si="7"/>
        <v>253.05684618360553</v>
      </c>
      <c r="E35" s="162">
        <f t="shared" si="4"/>
        <v>5555.5555555555557</v>
      </c>
      <c r="F35" s="156">
        <f t="shared" si="5"/>
        <v>266666.66666666663</v>
      </c>
      <c r="G35" s="171">
        <f t="shared" si="6"/>
        <v>7085.1958745831171</v>
      </c>
      <c r="M35" s="18"/>
      <c r="O35" s="93"/>
      <c r="P35" s="93"/>
      <c r="Q35" s="93"/>
      <c r="R35" s="93"/>
      <c r="S35" s="93"/>
      <c r="W35">
        <f t="shared" si="10"/>
        <v>5</v>
      </c>
      <c r="X35" s="18">
        <f t="shared" ca="1" si="11"/>
        <v>46390</v>
      </c>
      <c r="Y35" s="1">
        <f t="shared" ca="1" si="9"/>
        <v>0</v>
      </c>
      <c r="Z35">
        <f t="shared" ca="1" si="12"/>
        <v>150</v>
      </c>
      <c r="AA35" s="1">
        <f t="shared" ca="1" si="13"/>
        <v>0</v>
      </c>
    </row>
    <row r="36" spans="1:27" customFormat="1" x14ac:dyDescent="0.25">
      <c r="A36" s="68">
        <f t="shared" si="2"/>
        <v>13</v>
      </c>
      <c r="B36" s="68" t="str">
        <f t="shared" si="3"/>
        <v>amortização</v>
      </c>
      <c r="C36" s="156">
        <f t="shared" si="8"/>
        <v>1250.530748908365</v>
      </c>
      <c r="D36" s="156">
        <f t="shared" si="7"/>
        <v>247.89242075128703</v>
      </c>
      <c r="E36" s="162">
        <f t="shared" si="4"/>
        <v>5555.5555555555557</v>
      </c>
      <c r="F36" s="156">
        <f t="shared" si="5"/>
        <v>261111.11111111107</v>
      </c>
      <c r="G36" s="171">
        <f t="shared" si="6"/>
        <v>7053.9787252152073</v>
      </c>
      <c r="M36" s="18"/>
      <c r="O36" s="93"/>
      <c r="P36" s="93"/>
      <c r="Q36" s="93"/>
      <c r="R36" s="93"/>
      <c r="S36" s="93"/>
      <c r="W36">
        <f t="shared" si="10"/>
        <v>6</v>
      </c>
      <c r="X36" s="18">
        <f t="shared" ca="1" si="11"/>
        <v>46420</v>
      </c>
      <c r="Y36" s="1">
        <f t="shared" ca="1" si="9"/>
        <v>0</v>
      </c>
      <c r="Z36">
        <f t="shared" ca="1" si="12"/>
        <v>180</v>
      </c>
      <c r="AA36" s="1">
        <f t="shared" ca="1" si="13"/>
        <v>0</v>
      </c>
    </row>
    <row r="37" spans="1:27" customFormat="1" x14ac:dyDescent="0.25">
      <c r="A37" s="68">
        <f t="shared" si="2"/>
        <v>14</v>
      </c>
      <c r="B37" s="68" t="str">
        <f t="shared" si="3"/>
        <v>amortização</v>
      </c>
      <c r="C37" s="156">
        <f t="shared" si="8"/>
        <v>1224.4780249727742</v>
      </c>
      <c r="D37" s="156">
        <f t="shared" si="7"/>
        <v>242.72799531896854</v>
      </c>
      <c r="E37" s="162">
        <f t="shared" si="4"/>
        <v>5555.5555555555557</v>
      </c>
      <c r="F37" s="156">
        <f t="shared" si="5"/>
        <v>255555.5555555555</v>
      </c>
      <c r="G37" s="171">
        <f t="shared" si="6"/>
        <v>7022.7615758472984</v>
      </c>
      <c r="M37" s="18"/>
      <c r="O37" s="93"/>
      <c r="P37" s="93"/>
      <c r="Q37" s="93"/>
      <c r="R37" s="93"/>
      <c r="S37" s="93"/>
      <c r="W37">
        <f t="shared" si="10"/>
        <v>7</v>
      </c>
      <c r="X37" s="18">
        <f t="shared" ca="1" si="11"/>
        <v>46450</v>
      </c>
      <c r="Y37" s="1">
        <f t="shared" ca="1" si="9"/>
        <v>5555.5555555555557</v>
      </c>
      <c r="Z37">
        <f t="shared" ca="1" si="12"/>
        <v>210</v>
      </c>
      <c r="AA37" s="1">
        <f t="shared" ca="1" si="13"/>
        <v>47.833333333333336</v>
      </c>
    </row>
    <row r="38" spans="1:27" customFormat="1" x14ac:dyDescent="0.25">
      <c r="A38" s="68">
        <f t="shared" si="2"/>
        <v>15</v>
      </c>
      <c r="B38" s="68" t="str">
        <f t="shared" si="3"/>
        <v>amortização</v>
      </c>
      <c r="C38" s="156">
        <f t="shared" si="8"/>
        <v>1198.4253010371831</v>
      </c>
      <c r="D38" s="156">
        <f t="shared" si="7"/>
        <v>237.56356988665007</v>
      </c>
      <c r="E38" s="162">
        <f t="shared" si="4"/>
        <v>5555.5555555555557</v>
      </c>
      <c r="F38" s="156">
        <f t="shared" si="5"/>
        <v>249999.99999999994</v>
      </c>
      <c r="G38" s="171">
        <f t="shared" si="6"/>
        <v>6991.5444264793887</v>
      </c>
      <c r="M38" s="18"/>
      <c r="O38" s="93"/>
      <c r="P38" s="93"/>
      <c r="Q38" s="93"/>
      <c r="R38" s="93"/>
      <c r="S38" s="93"/>
      <c r="W38">
        <f t="shared" si="10"/>
        <v>8</v>
      </c>
      <c r="X38" s="18">
        <f t="shared" ca="1" si="11"/>
        <v>46480</v>
      </c>
      <c r="Y38" s="1">
        <f t="shared" ca="1" si="9"/>
        <v>5555.5555555555557</v>
      </c>
      <c r="Z38">
        <f t="shared" ca="1" si="12"/>
        <v>240</v>
      </c>
      <c r="AA38" s="1">
        <f t="shared" ca="1" si="13"/>
        <v>54.666666666666664</v>
      </c>
    </row>
    <row r="39" spans="1:27" customFormat="1" x14ac:dyDescent="0.25">
      <c r="A39" s="68">
        <f t="shared" si="2"/>
        <v>16</v>
      </c>
      <c r="B39" s="68" t="str">
        <f t="shared" si="3"/>
        <v>amortização</v>
      </c>
      <c r="C39" s="156">
        <f t="shared" si="8"/>
        <v>1172.372577101592</v>
      </c>
      <c r="D39" s="156">
        <f t="shared" si="7"/>
        <v>232.39914445433158</v>
      </c>
      <c r="E39" s="162">
        <f t="shared" si="4"/>
        <v>5555.5555555555557</v>
      </c>
      <c r="F39" s="156">
        <f t="shared" si="5"/>
        <v>244444.44444444438</v>
      </c>
      <c r="G39" s="171">
        <f t="shared" si="6"/>
        <v>6960.3272771114789</v>
      </c>
      <c r="M39" s="18"/>
      <c r="O39" s="93"/>
      <c r="P39" s="93"/>
      <c r="Q39" s="93"/>
      <c r="R39" s="93"/>
      <c r="S39" s="93"/>
      <c r="W39">
        <f t="shared" si="10"/>
        <v>9</v>
      </c>
      <c r="X39" s="18">
        <f t="shared" ca="1" si="11"/>
        <v>46510</v>
      </c>
      <c r="Y39" s="1">
        <f t="shared" ca="1" si="9"/>
        <v>5555.5555555555557</v>
      </c>
      <c r="Z39">
        <f t="shared" ca="1" si="12"/>
        <v>270</v>
      </c>
      <c r="AA39" s="1">
        <f t="shared" ca="1" si="13"/>
        <v>61.5</v>
      </c>
    </row>
    <row r="40" spans="1:27" customFormat="1" x14ac:dyDescent="0.25">
      <c r="A40" s="68">
        <f t="shared" si="2"/>
        <v>17</v>
      </c>
      <c r="B40" s="68" t="str">
        <f t="shared" si="3"/>
        <v>amortização</v>
      </c>
      <c r="C40" s="156">
        <f t="shared" si="8"/>
        <v>1146.3198531660012</v>
      </c>
      <c r="D40" s="156">
        <f t="shared" si="7"/>
        <v>227.23471902201308</v>
      </c>
      <c r="E40" s="162">
        <f t="shared" si="4"/>
        <v>5555.5555555555557</v>
      </c>
      <c r="F40" s="156">
        <f t="shared" si="5"/>
        <v>238888.88888888882</v>
      </c>
      <c r="G40" s="171">
        <f t="shared" si="6"/>
        <v>6929.11012774357</v>
      </c>
      <c r="M40" s="18"/>
      <c r="O40" s="93"/>
      <c r="P40" s="93"/>
      <c r="Q40" s="93"/>
      <c r="R40" s="93"/>
      <c r="S40" s="93"/>
      <c r="W40">
        <f t="shared" si="10"/>
        <v>10</v>
      </c>
      <c r="X40" s="18">
        <f t="shared" ca="1" si="11"/>
        <v>46540</v>
      </c>
      <c r="Y40" s="1">
        <f t="shared" ca="1" si="9"/>
        <v>5555.5555555555557</v>
      </c>
      <c r="Z40">
        <f t="shared" ca="1" si="12"/>
        <v>300</v>
      </c>
      <c r="AA40" s="1">
        <f t="shared" ca="1" si="13"/>
        <v>68.333333333333343</v>
      </c>
    </row>
    <row r="41" spans="1:27" customFormat="1" x14ac:dyDescent="0.25">
      <c r="A41" s="68">
        <f t="shared" si="2"/>
        <v>18</v>
      </c>
      <c r="B41" s="68" t="str">
        <f t="shared" si="3"/>
        <v>amortização</v>
      </c>
      <c r="C41" s="156">
        <f t="shared" si="8"/>
        <v>1120.2671292304101</v>
      </c>
      <c r="D41" s="156">
        <f t="shared" si="7"/>
        <v>222.07029358969461</v>
      </c>
      <c r="E41" s="162">
        <f t="shared" si="4"/>
        <v>5555.5555555555557</v>
      </c>
      <c r="F41" s="156">
        <f t="shared" si="5"/>
        <v>233333.33333333326</v>
      </c>
      <c r="G41" s="171">
        <f t="shared" si="6"/>
        <v>6897.8929783756603</v>
      </c>
      <c r="M41" s="18"/>
      <c r="O41" s="93"/>
      <c r="P41" s="93"/>
      <c r="Q41" s="93"/>
      <c r="R41" s="93"/>
      <c r="S41" s="93"/>
      <c r="W41">
        <f t="shared" si="10"/>
        <v>11</v>
      </c>
      <c r="X41" s="18">
        <f t="shared" ca="1" si="11"/>
        <v>46570</v>
      </c>
      <c r="Y41" s="1">
        <f t="shared" ca="1" si="9"/>
        <v>5555.5555555555557</v>
      </c>
      <c r="Z41">
        <f t="shared" ca="1" si="12"/>
        <v>330</v>
      </c>
      <c r="AA41" s="1">
        <f t="shared" ca="1" si="13"/>
        <v>75.166666666666671</v>
      </c>
    </row>
    <row r="42" spans="1:27" customFormat="1" x14ac:dyDescent="0.25">
      <c r="A42" s="68">
        <f t="shared" si="2"/>
        <v>19</v>
      </c>
      <c r="B42" s="68" t="str">
        <f t="shared" si="3"/>
        <v>amortização</v>
      </c>
      <c r="C42" s="156">
        <f t="shared" si="8"/>
        <v>1094.2144052948192</v>
      </c>
      <c r="D42" s="156">
        <f t="shared" si="7"/>
        <v>216.90586815737612</v>
      </c>
      <c r="E42" s="162">
        <f t="shared" si="4"/>
        <v>5555.5555555555557</v>
      </c>
      <c r="F42" s="156">
        <f t="shared" si="5"/>
        <v>227777.77777777769</v>
      </c>
      <c r="G42" s="171">
        <f t="shared" si="6"/>
        <v>6866.6758290077505</v>
      </c>
      <c r="M42" s="18"/>
      <c r="O42" s="93"/>
      <c r="P42" s="93"/>
      <c r="Q42" s="93"/>
      <c r="R42" s="93"/>
      <c r="S42" s="93"/>
      <c r="W42">
        <f t="shared" si="10"/>
        <v>12</v>
      </c>
      <c r="X42" s="18">
        <f t="shared" ca="1" si="11"/>
        <v>46600</v>
      </c>
      <c r="Y42" s="1">
        <f t="shared" ca="1" si="9"/>
        <v>5555.5555555555557</v>
      </c>
      <c r="Z42">
        <f t="shared" ca="1" si="12"/>
        <v>360</v>
      </c>
      <c r="AA42" s="1">
        <f t="shared" ca="1" si="13"/>
        <v>82</v>
      </c>
    </row>
    <row r="43" spans="1:27" customFormat="1" x14ac:dyDescent="0.25">
      <c r="A43" s="68">
        <f t="shared" si="2"/>
        <v>20</v>
      </c>
      <c r="B43" s="68" t="str">
        <f t="shared" si="3"/>
        <v>amortização</v>
      </c>
      <c r="C43" s="156">
        <f t="shared" si="8"/>
        <v>1068.1616813592282</v>
      </c>
      <c r="D43" s="156">
        <f t="shared" si="7"/>
        <v>211.74144272505762</v>
      </c>
      <c r="E43" s="162">
        <f t="shared" si="4"/>
        <v>5555.5555555555557</v>
      </c>
      <c r="F43" s="156">
        <f t="shared" si="5"/>
        <v>222222.22222222213</v>
      </c>
      <c r="G43" s="171">
        <f t="shared" si="6"/>
        <v>6835.4586796398416</v>
      </c>
      <c r="M43" s="18"/>
      <c r="O43" s="93"/>
      <c r="P43" s="93"/>
      <c r="Q43" s="93"/>
      <c r="R43" s="93"/>
      <c r="S43" s="93"/>
      <c r="W43">
        <f t="shared" si="10"/>
        <v>13</v>
      </c>
      <c r="X43" s="18">
        <f t="shared" ca="1" si="11"/>
        <v>46630</v>
      </c>
      <c r="Y43" s="1">
        <f t="shared" ca="1" si="9"/>
        <v>5555.5555555555557</v>
      </c>
      <c r="Z43">
        <f t="shared" ca="1" si="12"/>
        <v>390</v>
      </c>
      <c r="AA43" s="1">
        <f t="shared" ca="1" si="13"/>
        <v>83.138888888888886</v>
      </c>
    </row>
    <row r="44" spans="1:27" customFormat="1" x14ac:dyDescent="0.25">
      <c r="A44" s="68">
        <f t="shared" si="2"/>
        <v>21</v>
      </c>
      <c r="B44" s="68" t="str">
        <f t="shared" si="3"/>
        <v>amortização</v>
      </c>
      <c r="C44" s="156">
        <f t="shared" si="8"/>
        <v>1042.1089574236371</v>
      </c>
      <c r="D44" s="156">
        <f t="shared" si="7"/>
        <v>206.57701729273913</v>
      </c>
      <c r="E44" s="162">
        <f t="shared" si="4"/>
        <v>5555.5555555555557</v>
      </c>
      <c r="F44" s="156">
        <f t="shared" si="5"/>
        <v>216666.66666666657</v>
      </c>
      <c r="G44" s="171">
        <f t="shared" si="6"/>
        <v>6804.2415302719319</v>
      </c>
      <c r="M44" s="18"/>
      <c r="O44" s="93"/>
      <c r="P44" s="93"/>
      <c r="Q44" s="93"/>
      <c r="R44" s="93"/>
      <c r="S44" s="93"/>
      <c r="W44">
        <f t="shared" si="10"/>
        <v>14</v>
      </c>
      <c r="X44" s="18">
        <f t="shared" ca="1" si="11"/>
        <v>46660</v>
      </c>
      <c r="Y44" s="1">
        <f t="shared" ca="1" si="9"/>
        <v>5555.5555555555557</v>
      </c>
      <c r="Z44">
        <f t="shared" ca="1" si="12"/>
        <v>420</v>
      </c>
      <c r="AA44" s="1">
        <f t="shared" ca="1" si="13"/>
        <v>83.138888888888886</v>
      </c>
    </row>
    <row r="45" spans="1:27" customFormat="1" x14ac:dyDescent="0.25">
      <c r="A45" s="68">
        <f t="shared" si="2"/>
        <v>22</v>
      </c>
      <c r="B45" s="68" t="str">
        <f t="shared" si="3"/>
        <v>amortização</v>
      </c>
      <c r="C45" s="156">
        <f t="shared" si="8"/>
        <v>1016.0562334880462</v>
      </c>
      <c r="D45" s="156">
        <f t="shared" si="7"/>
        <v>201.41259186042066</v>
      </c>
      <c r="E45" s="162">
        <f t="shared" si="4"/>
        <v>5555.5555555555557</v>
      </c>
      <c r="F45" s="156">
        <f t="shared" si="5"/>
        <v>211111.11111111101</v>
      </c>
      <c r="G45" s="171">
        <f t="shared" si="6"/>
        <v>6773.0243809040221</v>
      </c>
      <c r="M45" s="18"/>
      <c r="O45" s="93"/>
      <c r="P45" s="93"/>
      <c r="Q45" s="93"/>
      <c r="R45" s="93"/>
      <c r="S45" s="93"/>
      <c r="W45">
        <f t="shared" si="10"/>
        <v>15</v>
      </c>
      <c r="X45" s="18">
        <f t="shared" ca="1" si="11"/>
        <v>46690</v>
      </c>
      <c r="Y45" s="1">
        <f t="shared" ca="1" si="9"/>
        <v>5555.5555555555557</v>
      </c>
      <c r="Z45">
        <f t="shared" ca="1" si="12"/>
        <v>450</v>
      </c>
      <c r="AA45" s="1">
        <f t="shared" ca="1" si="13"/>
        <v>83.138888888888886</v>
      </c>
    </row>
    <row r="46" spans="1:27" customFormat="1" x14ac:dyDescent="0.25">
      <c r="A46" s="68">
        <f t="shared" si="2"/>
        <v>23</v>
      </c>
      <c r="B46" s="68" t="str">
        <f t="shared" si="3"/>
        <v>amortização</v>
      </c>
      <c r="C46" s="156">
        <f t="shared" si="8"/>
        <v>990.00350955245528</v>
      </c>
      <c r="D46" s="156">
        <f t="shared" si="7"/>
        <v>196.24816642810217</v>
      </c>
      <c r="E46" s="162">
        <f t="shared" si="4"/>
        <v>5555.5555555555557</v>
      </c>
      <c r="F46" s="156">
        <f t="shared" si="5"/>
        <v>205555.55555555545</v>
      </c>
      <c r="G46" s="171">
        <f t="shared" si="6"/>
        <v>6741.8072315361132</v>
      </c>
      <c r="M46" s="18"/>
      <c r="O46" s="93"/>
      <c r="P46" s="93"/>
      <c r="Q46" s="93"/>
      <c r="R46" s="93"/>
      <c r="S46" s="93"/>
      <c r="W46">
        <f t="shared" si="10"/>
        <v>16</v>
      </c>
      <c r="X46" s="18">
        <f t="shared" ca="1" si="11"/>
        <v>46720</v>
      </c>
      <c r="Y46" s="1">
        <f t="shared" ca="1" si="9"/>
        <v>5555.5555555555557</v>
      </c>
      <c r="Z46">
        <f t="shared" ca="1" si="12"/>
        <v>480</v>
      </c>
      <c r="AA46" s="1">
        <f t="shared" ca="1" si="13"/>
        <v>83.138888888888886</v>
      </c>
    </row>
    <row r="47" spans="1:27" customFormat="1" x14ac:dyDescent="0.25">
      <c r="A47" s="68">
        <f t="shared" si="2"/>
        <v>24</v>
      </c>
      <c r="B47" s="68" t="str">
        <f t="shared" si="3"/>
        <v>amortização</v>
      </c>
      <c r="C47" s="156">
        <f t="shared" si="8"/>
        <v>963.95078561686432</v>
      </c>
      <c r="D47" s="156">
        <f t="shared" si="7"/>
        <v>191.08374099578367</v>
      </c>
      <c r="E47" s="162">
        <f t="shared" si="4"/>
        <v>5555.5555555555557</v>
      </c>
      <c r="F47" s="156">
        <f t="shared" si="5"/>
        <v>199999.99999999988</v>
      </c>
      <c r="G47" s="171">
        <f t="shared" si="6"/>
        <v>6710.5900821682035</v>
      </c>
      <c r="M47" s="18"/>
      <c r="O47" s="93"/>
      <c r="P47" s="93"/>
      <c r="Q47" s="93"/>
      <c r="R47" s="93"/>
      <c r="S47" s="93"/>
      <c r="W47">
        <f t="shared" si="10"/>
        <v>17</v>
      </c>
      <c r="X47" s="18">
        <f t="shared" ca="1" si="11"/>
        <v>46750</v>
      </c>
      <c r="Y47" s="1">
        <f t="shared" ca="1" si="9"/>
        <v>5555.5555555555557</v>
      </c>
      <c r="Z47">
        <f t="shared" ca="1" si="12"/>
        <v>510</v>
      </c>
      <c r="AA47" s="1">
        <f t="shared" ca="1" si="13"/>
        <v>83.138888888888886</v>
      </c>
    </row>
    <row r="48" spans="1:27" customFormat="1" x14ac:dyDescent="0.25">
      <c r="A48" s="68">
        <f t="shared" si="2"/>
        <v>25</v>
      </c>
      <c r="B48" s="68" t="str">
        <f t="shared" si="3"/>
        <v>amortização</v>
      </c>
      <c r="C48" s="156">
        <f t="shared" si="8"/>
        <v>937.89806168127336</v>
      </c>
      <c r="D48" s="156">
        <f t="shared" si="7"/>
        <v>185.9193155634652</v>
      </c>
      <c r="E48" s="162">
        <f t="shared" si="4"/>
        <v>5555.5555555555557</v>
      </c>
      <c r="F48" s="156">
        <f t="shared" si="5"/>
        <v>194444.44444444432</v>
      </c>
      <c r="G48" s="171">
        <f t="shared" si="6"/>
        <v>6679.3729328002937</v>
      </c>
      <c r="M48" s="18"/>
      <c r="O48" s="93"/>
      <c r="P48" s="93"/>
      <c r="Q48" s="93"/>
      <c r="R48" s="93"/>
      <c r="S48" s="93"/>
      <c r="W48">
        <f t="shared" si="10"/>
        <v>18</v>
      </c>
      <c r="X48" s="18">
        <f t="shared" ca="1" si="11"/>
        <v>46780</v>
      </c>
      <c r="Y48" s="1">
        <f t="shared" ca="1" si="9"/>
        <v>5555.5555555555557</v>
      </c>
      <c r="Z48">
        <f t="shared" ca="1" si="12"/>
        <v>540</v>
      </c>
      <c r="AA48" s="1">
        <f t="shared" ca="1" si="13"/>
        <v>83.138888888888886</v>
      </c>
    </row>
    <row r="49" spans="1:27" customFormat="1" x14ac:dyDescent="0.25">
      <c r="A49" s="68">
        <f t="shared" si="2"/>
        <v>26</v>
      </c>
      <c r="B49" s="68" t="str">
        <f t="shared" si="3"/>
        <v>amortização</v>
      </c>
      <c r="C49" s="156">
        <f t="shared" si="8"/>
        <v>911.8453377456824</v>
      </c>
      <c r="D49" s="156">
        <f t="shared" si="7"/>
        <v>180.75489013114671</v>
      </c>
      <c r="E49" s="162">
        <f t="shared" si="4"/>
        <v>5555.5555555555557</v>
      </c>
      <c r="F49" s="156">
        <f t="shared" si="5"/>
        <v>188888.88888888876</v>
      </c>
      <c r="G49" s="171">
        <f t="shared" si="6"/>
        <v>6648.1557834323849</v>
      </c>
      <c r="M49" s="18"/>
      <c r="O49" s="93"/>
      <c r="P49" s="93"/>
      <c r="Q49" s="93"/>
      <c r="R49" s="93"/>
      <c r="S49" s="93"/>
      <c r="W49">
        <f t="shared" si="10"/>
        <v>19</v>
      </c>
      <c r="X49" s="18">
        <f t="shared" ca="1" si="11"/>
        <v>46810</v>
      </c>
      <c r="Y49" s="1">
        <f t="shared" ca="1" si="9"/>
        <v>5555.5555555555557</v>
      </c>
      <c r="Z49">
        <f t="shared" ca="1" si="12"/>
        <v>570</v>
      </c>
      <c r="AA49" s="1">
        <f t="shared" ca="1" si="13"/>
        <v>83.138888888888886</v>
      </c>
    </row>
    <row r="50" spans="1:27" customFormat="1" x14ac:dyDescent="0.25">
      <c r="A50" s="68">
        <f t="shared" si="2"/>
        <v>27</v>
      </c>
      <c r="B50" s="68" t="str">
        <f t="shared" si="3"/>
        <v>amortização</v>
      </c>
      <c r="C50" s="156">
        <f t="shared" si="8"/>
        <v>885.79261381009132</v>
      </c>
      <c r="D50" s="156">
        <f t="shared" si="7"/>
        <v>175.59046469882821</v>
      </c>
      <c r="E50" s="162">
        <f t="shared" si="4"/>
        <v>5555.5555555555557</v>
      </c>
      <c r="F50" s="156">
        <f t="shared" si="5"/>
        <v>183333.3333333332</v>
      </c>
      <c r="G50" s="171">
        <f t="shared" si="6"/>
        <v>6616.9386340644751</v>
      </c>
      <c r="M50" s="18"/>
      <c r="O50" s="93"/>
      <c r="P50" s="93"/>
      <c r="Q50" s="93"/>
      <c r="R50" s="93"/>
      <c r="S50" s="93"/>
      <c r="W50">
        <f t="shared" si="10"/>
        <v>20</v>
      </c>
      <c r="X50" s="18">
        <f t="shared" ca="1" si="11"/>
        <v>46840</v>
      </c>
      <c r="Y50" s="1">
        <f t="shared" ca="1" si="9"/>
        <v>5555.5555555555557</v>
      </c>
      <c r="Z50">
        <f t="shared" ca="1" si="12"/>
        <v>600</v>
      </c>
      <c r="AA50" s="1">
        <f t="shared" ca="1" si="13"/>
        <v>83.138888888888886</v>
      </c>
    </row>
    <row r="51" spans="1:27" customFormat="1" x14ac:dyDescent="0.25">
      <c r="A51" s="68">
        <f t="shared" si="2"/>
        <v>28</v>
      </c>
      <c r="B51" s="68" t="str">
        <f t="shared" si="3"/>
        <v>amortização</v>
      </c>
      <c r="C51" s="156">
        <f t="shared" si="8"/>
        <v>859.73988987450048</v>
      </c>
      <c r="D51" s="156">
        <f t="shared" si="7"/>
        <v>170.42603926650975</v>
      </c>
      <c r="E51" s="162">
        <f t="shared" si="4"/>
        <v>5555.5555555555557</v>
      </c>
      <c r="F51" s="156">
        <f t="shared" si="5"/>
        <v>177777.77777777764</v>
      </c>
      <c r="G51" s="171">
        <f t="shared" si="6"/>
        <v>6585.7214846965653</v>
      </c>
      <c r="M51" s="18"/>
      <c r="O51" s="93"/>
      <c r="P51" s="93"/>
      <c r="Q51" s="93"/>
      <c r="R51" s="93"/>
      <c r="S51" s="93"/>
      <c r="W51">
        <f t="shared" si="10"/>
        <v>21</v>
      </c>
      <c r="X51" s="18">
        <f t="shared" ca="1" si="11"/>
        <v>46870</v>
      </c>
      <c r="Y51" s="1">
        <f t="shared" ca="1" si="9"/>
        <v>5555.5555555555557</v>
      </c>
      <c r="Z51">
        <f t="shared" ca="1" si="12"/>
        <v>630</v>
      </c>
      <c r="AA51" s="1">
        <f t="shared" ca="1" si="13"/>
        <v>83.138888888888886</v>
      </c>
    </row>
    <row r="52" spans="1:27" customFormat="1" x14ac:dyDescent="0.25">
      <c r="A52" s="68">
        <f t="shared" si="2"/>
        <v>29</v>
      </c>
      <c r="B52" s="68" t="str">
        <f t="shared" si="3"/>
        <v>amortização</v>
      </c>
      <c r="C52" s="156">
        <f t="shared" si="8"/>
        <v>833.6871659389094</v>
      </c>
      <c r="D52" s="156">
        <f t="shared" si="7"/>
        <v>165.26161383419125</v>
      </c>
      <c r="E52" s="162">
        <f t="shared" si="4"/>
        <v>5555.5555555555557</v>
      </c>
      <c r="F52" s="156">
        <f t="shared" si="5"/>
        <v>172222.22222222207</v>
      </c>
      <c r="G52" s="171">
        <f t="shared" si="6"/>
        <v>6554.5043353286565</v>
      </c>
      <c r="M52" s="18"/>
      <c r="O52" s="93"/>
      <c r="P52" s="93"/>
      <c r="Q52" s="93"/>
      <c r="R52" s="93"/>
      <c r="S52" s="93"/>
      <c r="W52">
        <f t="shared" si="10"/>
        <v>22</v>
      </c>
      <c r="X52" s="18">
        <f t="shared" ca="1" si="11"/>
        <v>46900</v>
      </c>
      <c r="Y52" s="1">
        <f t="shared" ca="1" si="9"/>
        <v>5555.5555555555557</v>
      </c>
      <c r="Z52">
        <f t="shared" ca="1" si="12"/>
        <v>660</v>
      </c>
      <c r="AA52" s="1">
        <f t="shared" ca="1" si="13"/>
        <v>83.138888888888886</v>
      </c>
    </row>
    <row r="53" spans="1:27" customFormat="1" x14ac:dyDescent="0.25">
      <c r="A53" s="68">
        <f t="shared" si="2"/>
        <v>30</v>
      </c>
      <c r="B53" s="68" t="str">
        <f t="shared" si="3"/>
        <v>amortização</v>
      </c>
      <c r="C53" s="156">
        <f t="shared" si="8"/>
        <v>807.63444200331855</v>
      </c>
      <c r="D53" s="156">
        <f t="shared" si="7"/>
        <v>160.09718840187276</v>
      </c>
      <c r="E53" s="162">
        <f t="shared" si="4"/>
        <v>5555.5555555555557</v>
      </c>
      <c r="F53" s="156">
        <f t="shared" si="5"/>
        <v>166666.66666666651</v>
      </c>
      <c r="G53" s="171">
        <f t="shared" si="6"/>
        <v>6523.2871859607467</v>
      </c>
      <c r="M53" s="18"/>
      <c r="O53" s="93"/>
      <c r="P53" s="93"/>
      <c r="Q53" s="93"/>
      <c r="R53" s="93"/>
      <c r="S53" s="93"/>
      <c r="W53">
        <f t="shared" si="10"/>
        <v>23</v>
      </c>
      <c r="X53" s="18">
        <f t="shared" ca="1" si="11"/>
        <v>46930</v>
      </c>
      <c r="Y53" s="1">
        <f t="shared" ca="1" si="9"/>
        <v>5555.5555555555557</v>
      </c>
      <c r="Z53">
        <f t="shared" ca="1" si="12"/>
        <v>690</v>
      </c>
      <c r="AA53" s="1">
        <f t="shared" ca="1" si="13"/>
        <v>83.138888888888886</v>
      </c>
    </row>
    <row r="54" spans="1:27" customFormat="1" x14ac:dyDescent="0.25">
      <c r="A54" s="68">
        <f t="shared" si="2"/>
        <v>31</v>
      </c>
      <c r="B54" s="68" t="str">
        <f t="shared" si="3"/>
        <v>amortização</v>
      </c>
      <c r="C54" s="156">
        <f t="shared" si="8"/>
        <v>781.58171806772748</v>
      </c>
      <c r="D54" s="156">
        <f t="shared" si="7"/>
        <v>154.93276296955429</v>
      </c>
      <c r="E54" s="162">
        <f t="shared" si="4"/>
        <v>5555.5555555555557</v>
      </c>
      <c r="F54" s="156">
        <f t="shared" si="5"/>
        <v>161111.11111111095</v>
      </c>
      <c r="G54" s="171">
        <f t="shared" si="6"/>
        <v>6492.0700365928369</v>
      </c>
      <c r="M54" s="18"/>
      <c r="O54" s="93"/>
      <c r="P54" s="93"/>
      <c r="Q54" s="93"/>
      <c r="R54" s="93"/>
      <c r="S54" s="93"/>
      <c r="W54">
        <f t="shared" si="10"/>
        <v>24</v>
      </c>
      <c r="X54" s="18">
        <f t="shared" ca="1" si="11"/>
        <v>46960</v>
      </c>
      <c r="Y54" s="1">
        <f t="shared" ca="1" si="9"/>
        <v>5555.5555555555557</v>
      </c>
      <c r="Z54">
        <f t="shared" ca="1" si="12"/>
        <v>720</v>
      </c>
      <c r="AA54" s="1">
        <f t="shared" ca="1" si="13"/>
        <v>83.138888888888886</v>
      </c>
    </row>
    <row r="55" spans="1:27" customFormat="1" x14ac:dyDescent="0.25">
      <c r="A55" s="68">
        <f t="shared" si="2"/>
        <v>32</v>
      </c>
      <c r="B55" s="68" t="str">
        <f t="shared" si="3"/>
        <v>amortização</v>
      </c>
      <c r="C55" s="156">
        <f t="shared" si="8"/>
        <v>755.52899413213663</v>
      </c>
      <c r="D55" s="156">
        <f t="shared" si="7"/>
        <v>149.76833753723579</v>
      </c>
      <c r="E55" s="162">
        <f t="shared" si="4"/>
        <v>5555.5555555555557</v>
      </c>
      <c r="F55" s="156">
        <f t="shared" si="5"/>
        <v>155555.55555555539</v>
      </c>
      <c r="G55" s="171">
        <f t="shared" si="6"/>
        <v>6460.8528872249281</v>
      </c>
      <c r="M55" s="18"/>
      <c r="O55" s="93"/>
      <c r="P55" s="93"/>
      <c r="Q55" s="93"/>
      <c r="R55" s="93"/>
      <c r="S55" s="93"/>
      <c r="W55">
        <f t="shared" si="10"/>
        <v>25</v>
      </c>
      <c r="X55" s="18">
        <f t="shared" ca="1" si="11"/>
        <v>46990</v>
      </c>
      <c r="Y55" s="1">
        <f t="shared" ca="1" si="9"/>
        <v>5555.5555555555557</v>
      </c>
      <c r="Z55">
        <f t="shared" ca="1" si="12"/>
        <v>750</v>
      </c>
      <c r="AA55" s="1">
        <f t="shared" ca="1" si="13"/>
        <v>83.138888888888886</v>
      </c>
    </row>
    <row r="56" spans="1:27" customFormat="1" x14ac:dyDescent="0.25">
      <c r="A56" s="68">
        <f t="shared" si="2"/>
        <v>33</v>
      </c>
      <c r="B56" s="68" t="str">
        <f t="shared" si="3"/>
        <v>amortização</v>
      </c>
      <c r="C56" s="156">
        <f t="shared" si="8"/>
        <v>729.47627019654556</v>
      </c>
      <c r="D56" s="156">
        <f t="shared" si="7"/>
        <v>144.6039121049173</v>
      </c>
      <c r="E56" s="162">
        <f t="shared" si="4"/>
        <v>5555.5555555555557</v>
      </c>
      <c r="F56" s="156">
        <f t="shared" si="5"/>
        <v>149999.99999999983</v>
      </c>
      <c r="G56" s="171">
        <f t="shared" si="6"/>
        <v>6429.6357378570183</v>
      </c>
      <c r="M56" s="18"/>
      <c r="O56" s="93"/>
      <c r="P56" s="93"/>
      <c r="Q56" s="93"/>
      <c r="R56" s="93"/>
      <c r="S56" s="93"/>
      <c r="W56">
        <f t="shared" si="10"/>
        <v>26</v>
      </c>
      <c r="X56" s="18">
        <f t="shared" ca="1" si="11"/>
        <v>47020</v>
      </c>
      <c r="Y56" s="1">
        <f t="shared" ca="1" si="9"/>
        <v>5555.5555555555557</v>
      </c>
      <c r="Z56">
        <f t="shared" ca="1" si="12"/>
        <v>780</v>
      </c>
      <c r="AA56" s="1">
        <f t="shared" ca="1" si="13"/>
        <v>83.138888888888886</v>
      </c>
    </row>
    <row r="57" spans="1:27" customFormat="1" x14ac:dyDescent="0.25">
      <c r="A57" s="68">
        <f t="shared" si="2"/>
        <v>34</v>
      </c>
      <c r="B57" s="68" t="str">
        <f t="shared" si="3"/>
        <v>amortização</v>
      </c>
      <c r="C57" s="156">
        <f t="shared" si="8"/>
        <v>703.42354626095459</v>
      </c>
      <c r="D57" s="156">
        <f t="shared" si="7"/>
        <v>139.4394866725988</v>
      </c>
      <c r="E57" s="162">
        <f t="shared" si="4"/>
        <v>5555.5555555555557</v>
      </c>
      <c r="F57" s="156">
        <f t="shared" si="5"/>
        <v>144444.44444444426</v>
      </c>
      <c r="G57" s="171">
        <f t="shared" si="6"/>
        <v>6398.4185884891094</v>
      </c>
      <c r="M57" s="18"/>
      <c r="O57" s="93"/>
      <c r="P57" s="93"/>
      <c r="Q57" s="93"/>
      <c r="R57" s="93"/>
      <c r="S57" s="93"/>
      <c r="W57">
        <f t="shared" si="10"/>
        <v>27</v>
      </c>
      <c r="X57" s="18">
        <f t="shared" ca="1" si="11"/>
        <v>47050</v>
      </c>
      <c r="Y57" s="1">
        <f t="shared" ca="1" si="9"/>
        <v>5555.5555555555557</v>
      </c>
      <c r="Z57">
        <f t="shared" ca="1" si="12"/>
        <v>810</v>
      </c>
      <c r="AA57" s="1">
        <f t="shared" ca="1" si="13"/>
        <v>83.138888888888886</v>
      </c>
    </row>
    <row r="58" spans="1:27" customFormat="1" x14ac:dyDescent="0.25">
      <c r="A58" s="68">
        <f t="shared" si="2"/>
        <v>35</v>
      </c>
      <c r="B58" s="68" t="str">
        <f t="shared" si="3"/>
        <v>amortização</v>
      </c>
      <c r="C58" s="156">
        <f t="shared" si="8"/>
        <v>677.37082232536363</v>
      </c>
      <c r="D58" s="156">
        <f t="shared" si="7"/>
        <v>134.27506124028034</v>
      </c>
      <c r="E58" s="162">
        <f t="shared" si="4"/>
        <v>5555.5555555555557</v>
      </c>
      <c r="F58" s="156">
        <f t="shared" si="5"/>
        <v>138888.8888888887</v>
      </c>
      <c r="G58" s="171">
        <f t="shared" si="6"/>
        <v>6367.2014391211997</v>
      </c>
      <c r="M58" s="18"/>
      <c r="O58" s="93"/>
      <c r="P58" s="93"/>
      <c r="Q58" s="93"/>
      <c r="R58" s="93"/>
      <c r="S58" s="93"/>
      <c r="W58">
        <f t="shared" si="10"/>
        <v>28</v>
      </c>
      <c r="X58" s="18">
        <f t="shared" ca="1" si="11"/>
        <v>47080</v>
      </c>
      <c r="Y58" s="1">
        <f t="shared" ca="1" si="9"/>
        <v>5555.5555555555557</v>
      </c>
      <c r="Z58">
        <f t="shared" ca="1" si="12"/>
        <v>840</v>
      </c>
      <c r="AA58" s="1">
        <f t="shared" ca="1" si="13"/>
        <v>83.138888888888886</v>
      </c>
    </row>
    <row r="59" spans="1:27" customFormat="1" x14ac:dyDescent="0.25">
      <c r="A59" s="68">
        <f t="shared" si="2"/>
        <v>36</v>
      </c>
      <c r="B59" s="68" t="str">
        <f t="shared" si="3"/>
        <v>amortização</v>
      </c>
      <c r="C59" s="156">
        <f t="shared" si="8"/>
        <v>651.31809838977267</v>
      </c>
      <c r="D59" s="156">
        <f t="shared" si="7"/>
        <v>129.11063580796184</v>
      </c>
      <c r="E59" s="162">
        <f t="shared" si="4"/>
        <v>5555.5555555555557</v>
      </c>
      <c r="F59" s="156">
        <f t="shared" si="5"/>
        <v>133333.33333333314</v>
      </c>
      <c r="G59" s="171">
        <f t="shared" si="6"/>
        <v>6335.9842897532899</v>
      </c>
      <c r="M59" s="18"/>
      <c r="O59" s="93"/>
      <c r="P59" s="93"/>
      <c r="Q59" s="93"/>
      <c r="R59" s="93"/>
      <c r="S59" s="93"/>
      <c r="W59">
        <f t="shared" si="10"/>
        <v>29</v>
      </c>
      <c r="X59" s="18">
        <f t="shared" ca="1" si="11"/>
        <v>47110</v>
      </c>
      <c r="Y59" s="1">
        <f t="shared" ca="1" si="9"/>
        <v>5555.5555555555557</v>
      </c>
      <c r="Z59">
        <f t="shared" ca="1" si="12"/>
        <v>870</v>
      </c>
      <c r="AA59" s="1">
        <f t="shared" ca="1" si="13"/>
        <v>83.138888888888886</v>
      </c>
    </row>
    <row r="60" spans="1:27" customFormat="1" x14ac:dyDescent="0.25">
      <c r="A60" s="68">
        <f t="shared" si="2"/>
        <v>37</v>
      </c>
      <c r="B60" s="68" t="str">
        <f t="shared" si="3"/>
        <v>amortização</v>
      </c>
      <c r="C60" s="156">
        <f t="shared" si="8"/>
        <v>625.26537445418171</v>
      </c>
      <c r="D60" s="156">
        <f t="shared" si="7"/>
        <v>123.94621037564336</v>
      </c>
      <c r="E60" s="162">
        <f t="shared" si="4"/>
        <v>5555.5555555555557</v>
      </c>
      <c r="F60" s="156">
        <f t="shared" si="5"/>
        <v>127777.77777777758</v>
      </c>
      <c r="G60" s="171">
        <f t="shared" si="6"/>
        <v>6304.767140385381</v>
      </c>
      <c r="M60" s="18"/>
      <c r="O60" s="93"/>
      <c r="P60" s="93"/>
      <c r="Q60" s="93"/>
      <c r="R60" s="93"/>
      <c r="S60" s="93"/>
      <c r="W60">
        <f t="shared" si="10"/>
        <v>30</v>
      </c>
      <c r="X60" s="18">
        <f t="shared" ca="1" si="11"/>
        <v>47140</v>
      </c>
      <c r="Y60" s="1">
        <f t="shared" ca="1" si="9"/>
        <v>5555.5555555555557</v>
      </c>
      <c r="Z60">
        <f t="shared" ca="1" si="12"/>
        <v>900</v>
      </c>
      <c r="AA60" s="1">
        <f t="shared" ca="1" si="13"/>
        <v>83.138888888888886</v>
      </c>
    </row>
    <row r="61" spans="1:27" customFormat="1" x14ac:dyDescent="0.25">
      <c r="A61" s="68">
        <f t="shared" si="2"/>
        <v>38</v>
      </c>
      <c r="B61" s="68" t="str">
        <f t="shared" si="3"/>
        <v>amortização</v>
      </c>
      <c r="C61" s="156">
        <f t="shared" si="8"/>
        <v>599.21265051859064</v>
      </c>
      <c r="D61" s="156">
        <f t="shared" si="7"/>
        <v>118.78178494332487</v>
      </c>
      <c r="E61" s="162">
        <f t="shared" si="4"/>
        <v>5555.5555555555557</v>
      </c>
      <c r="F61" s="156">
        <f t="shared" si="5"/>
        <v>122222.22222222202</v>
      </c>
      <c r="G61" s="171">
        <f t="shared" si="6"/>
        <v>6273.5499910174713</v>
      </c>
      <c r="M61" s="18"/>
      <c r="O61" s="93"/>
      <c r="P61" s="93"/>
      <c r="Q61" s="93"/>
      <c r="R61" s="93"/>
      <c r="S61" s="93"/>
      <c r="W61">
        <f t="shared" si="10"/>
        <v>31</v>
      </c>
      <c r="X61" s="18">
        <f t="shared" ca="1" si="11"/>
        <v>47170</v>
      </c>
      <c r="Y61" s="1">
        <f t="shared" ca="1" si="9"/>
        <v>5555.5555555555557</v>
      </c>
      <c r="Z61">
        <f t="shared" ca="1" si="12"/>
        <v>930</v>
      </c>
      <c r="AA61" s="1">
        <f t="shared" ca="1" si="13"/>
        <v>83.138888888888886</v>
      </c>
    </row>
    <row r="62" spans="1:27" customFormat="1" x14ac:dyDescent="0.25">
      <c r="A62" s="68">
        <f t="shared" si="2"/>
        <v>39</v>
      </c>
      <c r="B62" s="68" t="str">
        <f t="shared" si="3"/>
        <v>amortização</v>
      </c>
      <c r="C62" s="156">
        <f t="shared" si="8"/>
        <v>573.15992658299967</v>
      </c>
      <c r="D62" s="156">
        <f t="shared" si="7"/>
        <v>113.61735951100638</v>
      </c>
      <c r="E62" s="162">
        <f t="shared" si="4"/>
        <v>5555.5555555555557</v>
      </c>
      <c r="F62" s="156">
        <f t="shared" si="5"/>
        <v>116666.66666666645</v>
      </c>
      <c r="G62" s="171">
        <f t="shared" si="6"/>
        <v>6242.3328416495615</v>
      </c>
      <c r="M62" s="18"/>
      <c r="O62" s="93"/>
      <c r="P62" s="93"/>
      <c r="Q62" s="93"/>
      <c r="R62" s="93"/>
      <c r="S62" s="93"/>
      <c r="W62">
        <f t="shared" si="10"/>
        <v>32</v>
      </c>
      <c r="X62" s="18">
        <f t="shared" ca="1" si="11"/>
        <v>47200</v>
      </c>
      <c r="Y62" s="1">
        <f t="shared" ca="1" si="9"/>
        <v>5555.5555555555557</v>
      </c>
      <c r="Z62">
        <f t="shared" ca="1" si="12"/>
        <v>960</v>
      </c>
      <c r="AA62" s="1">
        <f t="shared" ca="1" si="13"/>
        <v>83.138888888888886</v>
      </c>
    </row>
    <row r="63" spans="1:27" customFormat="1" x14ac:dyDescent="0.25">
      <c r="A63" s="68">
        <f t="shared" si="2"/>
        <v>40</v>
      </c>
      <c r="B63" s="68" t="str">
        <f t="shared" si="3"/>
        <v>amortização</v>
      </c>
      <c r="C63" s="156">
        <f t="shared" si="8"/>
        <v>547.10720264740871</v>
      </c>
      <c r="D63" s="156">
        <f t="shared" si="7"/>
        <v>108.45293407868789</v>
      </c>
      <c r="E63" s="162">
        <f t="shared" si="4"/>
        <v>5555.5555555555557</v>
      </c>
      <c r="F63" s="156">
        <f t="shared" si="5"/>
        <v>111111.11111111089</v>
      </c>
      <c r="G63" s="171">
        <f t="shared" si="6"/>
        <v>6211.1156922816526</v>
      </c>
      <c r="M63" s="18"/>
      <c r="O63" s="93"/>
      <c r="P63" s="93"/>
      <c r="Q63" s="93"/>
      <c r="R63" s="93"/>
      <c r="S63" s="93"/>
      <c r="W63">
        <f t="shared" si="10"/>
        <v>33</v>
      </c>
      <c r="X63" s="18">
        <f t="shared" ca="1" si="11"/>
        <v>47230</v>
      </c>
      <c r="Y63" s="1">
        <f t="shared" ca="1" si="9"/>
        <v>5555.5555555555557</v>
      </c>
      <c r="Z63">
        <f t="shared" ca="1" si="12"/>
        <v>990</v>
      </c>
      <c r="AA63" s="1">
        <f t="shared" ca="1" si="13"/>
        <v>83.138888888888886</v>
      </c>
    </row>
    <row r="64" spans="1:27" customFormat="1" x14ac:dyDescent="0.25">
      <c r="A64" s="68">
        <f t="shared" si="2"/>
        <v>41</v>
      </c>
      <c r="B64" s="68" t="str">
        <f t="shared" si="3"/>
        <v>amortização</v>
      </c>
      <c r="C64" s="156">
        <f t="shared" si="8"/>
        <v>521.05447871181775</v>
      </c>
      <c r="D64" s="156">
        <f t="shared" si="7"/>
        <v>103.28850864636941</v>
      </c>
      <c r="E64" s="162">
        <f t="shared" si="4"/>
        <v>5555.5555555555557</v>
      </c>
      <c r="F64" s="156">
        <f t="shared" si="5"/>
        <v>105555.55555555533</v>
      </c>
      <c r="G64" s="171">
        <f t="shared" si="6"/>
        <v>6179.8985429137429</v>
      </c>
      <c r="M64" s="18"/>
      <c r="O64" s="93"/>
      <c r="P64" s="93"/>
      <c r="Q64" s="93"/>
      <c r="R64" s="93"/>
      <c r="S64" s="93"/>
      <c r="W64">
        <f t="shared" si="10"/>
        <v>34</v>
      </c>
      <c r="X64" s="18">
        <f t="shared" ca="1" si="11"/>
        <v>47260</v>
      </c>
      <c r="Y64" s="1">
        <f t="shared" ca="1" si="9"/>
        <v>5555.5555555555557</v>
      </c>
      <c r="Z64">
        <f t="shared" ca="1" si="12"/>
        <v>1020</v>
      </c>
      <c r="AA64" s="1">
        <f t="shared" ca="1" si="13"/>
        <v>83.138888888888886</v>
      </c>
    </row>
    <row r="65" spans="1:27" customFormat="1" x14ac:dyDescent="0.25">
      <c r="A65" s="68">
        <f t="shared" si="2"/>
        <v>42</v>
      </c>
      <c r="B65" s="68" t="str">
        <f t="shared" si="3"/>
        <v>amortização</v>
      </c>
      <c r="C65" s="156">
        <f t="shared" si="8"/>
        <v>495.00175477622679</v>
      </c>
      <c r="D65" s="156">
        <f t="shared" si="7"/>
        <v>98.124083214050927</v>
      </c>
      <c r="E65" s="162">
        <f t="shared" si="4"/>
        <v>5555.5555555555557</v>
      </c>
      <c r="F65" s="156">
        <f t="shared" si="5"/>
        <v>99999.999999999767</v>
      </c>
      <c r="G65" s="171">
        <f t="shared" si="6"/>
        <v>6148.6813935458331</v>
      </c>
      <c r="M65" s="18"/>
      <c r="O65" s="93"/>
      <c r="P65" s="93"/>
      <c r="Q65" s="93"/>
      <c r="R65" s="93"/>
      <c r="S65" s="93"/>
      <c r="W65">
        <f t="shared" si="10"/>
        <v>35</v>
      </c>
      <c r="X65" s="18">
        <f t="shared" ca="1" si="11"/>
        <v>47290</v>
      </c>
      <c r="Y65" s="1">
        <f t="shared" ca="1" si="9"/>
        <v>5555.5555555555557</v>
      </c>
      <c r="Z65">
        <f t="shared" ca="1" si="12"/>
        <v>1050</v>
      </c>
      <c r="AA65" s="1">
        <f t="shared" ca="1" si="13"/>
        <v>83.138888888888886</v>
      </c>
    </row>
    <row r="66" spans="1:27" customFormat="1" x14ac:dyDescent="0.25">
      <c r="A66" s="68">
        <f t="shared" si="2"/>
        <v>43</v>
      </c>
      <c r="B66" s="68" t="str">
        <f t="shared" si="3"/>
        <v>amortização</v>
      </c>
      <c r="C66" s="156">
        <f t="shared" si="8"/>
        <v>468.94903084063583</v>
      </c>
      <c r="D66" s="156">
        <f t="shared" si="7"/>
        <v>92.959657781732432</v>
      </c>
      <c r="E66" s="162">
        <f t="shared" si="4"/>
        <v>5555.5555555555557</v>
      </c>
      <c r="F66" s="156">
        <f t="shared" si="5"/>
        <v>94444.444444444205</v>
      </c>
      <c r="G66" s="171">
        <f t="shared" si="6"/>
        <v>6117.4642441779242</v>
      </c>
      <c r="M66" s="18"/>
      <c r="O66" s="93"/>
      <c r="P66" s="93"/>
      <c r="Q66" s="93"/>
      <c r="R66" s="93"/>
      <c r="S66" s="93"/>
      <c r="W66">
        <f t="shared" si="10"/>
        <v>36</v>
      </c>
      <c r="X66" s="18">
        <f t="shared" ca="1" si="11"/>
        <v>47320</v>
      </c>
      <c r="Y66" s="1">
        <f t="shared" ca="1" si="9"/>
        <v>5555.5555555555557</v>
      </c>
      <c r="Z66">
        <f t="shared" ca="1" si="12"/>
        <v>1080</v>
      </c>
      <c r="AA66" s="1">
        <f t="shared" ca="1" si="13"/>
        <v>83.138888888888886</v>
      </c>
    </row>
    <row r="67" spans="1:27" customFormat="1" x14ac:dyDescent="0.25">
      <c r="A67" s="68">
        <f t="shared" si="2"/>
        <v>44</v>
      </c>
      <c r="B67" s="68" t="str">
        <f t="shared" si="3"/>
        <v>amortização</v>
      </c>
      <c r="C67" s="156">
        <f t="shared" si="8"/>
        <v>442.89630690504487</v>
      </c>
      <c r="D67" s="156">
        <f t="shared" si="7"/>
        <v>87.795232349413951</v>
      </c>
      <c r="E67" s="162">
        <f t="shared" si="4"/>
        <v>5555.5555555555557</v>
      </c>
      <c r="F67" s="156">
        <f t="shared" si="5"/>
        <v>88888.888888888643</v>
      </c>
      <c r="G67" s="171">
        <f t="shared" si="6"/>
        <v>6086.2470948100145</v>
      </c>
      <c r="M67" s="18"/>
      <c r="O67" s="93"/>
      <c r="P67" s="93"/>
      <c r="Q67" s="93"/>
      <c r="R67" s="93"/>
      <c r="S67" s="93"/>
      <c r="W67">
        <f t="shared" si="10"/>
        <v>37</v>
      </c>
      <c r="X67" s="18">
        <f t="shared" ca="1" si="11"/>
        <v>47350</v>
      </c>
      <c r="Y67" s="1">
        <f t="shared" ca="1" si="9"/>
        <v>5555.5555555555557</v>
      </c>
      <c r="Z67">
        <f t="shared" ca="1" si="12"/>
        <v>1110</v>
      </c>
      <c r="AA67" s="1">
        <f t="shared" ca="1" si="13"/>
        <v>83.138888888888886</v>
      </c>
    </row>
    <row r="68" spans="1:27" customFormat="1" x14ac:dyDescent="0.25">
      <c r="A68" s="68">
        <f t="shared" si="2"/>
        <v>45</v>
      </c>
      <c r="B68" s="68" t="str">
        <f t="shared" si="3"/>
        <v>amortização</v>
      </c>
      <c r="C68" s="156">
        <f t="shared" si="8"/>
        <v>416.84358296945391</v>
      </c>
      <c r="D68" s="156">
        <f t="shared" si="7"/>
        <v>82.630806917095455</v>
      </c>
      <c r="E68" s="162">
        <f t="shared" si="4"/>
        <v>5555.5555555555557</v>
      </c>
      <c r="F68" s="156">
        <f t="shared" si="5"/>
        <v>83333.333333333081</v>
      </c>
      <c r="G68" s="171">
        <f t="shared" si="6"/>
        <v>6055.0299454421047</v>
      </c>
      <c r="M68" s="18"/>
      <c r="O68" s="93"/>
      <c r="P68" s="93"/>
      <c r="Q68" s="93"/>
      <c r="R68" s="93"/>
      <c r="S68" s="93"/>
      <c r="W68">
        <f t="shared" si="10"/>
        <v>38</v>
      </c>
      <c r="X68" s="18">
        <f t="shared" ca="1" si="11"/>
        <v>47380</v>
      </c>
      <c r="Y68" s="1">
        <f t="shared" ca="1" si="9"/>
        <v>5555.5555555555557</v>
      </c>
      <c r="Z68">
        <f t="shared" ca="1" si="12"/>
        <v>1140</v>
      </c>
      <c r="AA68" s="1">
        <f t="shared" ca="1" si="13"/>
        <v>83.138888888888886</v>
      </c>
    </row>
    <row r="69" spans="1:27" customFormat="1" x14ac:dyDescent="0.25">
      <c r="A69" s="68">
        <f t="shared" si="2"/>
        <v>46</v>
      </c>
      <c r="B69" s="68" t="str">
        <f t="shared" si="3"/>
        <v>amortização</v>
      </c>
      <c r="C69" s="156">
        <f t="shared" si="8"/>
        <v>390.79085903386294</v>
      </c>
      <c r="D69" s="156">
        <f t="shared" si="7"/>
        <v>77.466381484776974</v>
      </c>
      <c r="E69" s="162">
        <f t="shared" si="4"/>
        <v>5555.5555555555557</v>
      </c>
      <c r="F69" s="156">
        <f t="shared" si="5"/>
        <v>77777.777777777519</v>
      </c>
      <c r="G69" s="171">
        <f t="shared" si="6"/>
        <v>6023.8127960741958</v>
      </c>
      <c r="M69" s="18"/>
      <c r="O69" s="93"/>
      <c r="P69" s="93"/>
      <c r="Q69" s="93"/>
      <c r="R69" s="93"/>
      <c r="S69" s="93"/>
      <c r="W69">
        <f t="shared" si="10"/>
        <v>39</v>
      </c>
      <c r="X69" s="18">
        <f t="shared" ca="1" si="11"/>
        <v>47410</v>
      </c>
      <c r="Y69" s="1">
        <f t="shared" ca="1" si="9"/>
        <v>5555.5555555555557</v>
      </c>
      <c r="Z69">
        <f t="shared" ca="1" si="12"/>
        <v>1170</v>
      </c>
      <c r="AA69" s="1">
        <f t="shared" ca="1" si="13"/>
        <v>83.138888888888886</v>
      </c>
    </row>
    <row r="70" spans="1:27" customFormat="1" x14ac:dyDescent="0.25">
      <c r="A70" s="68">
        <f t="shared" si="2"/>
        <v>47</v>
      </c>
      <c r="B70" s="68" t="str">
        <f t="shared" si="3"/>
        <v>amortização</v>
      </c>
      <c r="C70" s="156">
        <f t="shared" si="8"/>
        <v>364.73813509827193</v>
      </c>
      <c r="D70" s="156">
        <f t="shared" si="7"/>
        <v>72.301956052458493</v>
      </c>
      <c r="E70" s="162">
        <f t="shared" si="4"/>
        <v>5555.5555555555557</v>
      </c>
      <c r="F70" s="156">
        <f t="shared" si="5"/>
        <v>72222.222222221957</v>
      </c>
      <c r="G70" s="171">
        <f t="shared" si="6"/>
        <v>5992.5956467062861</v>
      </c>
      <c r="M70" s="18"/>
      <c r="O70" s="93"/>
      <c r="P70" s="93"/>
      <c r="Q70" s="93"/>
      <c r="R70" s="93"/>
      <c r="S70" s="93"/>
      <c r="W70">
        <f t="shared" si="10"/>
        <v>40</v>
      </c>
      <c r="X70" s="18">
        <f t="shared" ca="1" si="11"/>
        <v>47440</v>
      </c>
      <c r="Y70" s="1">
        <f t="shared" ca="1" si="9"/>
        <v>5555.5555555555557</v>
      </c>
      <c r="Z70">
        <f t="shared" ca="1" si="12"/>
        <v>1200</v>
      </c>
      <c r="AA70" s="1">
        <f t="shared" ca="1" si="13"/>
        <v>83.138888888888886</v>
      </c>
    </row>
    <row r="71" spans="1:27" customFormat="1" x14ac:dyDescent="0.25">
      <c r="A71" s="68">
        <f t="shared" si="2"/>
        <v>48</v>
      </c>
      <c r="B71" s="68" t="str">
        <f t="shared" si="3"/>
        <v>amortização</v>
      </c>
      <c r="C71" s="156">
        <f t="shared" si="8"/>
        <v>338.68541116268096</v>
      </c>
      <c r="D71" s="156">
        <f t="shared" si="7"/>
        <v>67.137530620139998</v>
      </c>
      <c r="E71" s="162">
        <f t="shared" si="4"/>
        <v>5555.5555555555557</v>
      </c>
      <c r="F71" s="156">
        <f t="shared" si="5"/>
        <v>66666.666666666395</v>
      </c>
      <c r="G71" s="171">
        <f t="shared" si="6"/>
        <v>5961.3784973383763</v>
      </c>
      <c r="M71" s="18"/>
      <c r="O71" s="93"/>
      <c r="P71" s="93"/>
      <c r="Q71" s="93"/>
      <c r="R71" s="93"/>
      <c r="S71" s="93"/>
      <c r="W71">
        <f t="shared" si="10"/>
        <v>41</v>
      </c>
      <c r="X71" s="18">
        <f t="shared" ca="1" si="11"/>
        <v>47470</v>
      </c>
      <c r="Y71" s="1">
        <f t="shared" ca="1" si="9"/>
        <v>5555.5555555555557</v>
      </c>
      <c r="Z71">
        <f t="shared" ca="1" si="12"/>
        <v>1230</v>
      </c>
      <c r="AA71" s="1">
        <f t="shared" ca="1" si="13"/>
        <v>83.138888888888886</v>
      </c>
    </row>
    <row r="72" spans="1:27" customFormat="1" x14ac:dyDescent="0.25">
      <c r="A72" s="68">
        <f t="shared" si="2"/>
        <v>49</v>
      </c>
      <c r="B72" s="68" t="str">
        <f t="shared" si="3"/>
        <v>amortização</v>
      </c>
      <c r="C72" s="156">
        <f t="shared" si="8"/>
        <v>312.63268722709</v>
      </c>
      <c r="D72" s="156">
        <f t="shared" si="7"/>
        <v>61.973105187821517</v>
      </c>
      <c r="E72" s="162">
        <f t="shared" si="4"/>
        <v>5555.5555555555557</v>
      </c>
      <c r="F72" s="156">
        <f t="shared" si="5"/>
        <v>61111.11111111084</v>
      </c>
      <c r="G72" s="171">
        <f t="shared" si="6"/>
        <v>5930.1613479704674</v>
      </c>
      <c r="M72" s="18"/>
      <c r="O72" s="93"/>
      <c r="P72" s="93"/>
      <c r="Q72" s="93"/>
      <c r="R72" s="93"/>
      <c r="S72" s="93"/>
      <c r="W72">
        <f t="shared" si="10"/>
        <v>42</v>
      </c>
      <c r="X72" s="18">
        <f t="shared" ca="1" si="11"/>
        <v>47500</v>
      </c>
      <c r="Y72" s="1">
        <f t="shared" ca="1" si="9"/>
        <v>5555.5555555555557</v>
      </c>
      <c r="Z72">
        <f t="shared" ca="1" si="12"/>
        <v>1260</v>
      </c>
      <c r="AA72" s="1">
        <f t="shared" ca="1" si="13"/>
        <v>83.138888888888886</v>
      </c>
    </row>
    <row r="73" spans="1:27" customFormat="1" x14ac:dyDescent="0.25">
      <c r="A73" s="68">
        <f t="shared" si="2"/>
        <v>50</v>
      </c>
      <c r="B73" s="68" t="str">
        <f t="shared" si="3"/>
        <v>amortização</v>
      </c>
      <c r="C73" s="156">
        <f t="shared" si="8"/>
        <v>286.5799632914991</v>
      </c>
      <c r="D73" s="156">
        <f t="shared" si="7"/>
        <v>56.808679755503036</v>
      </c>
      <c r="E73" s="162">
        <f t="shared" si="4"/>
        <v>5555.5555555555557</v>
      </c>
      <c r="F73" s="156">
        <f t="shared" si="5"/>
        <v>55555.555555555286</v>
      </c>
      <c r="G73" s="171">
        <f t="shared" si="6"/>
        <v>5898.9441986025577</v>
      </c>
      <c r="M73" s="18"/>
      <c r="O73" s="93"/>
      <c r="P73" s="93"/>
      <c r="Q73" s="93"/>
      <c r="R73" s="93"/>
      <c r="S73" s="93"/>
      <c r="W73">
        <f t="shared" si="10"/>
        <v>43</v>
      </c>
      <c r="X73" s="18">
        <f t="shared" ca="1" si="11"/>
        <v>47530</v>
      </c>
      <c r="Y73" s="1">
        <f t="shared" ca="1" si="9"/>
        <v>5555.5555555555557</v>
      </c>
      <c r="Z73">
        <f t="shared" ca="1" si="12"/>
        <v>1290</v>
      </c>
      <c r="AA73" s="1">
        <f t="shared" ca="1" si="13"/>
        <v>83.138888888888886</v>
      </c>
    </row>
    <row r="74" spans="1:27" customFormat="1" x14ac:dyDescent="0.25">
      <c r="A74" s="68">
        <f t="shared" si="2"/>
        <v>51</v>
      </c>
      <c r="B74" s="68" t="str">
        <f t="shared" si="3"/>
        <v>amortização</v>
      </c>
      <c r="C74" s="156">
        <f t="shared" si="8"/>
        <v>260.52723935590814</v>
      </c>
      <c r="D74" s="156">
        <f t="shared" si="7"/>
        <v>51.644254323184555</v>
      </c>
      <c r="E74" s="162">
        <f t="shared" si="4"/>
        <v>5555.5555555555557</v>
      </c>
      <c r="F74" s="156">
        <f t="shared" si="5"/>
        <v>49999.999999999731</v>
      </c>
      <c r="G74" s="171">
        <f t="shared" si="6"/>
        <v>5867.7270492346488</v>
      </c>
      <c r="M74" s="18"/>
      <c r="O74" s="93"/>
      <c r="P74" s="93"/>
      <c r="Q74" s="93"/>
      <c r="R74" s="93"/>
      <c r="S74" s="93"/>
      <c r="W74">
        <f t="shared" si="10"/>
        <v>44</v>
      </c>
      <c r="X74" s="18">
        <f t="shared" ca="1" si="11"/>
        <v>47560</v>
      </c>
      <c r="Y74" s="1">
        <f t="shared" ca="1" si="9"/>
        <v>5555.5555555555557</v>
      </c>
      <c r="Z74">
        <f t="shared" ca="1" si="12"/>
        <v>1320</v>
      </c>
      <c r="AA74" s="1">
        <f t="shared" ca="1" si="13"/>
        <v>83.138888888888886</v>
      </c>
    </row>
    <row r="75" spans="1:27" customFormat="1" x14ac:dyDescent="0.25">
      <c r="A75" s="68">
        <f t="shared" si="2"/>
        <v>52</v>
      </c>
      <c r="B75" s="68" t="str">
        <f t="shared" si="3"/>
        <v>amortização</v>
      </c>
      <c r="C75" s="156">
        <f t="shared" si="8"/>
        <v>234.4745154203172</v>
      </c>
      <c r="D75" s="156">
        <f t="shared" si="7"/>
        <v>46.479828890866074</v>
      </c>
      <c r="E75" s="162">
        <f t="shared" si="4"/>
        <v>5555.5555555555557</v>
      </c>
      <c r="F75" s="156">
        <f t="shared" si="5"/>
        <v>44444.444444444176</v>
      </c>
      <c r="G75" s="171">
        <f t="shared" si="6"/>
        <v>5836.509899866739</v>
      </c>
      <c r="M75" s="18"/>
      <c r="O75" s="93"/>
      <c r="P75" s="93"/>
      <c r="Q75" s="93"/>
      <c r="R75" s="93"/>
      <c r="S75" s="93"/>
      <c r="W75">
        <f t="shared" si="10"/>
        <v>45</v>
      </c>
      <c r="X75" s="18">
        <f t="shared" ca="1" si="11"/>
        <v>47590</v>
      </c>
      <c r="Y75" s="1">
        <f t="shared" ca="1" si="9"/>
        <v>5555.5555555555557</v>
      </c>
      <c r="Z75">
        <f t="shared" ca="1" si="12"/>
        <v>1350</v>
      </c>
      <c r="AA75" s="1">
        <f t="shared" ca="1" si="13"/>
        <v>83.138888888888886</v>
      </c>
    </row>
    <row r="76" spans="1:27" customFormat="1" x14ac:dyDescent="0.25">
      <c r="A76" s="68">
        <f t="shared" si="2"/>
        <v>53</v>
      </c>
      <c r="B76" s="68" t="str">
        <f t="shared" si="3"/>
        <v>amortização</v>
      </c>
      <c r="C76" s="156">
        <f t="shared" si="8"/>
        <v>208.42179148472627</v>
      </c>
      <c r="D76" s="156">
        <f t="shared" si="7"/>
        <v>41.315403458547593</v>
      </c>
      <c r="E76" s="162">
        <f t="shared" si="4"/>
        <v>5555.5555555555557</v>
      </c>
      <c r="F76" s="156">
        <f t="shared" si="5"/>
        <v>38888.888888888621</v>
      </c>
      <c r="G76" s="171">
        <f t="shared" si="6"/>
        <v>5805.2927504988293</v>
      </c>
      <c r="M76" s="18"/>
      <c r="O76" s="93"/>
      <c r="P76" s="93"/>
      <c r="Q76" s="93"/>
      <c r="R76" s="93"/>
      <c r="S76" s="93"/>
      <c r="W76">
        <f t="shared" si="10"/>
        <v>46</v>
      </c>
      <c r="X76" s="18">
        <f t="shared" ca="1" si="11"/>
        <v>47620</v>
      </c>
      <c r="Y76" s="1">
        <f t="shared" ca="1" si="9"/>
        <v>5555.5555555555557</v>
      </c>
      <c r="Z76">
        <f t="shared" ca="1" si="12"/>
        <v>1380</v>
      </c>
      <c r="AA76" s="1">
        <f t="shared" ca="1" si="13"/>
        <v>83.138888888888886</v>
      </c>
    </row>
    <row r="77" spans="1:27" customFormat="1" x14ac:dyDescent="0.25">
      <c r="A77" s="68">
        <f t="shared" si="2"/>
        <v>54</v>
      </c>
      <c r="B77" s="68" t="str">
        <f t="shared" si="3"/>
        <v>amortização</v>
      </c>
      <c r="C77" s="156">
        <f t="shared" si="8"/>
        <v>182.36906754913534</v>
      </c>
      <c r="D77" s="156">
        <f t="shared" si="7"/>
        <v>36.150978026229119</v>
      </c>
      <c r="E77" s="162">
        <f t="shared" si="4"/>
        <v>5555.5555555555557</v>
      </c>
      <c r="F77" s="156">
        <f t="shared" si="5"/>
        <v>33333.333333333067</v>
      </c>
      <c r="G77" s="171">
        <f t="shared" si="6"/>
        <v>5774.0756011309204</v>
      </c>
      <c r="M77" s="18"/>
      <c r="O77" s="93"/>
      <c r="P77" s="93"/>
      <c r="Q77" s="93"/>
      <c r="R77" s="93"/>
      <c r="S77" s="93"/>
      <c r="W77">
        <f t="shared" si="10"/>
        <v>47</v>
      </c>
      <c r="X77" s="18">
        <f t="shared" ca="1" si="11"/>
        <v>47650</v>
      </c>
      <c r="Y77" s="1">
        <f t="shared" ca="1" si="9"/>
        <v>5555.5555555555557</v>
      </c>
      <c r="Z77">
        <f t="shared" ca="1" si="12"/>
        <v>1410</v>
      </c>
      <c r="AA77" s="1">
        <f t="shared" ca="1" si="13"/>
        <v>83.138888888888886</v>
      </c>
    </row>
    <row r="78" spans="1:27" customFormat="1" x14ac:dyDescent="0.25">
      <c r="A78" s="68">
        <f t="shared" si="2"/>
        <v>55</v>
      </c>
      <c r="B78" s="68" t="str">
        <f t="shared" si="3"/>
        <v>amortização</v>
      </c>
      <c r="C78" s="156">
        <f t="shared" si="8"/>
        <v>156.3163436135444</v>
      </c>
      <c r="D78" s="156">
        <f t="shared" si="7"/>
        <v>30.986552593910638</v>
      </c>
      <c r="E78" s="162">
        <f t="shared" si="4"/>
        <v>5555.5555555555557</v>
      </c>
      <c r="F78" s="156">
        <f t="shared" si="5"/>
        <v>27777.777777777512</v>
      </c>
      <c r="G78" s="171">
        <f t="shared" si="6"/>
        <v>5742.8584517630106</v>
      </c>
      <c r="M78" s="18"/>
      <c r="O78" s="93"/>
      <c r="P78" s="93"/>
      <c r="Q78" s="93"/>
      <c r="R78" s="93"/>
      <c r="S78" s="93"/>
      <c r="W78">
        <f t="shared" si="10"/>
        <v>48</v>
      </c>
      <c r="X78" s="18">
        <f t="shared" ca="1" si="11"/>
        <v>47680</v>
      </c>
      <c r="Y78" s="1">
        <f t="shared" ca="1" si="9"/>
        <v>5555.5555555555557</v>
      </c>
      <c r="Z78">
        <f t="shared" ca="1" si="12"/>
        <v>1440</v>
      </c>
      <c r="AA78" s="1">
        <f t="shared" ca="1" si="13"/>
        <v>83.138888888888886</v>
      </c>
    </row>
    <row r="79" spans="1:27" customFormat="1" x14ac:dyDescent="0.25">
      <c r="A79" s="68">
        <f t="shared" si="2"/>
        <v>56</v>
      </c>
      <c r="B79" s="68" t="str">
        <f t="shared" si="3"/>
        <v>amortização</v>
      </c>
      <c r="C79" s="156">
        <f t="shared" si="8"/>
        <v>130.26361967795344</v>
      </c>
      <c r="D79" s="156">
        <f t="shared" si="7"/>
        <v>25.822127161592157</v>
      </c>
      <c r="E79" s="162">
        <f t="shared" si="4"/>
        <v>5555.5555555555557</v>
      </c>
      <c r="F79" s="156">
        <f t="shared" si="5"/>
        <v>22222.222222221957</v>
      </c>
      <c r="G79" s="171">
        <f t="shared" si="6"/>
        <v>5711.6413023951009</v>
      </c>
      <c r="M79" s="18"/>
      <c r="O79" s="93"/>
      <c r="P79" s="93"/>
      <c r="Q79" s="93"/>
      <c r="R79" s="93"/>
      <c r="S79" s="93"/>
      <c r="W79">
        <f t="shared" si="10"/>
        <v>49</v>
      </c>
      <c r="X79" s="18">
        <f t="shared" ca="1" si="11"/>
        <v>47710</v>
      </c>
      <c r="Y79" s="1">
        <f t="shared" ca="1" si="9"/>
        <v>5555.5555555555557</v>
      </c>
      <c r="Z79">
        <f t="shared" ca="1" si="12"/>
        <v>1470</v>
      </c>
      <c r="AA79" s="1">
        <f t="shared" ca="1" si="13"/>
        <v>83.138888888888886</v>
      </c>
    </row>
    <row r="80" spans="1:27" customFormat="1" x14ac:dyDescent="0.25">
      <c r="A80" s="68">
        <f t="shared" si="2"/>
        <v>57</v>
      </c>
      <c r="B80" s="68" t="str">
        <f t="shared" si="3"/>
        <v>amortização</v>
      </c>
      <c r="C80" s="156">
        <f t="shared" si="8"/>
        <v>104.21089574236252</v>
      </c>
      <c r="D80" s="156">
        <f t="shared" si="7"/>
        <v>20.657701729273676</v>
      </c>
      <c r="E80" s="162">
        <f t="shared" si="4"/>
        <v>5555.5555555555557</v>
      </c>
      <c r="F80" s="156">
        <f t="shared" si="5"/>
        <v>16666.666666666402</v>
      </c>
      <c r="G80" s="171">
        <f t="shared" si="6"/>
        <v>5680.424153027192</v>
      </c>
      <c r="M80" s="18"/>
      <c r="O80" s="93"/>
      <c r="P80" s="93"/>
      <c r="Q80" s="93"/>
      <c r="R80" s="93"/>
      <c r="S80" s="93"/>
      <c r="W80">
        <f t="shared" si="10"/>
        <v>50</v>
      </c>
      <c r="X80" s="18">
        <f t="shared" ca="1" si="11"/>
        <v>47740</v>
      </c>
      <c r="Y80" s="1">
        <f t="shared" ca="1" si="9"/>
        <v>5555.5555555555557</v>
      </c>
      <c r="Z80">
        <f t="shared" ca="1" si="12"/>
        <v>1500</v>
      </c>
      <c r="AA80" s="1">
        <f t="shared" ca="1" si="13"/>
        <v>83.138888888888886</v>
      </c>
    </row>
    <row r="81" spans="1:27" customFormat="1" x14ac:dyDescent="0.25">
      <c r="A81" s="68">
        <f t="shared" si="2"/>
        <v>58</v>
      </c>
      <c r="B81" s="68" t="str">
        <f t="shared" si="3"/>
        <v>amortização</v>
      </c>
      <c r="C81" s="156">
        <f t="shared" si="8"/>
        <v>78.158171806771577</v>
      </c>
      <c r="D81" s="156">
        <f t="shared" si="7"/>
        <v>15.493276296955196</v>
      </c>
      <c r="E81" s="162">
        <f t="shared" si="4"/>
        <v>5555.5555555555557</v>
      </c>
      <c r="F81" s="156">
        <f t="shared" si="5"/>
        <v>11111.111111110848</v>
      </c>
      <c r="G81" s="171">
        <f t="shared" si="6"/>
        <v>5649.2070036592822</v>
      </c>
      <c r="M81" s="18"/>
      <c r="O81" s="93"/>
      <c r="P81" s="93"/>
      <c r="Q81" s="93"/>
      <c r="R81" s="93"/>
      <c r="S81" s="93"/>
      <c r="W81">
        <f t="shared" si="10"/>
        <v>51</v>
      </c>
      <c r="X81" s="18">
        <f t="shared" ca="1" si="11"/>
        <v>47770</v>
      </c>
      <c r="Y81" s="1">
        <f t="shared" ca="1" si="9"/>
        <v>5555.5555555555557</v>
      </c>
      <c r="Z81">
        <f t="shared" ca="1" si="12"/>
        <v>1530</v>
      </c>
      <c r="AA81" s="1">
        <f t="shared" ca="1" si="13"/>
        <v>83.138888888888886</v>
      </c>
    </row>
    <row r="82" spans="1:27" customFormat="1" x14ac:dyDescent="0.25">
      <c r="A82" s="68">
        <f t="shared" si="2"/>
        <v>59</v>
      </c>
      <c r="B82" s="68" t="str">
        <f t="shared" si="3"/>
        <v>amortização</v>
      </c>
      <c r="C82" s="156">
        <f t="shared" si="8"/>
        <v>52.105447871180644</v>
      </c>
      <c r="D82" s="156">
        <f t="shared" si="7"/>
        <v>10.328850864636717</v>
      </c>
      <c r="E82" s="162">
        <f t="shared" si="4"/>
        <v>5555.5555555555557</v>
      </c>
      <c r="F82" s="156">
        <f t="shared" si="5"/>
        <v>5555.5555555552919</v>
      </c>
      <c r="G82" s="171">
        <f t="shared" si="6"/>
        <v>5617.9898542913734</v>
      </c>
      <c r="M82" s="18"/>
      <c r="O82" s="93"/>
      <c r="P82" s="93"/>
      <c r="Q82" s="93"/>
      <c r="R82" s="93"/>
      <c r="S82" s="93"/>
      <c r="W82">
        <f t="shared" si="10"/>
        <v>52</v>
      </c>
      <c r="X82" s="18">
        <f t="shared" ca="1" si="11"/>
        <v>47800</v>
      </c>
      <c r="Y82" s="1">
        <f t="shared" ca="1" si="9"/>
        <v>5555.5555555555557</v>
      </c>
      <c r="Z82">
        <f t="shared" ca="1" si="12"/>
        <v>1560</v>
      </c>
      <c r="AA82" s="1">
        <f t="shared" ca="1" si="13"/>
        <v>83.138888888888886</v>
      </c>
    </row>
    <row r="83" spans="1:27" customFormat="1" x14ac:dyDescent="0.25">
      <c r="A83" s="68">
        <f t="shared" si="2"/>
        <v>60</v>
      </c>
      <c r="B83" s="68" t="str">
        <f t="shared" si="3"/>
        <v>amortização</v>
      </c>
      <c r="C83" s="156">
        <f t="shared" si="8"/>
        <v>26.052723935589704</v>
      </c>
      <c r="D83" s="156">
        <f t="shared" si="7"/>
        <v>5.1644254323182359</v>
      </c>
      <c r="E83" s="162">
        <f t="shared" si="4"/>
        <v>5555.5555555555557</v>
      </c>
      <c r="F83" s="156">
        <f t="shared" si="5"/>
        <v>-2.6375346351414919E-10</v>
      </c>
      <c r="G83" s="171">
        <f t="shared" si="6"/>
        <v>5586.7727049234636</v>
      </c>
      <c r="M83" s="18"/>
      <c r="O83" s="93"/>
      <c r="P83" s="93"/>
      <c r="Q83" s="93"/>
      <c r="R83" s="93"/>
      <c r="S83" s="93"/>
      <c r="W83">
        <f t="shared" si="10"/>
        <v>53</v>
      </c>
      <c r="X83" s="18">
        <f t="shared" ca="1" si="11"/>
        <v>47830</v>
      </c>
      <c r="Y83" s="1">
        <f t="shared" ca="1" si="9"/>
        <v>5555.5555555555557</v>
      </c>
      <c r="Z83">
        <f t="shared" ca="1" si="12"/>
        <v>1590</v>
      </c>
      <c r="AA83" s="1">
        <f t="shared" ca="1" si="13"/>
        <v>83.138888888888886</v>
      </c>
    </row>
    <row r="84" spans="1:27" customFormat="1" x14ac:dyDescent="0.25">
      <c r="A84" s="68" t="str">
        <f t="shared" si="2"/>
        <v/>
      </c>
      <c r="B84" s="68" t="str">
        <f t="shared" si="3"/>
        <v/>
      </c>
      <c r="C84" s="156" t="str">
        <f t="shared" si="8"/>
        <v/>
      </c>
      <c r="D84" s="156" t="str">
        <f t="shared" si="7"/>
        <v/>
      </c>
      <c r="E84" s="162" t="str">
        <f t="shared" si="4"/>
        <v/>
      </c>
      <c r="F84" s="156" t="str">
        <f t="shared" si="5"/>
        <v/>
      </c>
      <c r="G84" s="171" t="str">
        <f t="shared" si="6"/>
        <v/>
      </c>
      <c r="M84" s="18"/>
      <c r="O84" s="93"/>
      <c r="P84" s="93"/>
      <c r="Q84" s="93"/>
      <c r="R84" s="93"/>
      <c r="S84" s="93"/>
      <c r="W84">
        <f t="shared" si="10"/>
        <v>54</v>
      </c>
      <c r="X84" s="18">
        <f t="shared" ca="1" si="11"/>
        <v>47860</v>
      </c>
      <c r="Y84" s="1">
        <f t="shared" ca="1" si="9"/>
        <v>5555.5555555555557</v>
      </c>
      <c r="Z84">
        <f t="shared" ca="1" si="12"/>
        <v>1620</v>
      </c>
      <c r="AA84" s="1">
        <f t="shared" ca="1" si="13"/>
        <v>83.138888888888886</v>
      </c>
    </row>
    <row r="85" spans="1:27" customFormat="1" x14ac:dyDescent="0.25">
      <c r="A85" s="68" t="str">
        <f t="shared" si="2"/>
        <v/>
      </c>
      <c r="B85" s="68" t="str">
        <f t="shared" si="3"/>
        <v/>
      </c>
      <c r="C85" s="156" t="str">
        <f t="shared" si="8"/>
        <v/>
      </c>
      <c r="D85" s="156" t="str">
        <f t="shared" si="7"/>
        <v/>
      </c>
      <c r="E85" s="162" t="str">
        <f t="shared" si="4"/>
        <v/>
      </c>
      <c r="F85" s="156" t="str">
        <f t="shared" si="5"/>
        <v/>
      </c>
      <c r="G85" s="171" t="str">
        <f t="shared" si="6"/>
        <v/>
      </c>
      <c r="M85" s="18"/>
      <c r="O85" s="93"/>
      <c r="P85" s="93"/>
      <c r="Q85" s="93"/>
      <c r="R85" s="93"/>
      <c r="S85" s="93"/>
      <c r="W85">
        <f t="shared" si="10"/>
        <v>55</v>
      </c>
      <c r="X85" s="18">
        <f t="shared" ca="1" si="11"/>
        <v>47890</v>
      </c>
      <c r="Y85" s="1">
        <f t="shared" ca="1" si="9"/>
        <v>5555.5555555555557</v>
      </c>
      <c r="Z85">
        <f t="shared" ca="1" si="12"/>
        <v>1650</v>
      </c>
      <c r="AA85" s="1">
        <f t="shared" ca="1" si="13"/>
        <v>83.138888888888886</v>
      </c>
    </row>
    <row r="86" spans="1:27" customFormat="1" x14ac:dyDescent="0.25">
      <c r="A86" s="68" t="str">
        <f t="shared" si="2"/>
        <v/>
      </c>
      <c r="B86" s="68" t="str">
        <f t="shared" si="3"/>
        <v/>
      </c>
      <c r="C86" s="156" t="str">
        <f t="shared" si="8"/>
        <v/>
      </c>
      <c r="D86" s="156" t="str">
        <f t="shared" si="7"/>
        <v/>
      </c>
      <c r="E86" s="162" t="str">
        <f t="shared" si="4"/>
        <v/>
      </c>
      <c r="F86" s="156" t="str">
        <f t="shared" si="5"/>
        <v/>
      </c>
      <c r="G86" s="171" t="str">
        <f t="shared" si="6"/>
        <v/>
      </c>
      <c r="M86" s="18"/>
      <c r="O86" s="93"/>
      <c r="P86" s="93"/>
      <c r="Q86" s="93"/>
      <c r="R86" s="93"/>
      <c r="S86" s="93"/>
      <c r="W86">
        <f t="shared" si="10"/>
        <v>56</v>
      </c>
      <c r="X86" s="18">
        <f t="shared" ca="1" si="11"/>
        <v>47920</v>
      </c>
      <c r="Y86" s="1">
        <f t="shared" ca="1" si="9"/>
        <v>5555.5555555555557</v>
      </c>
      <c r="Z86">
        <f t="shared" ca="1" si="12"/>
        <v>1680</v>
      </c>
      <c r="AA86" s="1">
        <f t="shared" ca="1" si="13"/>
        <v>83.138888888888886</v>
      </c>
    </row>
    <row r="87" spans="1:27" customFormat="1" x14ac:dyDescent="0.25">
      <c r="A87" s="68" t="str">
        <f t="shared" si="2"/>
        <v/>
      </c>
      <c r="B87" s="68" t="str">
        <f t="shared" si="3"/>
        <v/>
      </c>
      <c r="C87" s="156" t="str">
        <f t="shared" si="8"/>
        <v/>
      </c>
      <c r="D87" s="156" t="str">
        <f t="shared" si="7"/>
        <v/>
      </c>
      <c r="E87" s="162" t="str">
        <f t="shared" si="4"/>
        <v/>
      </c>
      <c r="F87" s="156" t="str">
        <f t="shared" si="5"/>
        <v/>
      </c>
      <c r="G87" s="171" t="str">
        <f t="shared" si="6"/>
        <v/>
      </c>
      <c r="M87" s="18"/>
      <c r="O87" s="93"/>
      <c r="P87" s="93"/>
      <c r="Q87" s="93"/>
      <c r="R87" s="93"/>
      <c r="S87" s="93"/>
      <c r="W87">
        <f t="shared" si="10"/>
        <v>57</v>
      </c>
      <c r="X87" s="18">
        <f t="shared" ca="1" si="11"/>
        <v>47950</v>
      </c>
      <c r="Y87" s="1">
        <f t="shared" ca="1" si="9"/>
        <v>5555.5555555555557</v>
      </c>
      <c r="Z87">
        <f t="shared" ca="1" si="12"/>
        <v>1710</v>
      </c>
      <c r="AA87" s="1">
        <f t="shared" ca="1" si="13"/>
        <v>83.138888888888886</v>
      </c>
    </row>
    <row r="88" spans="1:27" customFormat="1" x14ac:dyDescent="0.25">
      <c r="A88" s="68" t="str">
        <f t="shared" ref="A88:A151" si="14">IF(A87&lt;B$17,A87+1,"")</f>
        <v/>
      </c>
      <c r="B88" s="68" t="str">
        <f t="shared" ref="B88:B151" si="15">IF(A88="","",IF(A88&lt;=B$16,"carência","amortização"))</f>
        <v/>
      </c>
      <c r="C88" s="156" t="str">
        <f t="shared" si="8"/>
        <v/>
      </c>
      <c r="D88" s="156" t="str">
        <f t="shared" si="7"/>
        <v/>
      </c>
      <c r="E88" s="162" t="str">
        <f t="shared" ref="E88:E151" si="16">IF(D88="","",IF(A88&lt;=B$16,0,F$23/(B$17-B$16)))</f>
        <v/>
      </c>
      <c r="F88" s="156" t="str">
        <f t="shared" ref="F88:F151" si="17">IF(G88="","",F87-E88)</f>
        <v/>
      </c>
      <c r="G88" s="171" t="str">
        <f t="shared" ref="G88:G151" si="18">IF(E88="","",C88+D88+E88)</f>
        <v/>
      </c>
      <c r="M88" s="18"/>
      <c r="O88" s="93"/>
      <c r="P88" s="93"/>
      <c r="Q88" s="93"/>
      <c r="R88" s="93"/>
      <c r="S88" s="93"/>
      <c r="W88">
        <f t="shared" si="10"/>
        <v>58</v>
      </c>
      <c r="X88" s="18">
        <f t="shared" ca="1" si="11"/>
        <v>47980</v>
      </c>
      <c r="Y88" s="1">
        <f t="shared" ca="1" si="9"/>
        <v>5555.5555555555557</v>
      </c>
      <c r="Z88">
        <f t="shared" ca="1" si="12"/>
        <v>1740</v>
      </c>
      <c r="AA88" s="1">
        <f t="shared" ca="1" si="13"/>
        <v>83.138888888888886</v>
      </c>
    </row>
    <row r="89" spans="1:27" customFormat="1" x14ac:dyDescent="0.25">
      <c r="A89" s="68" t="str">
        <f t="shared" si="14"/>
        <v/>
      </c>
      <c r="B89" s="68" t="str">
        <f t="shared" si="15"/>
        <v/>
      </c>
      <c r="C89" s="156" t="str">
        <f t="shared" si="8"/>
        <v/>
      </c>
      <c r="D89" s="156" t="str">
        <f t="shared" si="7"/>
        <v/>
      </c>
      <c r="E89" s="162" t="str">
        <f t="shared" si="16"/>
        <v/>
      </c>
      <c r="F89" s="156" t="str">
        <f t="shared" si="17"/>
        <v/>
      </c>
      <c r="G89" s="171" t="str">
        <f t="shared" si="18"/>
        <v/>
      </c>
      <c r="M89" s="18"/>
      <c r="O89" s="93"/>
      <c r="P89" s="93"/>
      <c r="Q89" s="93"/>
      <c r="R89" s="93"/>
      <c r="S89" s="93"/>
      <c r="W89">
        <f t="shared" si="10"/>
        <v>59</v>
      </c>
      <c r="X89" s="18">
        <f t="shared" ca="1" si="11"/>
        <v>48010</v>
      </c>
      <c r="Y89" s="1">
        <f t="shared" ca="1" si="9"/>
        <v>5555.5555555555557</v>
      </c>
      <c r="Z89">
        <f t="shared" ca="1" si="12"/>
        <v>1770</v>
      </c>
      <c r="AA89" s="1">
        <f t="shared" ca="1" si="13"/>
        <v>83.138888888888886</v>
      </c>
    </row>
    <row r="90" spans="1:27" customFormat="1" x14ac:dyDescent="0.25">
      <c r="A90" s="68" t="str">
        <f t="shared" si="14"/>
        <v/>
      </c>
      <c r="B90" s="68" t="str">
        <f t="shared" si="15"/>
        <v/>
      </c>
      <c r="C90" s="156" t="str">
        <f t="shared" si="8"/>
        <v/>
      </c>
      <c r="D90" s="156" t="str">
        <f t="shared" si="7"/>
        <v/>
      </c>
      <c r="E90" s="162" t="str">
        <f t="shared" si="16"/>
        <v/>
      </c>
      <c r="F90" s="156" t="str">
        <f t="shared" si="17"/>
        <v/>
      </c>
      <c r="G90" s="171" t="str">
        <f t="shared" si="18"/>
        <v/>
      </c>
      <c r="M90" s="18"/>
      <c r="O90" s="93"/>
      <c r="P90" s="93"/>
      <c r="Q90" s="93"/>
      <c r="R90" s="93"/>
      <c r="S90" s="93"/>
      <c r="W90">
        <f t="shared" si="10"/>
        <v>60</v>
      </c>
      <c r="X90" s="18">
        <f t="shared" ca="1" si="11"/>
        <v>48040</v>
      </c>
      <c r="Y90" s="1">
        <f t="shared" ca="1" si="9"/>
        <v>5555.5555555555557</v>
      </c>
      <c r="Z90">
        <f t="shared" ca="1" si="12"/>
        <v>1800</v>
      </c>
      <c r="AA90" s="1">
        <f t="shared" ca="1" si="13"/>
        <v>83.138888888888886</v>
      </c>
    </row>
    <row r="91" spans="1:27" customFormat="1" x14ac:dyDescent="0.25">
      <c r="A91" s="68" t="str">
        <f t="shared" si="14"/>
        <v/>
      </c>
      <c r="B91" s="68" t="str">
        <f t="shared" si="15"/>
        <v/>
      </c>
      <c r="C91" s="156" t="str">
        <f t="shared" si="8"/>
        <v/>
      </c>
      <c r="D91" s="156" t="str">
        <f t="shared" ref="D91:D154" si="19">IF(B91="","",((1+(D$16))^(22/252)-1)*(F90))</f>
        <v/>
      </c>
      <c r="E91" s="162" t="str">
        <f t="shared" si="16"/>
        <v/>
      </c>
      <c r="F91" s="156" t="str">
        <f t="shared" si="17"/>
        <v/>
      </c>
      <c r="G91" s="171" t="str">
        <f t="shared" si="18"/>
        <v/>
      </c>
      <c r="M91" s="18"/>
      <c r="O91" s="93"/>
      <c r="P91" s="93"/>
      <c r="Q91" s="93"/>
      <c r="R91" s="93"/>
      <c r="S91" s="93"/>
      <c r="W91" t="str">
        <f t="shared" si="10"/>
        <v/>
      </c>
      <c r="X91" s="18" t="str">
        <f t="shared" si="11"/>
        <v/>
      </c>
      <c r="Y91" s="1" t="str">
        <f t="shared" si="9"/>
        <v/>
      </c>
      <c r="Z91" t="str">
        <f t="shared" si="12"/>
        <v/>
      </c>
      <c r="AA91" s="1" t="str">
        <f t="shared" si="13"/>
        <v/>
      </c>
    </row>
    <row r="92" spans="1:27" customFormat="1" x14ac:dyDescent="0.25">
      <c r="A92" s="68" t="str">
        <f t="shared" si="14"/>
        <v/>
      </c>
      <c r="B92" s="68" t="str">
        <f t="shared" si="15"/>
        <v/>
      </c>
      <c r="C92" s="156" t="str">
        <f t="shared" si="8"/>
        <v/>
      </c>
      <c r="D92" s="156" t="str">
        <f t="shared" si="19"/>
        <v/>
      </c>
      <c r="E92" s="162" t="str">
        <f t="shared" si="16"/>
        <v/>
      </c>
      <c r="F92" s="156" t="str">
        <f t="shared" si="17"/>
        <v/>
      </c>
      <c r="G92" s="171" t="str">
        <f t="shared" si="18"/>
        <v/>
      </c>
      <c r="M92" s="18"/>
      <c r="O92" s="93"/>
      <c r="P92" s="93"/>
      <c r="Q92" s="93"/>
      <c r="R92" s="93"/>
      <c r="S92" s="93"/>
      <c r="W92" t="str">
        <f t="shared" si="10"/>
        <v/>
      </c>
      <c r="X92" s="18" t="str">
        <f t="shared" si="11"/>
        <v/>
      </c>
      <c r="Y92" s="1" t="str">
        <f t="shared" si="9"/>
        <v/>
      </c>
      <c r="Z92" t="str">
        <f t="shared" si="12"/>
        <v/>
      </c>
      <c r="AA92" s="1" t="str">
        <f t="shared" si="13"/>
        <v/>
      </c>
    </row>
    <row r="93" spans="1:27" customFormat="1" x14ac:dyDescent="0.25">
      <c r="A93" s="68" t="str">
        <f t="shared" si="14"/>
        <v/>
      </c>
      <c r="B93" s="68" t="str">
        <f t="shared" si="15"/>
        <v/>
      </c>
      <c r="C93" s="156" t="str">
        <f t="shared" ref="C93:C156" si="20">IF(B93="","",((1+(D$15))^(22/252)-1)*(F92+D93))</f>
        <v/>
      </c>
      <c r="D93" s="156" t="str">
        <f t="shared" si="19"/>
        <v/>
      </c>
      <c r="E93" s="162" t="str">
        <f t="shared" si="16"/>
        <v/>
      </c>
      <c r="F93" s="156" t="str">
        <f t="shared" si="17"/>
        <v/>
      </c>
      <c r="G93" s="171" t="str">
        <f t="shared" si="18"/>
        <v/>
      </c>
      <c r="M93" s="18"/>
      <c r="O93" s="93"/>
      <c r="P93" s="93"/>
      <c r="Q93" s="93"/>
      <c r="R93" s="93"/>
      <c r="S93" s="93"/>
      <c r="W93" t="str">
        <f t="shared" si="10"/>
        <v/>
      </c>
      <c r="X93" s="18" t="str">
        <f t="shared" si="11"/>
        <v/>
      </c>
      <c r="Y93" s="1" t="str">
        <f t="shared" si="9"/>
        <v/>
      </c>
      <c r="Z93" t="str">
        <f t="shared" si="12"/>
        <v/>
      </c>
      <c r="AA93" s="1" t="str">
        <f t="shared" si="13"/>
        <v/>
      </c>
    </row>
    <row r="94" spans="1:27" customFormat="1" x14ac:dyDescent="0.25">
      <c r="A94" s="68" t="str">
        <f t="shared" si="14"/>
        <v/>
      </c>
      <c r="B94" s="68" t="str">
        <f t="shared" si="15"/>
        <v/>
      </c>
      <c r="C94" s="156" t="str">
        <f t="shared" si="20"/>
        <v/>
      </c>
      <c r="D94" s="156" t="str">
        <f t="shared" si="19"/>
        <v/>
      </c>
      <c r="E94" s="162" t="str">
        <f t="shared" si="16"/>
        <v/>
      </c>
      <c r="F94" s="156" t="str">
        <f t="shared" si="17"/>
        <v/>
      </c>
      <c r="G94" s="171" t="str">
        <f t="shared" si="18"/>
        <v/>
      </c>
      <c r="M94" s="18"/>
      <c r="O94" s="93"/>
      <c r="P94" s="93"/>
      <c r="Q94" s="93"/>
      <c r="R94" s="93"/>
      <c r="S94" s="93"/>
      <c r="W94" t="str">
        <f t="shared" si="10"/>
        <v/>
      </c>
      <c r="X94" s="18" t="str">
        <f t="shared" si="11"/>
        <v/>
      </c>
      <c r="Y94" s="1" t="str">
        <f t="shared" ref="Y94:Y157" si="21">IF(X94="","",IF(W94&lt;=B$16,0,Y$27/(B$17-B$16)))</f>
        <v/>
      </c>
      <c r="Z94" t="str">
        <f t="shared" si="12"/>
        <v/>
      </c>
      <c r="AA94" s="1" t="str">
        <f t="shared" si="13"/>
        <v/>
      </c>
    </row>
    <row r="95" spans="1:27" customFormat="1" x14ac:dyDescent="0.25">
      <c r="A95" s="68" t="str">
        <f t="shared" si="14"/>
        <v/>
      </c>
      <c r="B95" s="68" t="str">
        <f t="shared" si="15"/>
        <v/>
      </c>
      <c r="C95" s="156" t="str">
        <f t="shared" si="20"/>
        <v/>
      </c>
      <c r="D95" s="156" t="str">
        <f t="shared" si="19"/>
        <v/>
      </c>
      <c r="E95" s="162" t="str">
        <f t="shared" si="16"/>
        <v/>
      </c>
      <c r="F95" s="156" t="str">
        <f t="shared" si="17"/>
        <v/>
      </c>
      <c r="G95" s="171" t="str">
        <f t="shared" si="18"/>
        <v/>
      </c>
      <c r="M95" s="18"/>
      <c r="O95" s="93"/>
      <c r="P95" s="93"/>
      <c r="Q95" s="93"/>
      <c r="R95" s="93"/>
      <c r="S95" s="93"/>
      <c r="W95" t="str">
        <f t="shared" si="10"/>
        <v/>
      </c>
      <c r="X95" s="18" t="str">
        <f t="shared" si="11"/>
        <v/>
      </c>
      <c r="Y95" s="1" t="str">
        <f t="shared" si="21"/>
        <v/>
      </c>
      <c r="Z95" t="str">
        <f t="shared" si="12"/>
        <v/>
      </c>
      <c r="AA95" s="1" t="str">
        <f t="shared" si="13"/>
        <v/>
      </c>
    </row>
    <row r="96" spans="1:27" customFormat="1" x14ac:dyDescent="0.25">
      <c r="A96" s="68" t="str">
        <f t="shared" si="14"/>
        <v/>
      </c>
      <c r="B96" s="68" t="str">
        <f t="shared" si="15"/>
        <v/>
      </c>
      <c r="C96" s="156" t="str">
        <f t="shared" si="20"/>
        <v/>
      </c>
      <c r="D96" s="156" t="str">
        <f t="shared" si="19"/>
        <v/>
      </c>
      <c r="E96" s="162" t="str">
        <f t="shared" si="16"/>
        <v/>
      </c>
      <c r="F96" s="156" t="str">
        <f t="shared" si="17"/>
        <v/>
      </c>
      <c r="G96" s="171" t="str">
        <f t="shared" si="18"/>
        <v/>
      </c>
      <c r="M96" s="18"/>
      <c r="O96" s="93"/>
      <c r="P96" s="93"/>
      <c r="Q96" s="93"/>
      <c r="R96" s="93"/>
      <c r="S96" s="93"/>
      <c r="W96" t="str">
        <f t="shared" ref="W96:W159" si="22">IF(W95&lt;B$17,W95+1,"")</f>
        <v/>
      </c>
      <c r="X96" s="18" t="str">
        <f t="shared" ref="X96:X159" si="23">IF(W96="","",X95+30)</f>
        <v/>
      </c>
      <c r="Y96" s="1" t="str">
        <f t="shared" si="21"/>
        <v/>
      </c>
      <c r="Z96" t="str">
        <f t="shared" ref="Z96:Z159" si="24">IF(Y96="","",X96-X$30)</f>
        <v/>
      </c>
      <c r="AA96" s="1" t="str">
        <f t="shared" ref="AA96:AA159" si="25">IF(Z96="","",IF(Z96&lt;365,Z96*Y96*Y$26,365*Y96*Y$26))</f>
        <v/>
      </c>
    </row>
    <row r="97" spans="1:27" customFormat="1" x14ac:dyDescent="0.25">
      <c r="A97" s="68" t="str">
        <f t="shared" si="14"/>
        <v/>
      </c>
      <c r="B97" s="68" t="str">
        <f t="shared" si="15"/>
        <v/>
      </c>
      <c r="C97" s="156" t="str">
        <f t="shared" si="20"/>
        <v/>
      </c>
      <c r="D97" s="156" t="str">
        <f t="shared" si="19"/>
        <v/>
      </c>
      <c r="E97" s="162" t="str">
        <f t="shared" si="16"/>
        <v/>
      </c>
      <c r="F97" s="156" t="str">
        <f t="shared" si="17"/>
        <v/>
      </c>
      <c r="G97" s="171" t="str">
        <f t="shared" si="18"/>
        <v/>
      </c>
      <c r="M97" s="18"/>
      <c r="O97" s="93"/>
      <c r="P97" s="93"/>
      <c r="Q97" s="93"/>
      <c r="R97" s="93"/>
      <c r="S97" s="93"/>
      <c r="W97" t="str">
        <f t="shared" si="22"/>
        <v/>
      </c>
      <c r="X97" s="18" t="str">
        <f t="shared" si="23"/>
        <v/>
      </c>
      <c r="Y97" s="1" t="str">
        <f t="shared" si="21"/>
        <v/>
      </c>
      <c r="Z97" t="str">
        <f t="shared" si="24"/>
        <v/>
      </c>
      <c r="AA97" s="1" t="str">
        <f t="shared" si="25"/>
        <v/>
      </c>
    </row>
    <row r="98" spans="1:27" customFormat="1" x14ac:dyDescent="0.25">
      <c r="A98" s="68" t="str">
        <f t="shared" si="14"/>
        <v/>
      </c>
      <c r="B98" s="68" t="str">
        <f t="shared" si="15"/>
        <v/>
      </c>
      <c r="C98" s="156" t="str">
        <f t="shared" si="20"/>
        <v/>
      </c>
      <c r="D98" s="156" t="str">
        <f t="shared" si="19"/>
        <v/>
      </c>
      <c r="E98" s="162" t="str">
        <f t="shared" si="16"/>
        <v/>
      </c>
      <c r="F98" s="156" t="str">
        <f t="shared" si="17"/>
        <v/>
      </c>
      <c r="G98" s="171" t="str">
        <f t="shared" si="18"/>
        <v/>
      </c>
      <c r="M98" s="18"/>
      <c r="O98" s="93"/>
      <c r="P98" s="93"/>
      <c r="Q98" s="93"/>
      <c r="R98" s="93"/>
      <c r="S98" s="93"/>
      <c r="W98" t="str">
        <f t="shared" si="22"/>
        <v/>
      </c>
      <c r="X98" s="18" t="str">
        <f t="shared" si="23"/>
        <v/>
      </c>
      <c r="Y98" s="1" t="str">
        <f t="shared" si="21"/>
        <v/>
      </c>
      <c r="Z98" t="str">
        <f t="shared" si="24"/>
        <v/>
      </c>
      <c r="AA98" s="1" t="str">
        <f t="shared" si="25"/>
        <v/>
      </c>
    </row>
    <row r="99" spans="1:27" customFormat="1" x14ac:dyDescent="0.25">
      <c r="A99" s="68" t="str">
        <f t="shared" si="14"/>
        <v/>
      </c>
      <c r="B99" s="68" t="str">
        <f t="shared" si="15"/>
        <v/>
      </c>
      <c r="C99" s="156" t="str">
        <f t="shared" si="20"/>
        <v/>
      </c>
      <c r="D99" s="156" t="str">
        <f t="shared" si="19"/>
        <v/>
      </c>
      <c r="E99" s="162" t="str">
        <f t="shared" si="16"/>
        <v/>
      </c>
      <c r="F99" s="156" t="str">
        <f t="shared" si="17"/>
        <v/>
      </c>
      <c r="G99" s="171" t="str">
        <f t="shared" si="18"/>
        <v/>
      </c>
      <c r="M99" s="18"/>
      <c r="O99" s="93"/>
      <c r="P99" s="93"/>
      <c r="Q99" s="93"/>
      <c r="R99" s="93"/>
      <c r="S99" s="93"/>
      <c r="W99" t="str">
        <f t="shared" si="22"/>
        <v/>
      </c>
      <c r="X99" s="18" t="str">
        <f t="shared" si="23"/>
        <v/>
      </c>
      <c r="Y99" s="1" t="str">
        <f t="shared" si="21"/>
        <v/>
      </c>
      <c r="Z99" t="str">
        <f t="shared" si="24"/>
        <v/>
      </c>
      <c r="AA99" s="1" t="str">
        <f t="shared" si="25"/>
        <v/>
      </c>
    </row>
    <row r="100" spans="1:27" customFormat="1" x14ac:dyDescent="0.25">
      <c r="A100" s="68" t="str">
        <f t="shared" si="14"/>
        <v/>
      </c>
      <c r="B100" s="68" t="str">
        <f t="shared" si="15"/>
        <v/>
      </c>
      <c r="C100" s="156" t="str">
        <f t="shared" si="20"/>
        <v/>
      </c>
      <c r="D100" s="156" t="str">
        <f t="shared" si="19"/>
        <v/>
      </c>
      <c r="E100" s="162" t="str">
        <f t="shared" si="16"/>
        <v/>
      </c>
      <c r="F100" s="156" t="str">
        <f t="shared" si="17"/>
        <v/>
      </c>
      <c r="G100" s="171" t="str">
        <f t="shared" si="18"/>
        <v/>
      </c>
      <c r="M100" s="18"/>
      <c r="O100" s="93"/>
      <c r="P100" s="93"/>
      <c r="Q100" s="93"/>
      <c r="R100" s="93"/>
      <c r="S100" s="93"/>
      <c r="W100" t="str">
        <f t="shared" si="22"/>
        <v/>
      </c>
      <c r="X100" s="18" t="str">
        <f t="shared" si="23"/>
        <v/>
      </c>
      <c r="Y100" s="1" t="str">
        <f t="shared" si="21"/>
        <v/>
      </c>
      <c r="Z100" t="str">
        <f t="shared" si="24"/>
        <v/>
      </c>
      <c r="AA100" s="1" t="str">
        <f t="shared" si="25"/>
        <v/>
      </c>
    </row>
    <row r="101" spans="1:27" customFormat="1" x14ac:dyDescent="0.25">
      <c r="A101" s="68" t="str">
        <f t="shared" si="14"/>
        <v/>
      </c>
      <c r="B101" s="68" t="str">
        <f t="shared" si="15"/>
        <v/>
      </c>
      <c r="C101" s="156" t="str">
        <f t="shared" si="20"/>
        <v/>
      </c>
      <c r="D101" s="156" t="str">
        <f t="shared" si="19"/>
        <v/>
      </c>
      <c r="E101" s="162" t="str">
        <f t="shared" si="16"/>
        <v/>
      </c>
      <c r="F101" s="156" t="str">
        <f t="shared" si="17"/>
        <v/>
      </c>
      <c r="G101" s="171" t="str">
        <f t="shared" si="18"/>
        <v/>
      </c>
      <c r="M101" s="18"/>
      <c r="O101" s="93"/>
      <c r="P101" s="93"/>
      <c r="Q101" s="93"/>
      <c r="R101" s="93"/>
      <c r="S101" s="93"/>
      <c r="W101" t="str">
        <f t="shared" si="22"/>
        <v/>
      </c>
      <c r="X101" s="18" t="str">
        <f t="shared" si="23"/>
        <v/>
      </c>
      <c r="Y101" s="1" t="str">
        <f t="shared" si="21"/>
        <v/>
      </c>
      <c r="Z101" t="str">
        <f t="shared" si="24"/>
        <v/>
      </c>
      <c r="AA101" s="1" t="str">
        <f t="shared" si="25"/>
        <v/>
      </c>
    </row>
    <row r="102" spans="1:27" customFormat="1" x14ac:dyDescent="0.25">
      <c r="A102" s="68" t="str">
        <f t="shared" si="14"/>
        <v/>
      </c>
      <c r="B102" s="68" t="str">
        <f t="shared" si="15"/>
        <v/>
      </c>
      <c r="C102" s="156" t="str">
        <f t="shared" si="20"/>
        <v/>
      </c>
      <c r="D102" s="156" t="str">
        <f t="shared" si="19"/>
        <v/>
      </c>
      <c r="E102" s="162" t="str">
        <f t="shared" si="16"/>
        <v/>
      </c>
      <c r="F102" s="156" t="str">
        <f t="shared" si="17"/>
        <v/>
      </c>
      <c r="G102" s="171" t="str">
        <f t="shared" si="18"/>
        <v/>
      </c>
      <c r="M102" s="18"/>
      <c r="O102" s="93"/>
      <c r="P102" s="93"/>
      <c r="Q102" s="93"/>
      <c r="R102" s="93"/>
      <c r="S102" s="93"/>
      <c r="W102" t="str">
        <f t="shared" si="22"/>
        <v/>
      </c>
      <c r="X102" s="18" t="str">
        <f t="shared" si="23"/>
        <v/>
      </c>
      <c r="Y102" s="1" t="str">
        <f t="shared" si="21"/>
        <v/>
      </c>
      <c r="Z102" t="str">
        <f t="shared" si="24"/>
        <v/>
      </c>
      <c r="AA102" s="1" t="str">
        <f t="shared" si="25"/>
        <v/>
      </c>
    </row>
    <row r="103" spans="1:27" customFormat="1" x14ac:dyDescent="0.25">
      <c r="A103" s="68" t="str">
        <f t="shared" si="14"/>
        <v/>
      </c>
      <c r="B103" s="68" t="str">
        <f t="shared" si="15"/>
        <v/>
      </c>
      <c r="C103" s="156" t="str">
        <f t="shared" si="20"/>
        <v/>
      </c>
      <c r="D103" s="156" t="str">
        <f t="shared" si="19"/>
        <v/>
      </c>
      <c r="E103" s="162" t="str">
        <f t="shared" si="16"/>
        <v/>
      </c>
      <c r="F103" s="156" t="str">
        <f t="shared" si="17"/>
        <v/>
      </c>
      <c r="G103" s="171" t="str">
        <f t="shared" si="18"/>
        <v/>
      </c>
      <c r="M103" s="18"/>
      <c r="O103" s="93"/>
      <c r="P103" s="93"/>
      <c r="Q103" s="93"/>
      <c r="R103" s="93"/>
      <c r="S103" s="93"/>
      <c r="W103" t="str">
        <f t="shared" si="22"/>
        <v/>
      </c>
      <c r="X103" s="18" t="str">
        <f t="shared" si="23"/>
        <v/>
      </c>
      <c r="Y103" s="1" t="str">
        <f t="shared" si="21"/>
        <v/>
      </c>
      <c r="Z103" t="str">
        <f t="shared" si="24"/>
        <v/>
      </c>
      <c r="AA103" s="1" t="str">
        <f t="shared" si="25"/>
        <v/>
      </c>
    </row>
    <row r="104" spans="1:27" customFormat="1" x14ac:dyDescent="0.25">
      <c r="A104" s="68" t="str">
        <f t="shared" si="14"/>
        <v/>
      </c>
      <c r="B104" s="68" t="str">
        <f t="shared" si="15"/>
        <v/>
      </c>
      <c r="C104" s="156" t="str">
        <f t="shared" si="20"/>
        <v/>
      </c>
      <c r="D104" s="156" t="str">
        <f t="shared" si="19"/>
        <v/>
      </c>
      <c r="E104" s="162" t="str">
        <f t="shared" si="16"/>
        <v/>
      </c>
      <c r="F104" s="156" t="str">
        <f t="shared" si="17"/>
        <v/>
      </c>
      <c r="G104" s="171" t="str">
        <f t="shared" si="18"/>
        <v/>
      </c>
      <c r="M104" s="18"/>
      <c r="O104" s="93"/>
      <c r="P104" s="93"/>
      <c r="Q104" s="93"/>
      <c r="R104" s="93"/>
      <c r="S104" s="93"/>
      <c r="W104" t="str">
        <f t="shared" si="22"/>
        <v/>
      </c>
      <c r="X104" s="18" t="str">
        <f t="shared" si="23"/>
        <v/>
      </c>
      <c r="Y104" s="1" t="str">
        <f t="shared" si="21"/>
        <v/>
      </c>
      <c r="Z104" t="str">
        <f t="shared" si="24"/>
        <v/>
      </c>
      <c r="AA104" s="1" t="str">
        <f t="shared" si="25"/>
        <v/>
      </c>
    </row>
    <row r="105" spans="1:27" customFormat="1" x14ac:dyDescent="0.25">
      <c r="A105" s="68" t="str">
        <f t="shared" si="14"/>
        <v/>
      </c>
      <c r="B105" s="68" t="str">
        <f t="shared" si="15"/>
        <v/>
      </c>
      <c r="C105" s="156" t="str">
        <f t="shared" si="20"/>
        <v/>
      </c>
      <c r="D105" s="156" t="str">
        <f t="shared" si="19"/>
        <v/>
      </c>
      <c r="E105" s="162" t="str">
        <f t="shared" si="16"/>
        <v/>
      </c>
      <c r="F105" s="156" t="str">
        <f t="shared" si="17"/>
        <v/>
      </c>
      <c r="G105" s="171" t="str">
        <f t="shared" si="18"/>
        <v/>
      </c>
      <c r="M105" s="18"/>
      <c r="O105" s="93"/>
      <c r="P105" s="93"/>
      <c r="Q105" s="93"/>
      <c r="R105" s="93"/>
      <c r="S105" s="93"/>
      <c r="W105" t="str">
        <f t="shared" si="22"/>
        <v/>
      </c>
      <c r="X105" s="18" t="str">
        <f t="shared" si="23"/>
        <v/>
      </c>
      <c r="Y105" s="1" t="str">
        <f t="shared" si="21"/>
        <v/>
      </c>
      <c r="Z105" t="str">
        <f t="shared" si="24"/>
        <v/>
      </c>
      <c r="AA105" s="1" t="str">
        <f t="shared" si="25"/>
        <v/>
      </c>
    </row>
    <row r="106" spans="1:27" customFormat="1" x14ac:dyDescent="0.25">
      <c r="A106" s="68" t="str">
        <f t="shared" si="14"/>
        <v/>
      </c>
      <c r="B106" s="68" t="str">
        <f t="shared" si="15"/>
        <v/>
      </c>
      <c r="C106" s="156" t="str">
        <f t="shared" si="20"/>
        <v/>
      </c>
      <c r="D106" s="156" t="str">
        <f t="shared" si="19"/>
        <v/>
      </c>
      <c r="E106" s="162" t="str">
        <f t="shared" si="16"/>
        <v/>
      </c>
      <c r="F106" s="156" t="str">
        <f t="shared" si="17"/>
        <v/>
      </c>
      <c r="G106" s="171" t="str">
        <f t="shared" si="18"/>
        <v/>
      </c>
      <c r="M106" s="18"/>
      <c r="O106" s="93"/>
      <c r="P106" s="93"/>
      <c r="Q106" s="93"/>
      <c r="R106" s="93"/>
      <c r="S106" s="93"/>
      <c r="W106" t="str">
        <f t="shared" si="22"/>
        <v/>
      </c>
      <c r="X106" s="18" t="str">
        <f t="shared" si="23"/>
        <v/>
      </c>
      <c r="Y106" s="1" t="str">
        <f t="shared" si="21"/>
        <v/>
      </c>
      <c r="Z106" t="str">
        <f t="shared" si="24"/>
        <v/>
      </c>
      <c r="AA106" s="1" t="str">
        <f t="shared" si="25"/>
        <v/>
      </c>
    </row>
    <row r="107" spans="1:27" customFormat="1" x14ac:dyDescent="0.25">
      <c r="A107" s="68" t="str">
        <f t="shared" si="14"/>
        <v/>
      </c>
      <c r="B107" s="68" t="str">
        <f t="shared" si="15"/>
        <v/>
      </c>
      <c r="C107" s="156" t="str">
        <f t="shared" si="20"/>
        <v/>
      </c>
      <c r="D107" s="156" t="str">
        <f t="shared" si="19"/>
        <v/>
      </c>
      <c r="E107" s="162" t="str">
        <f t="shared" si="16"/>
        <v/>
      </c>
      <c r="F107" s="156" t="str">
        <f t="shared" si="17"/>
        <v/>
      </c>
      <c r="G107" s="171" t="str">
        <f t="shared" si="18"/>
        <v/>
      </c>
      <c r="M107" s="18"/>
      <c r="O107" s="93"/>
      <c r="P107" s="93"/>
      <c r="Q107" s="93"/>
      <c r="R107" s="93"/>
      <c r="S107" s="93"/>
      <c r="W107" t="str">
        <f t="shared" si="22"/>
        <v/>
      </c>
      <c r="X107" s="18" t="str">
        <f t="shared" si="23"/>
        <v/>
      </c>
      <c r="Y107" s="1" t="str">
        <f t="shared" si="21"/>
        <v/>
      </c>
      <c r="Z107" t="str">
        <f t="shared" si="24"/>
        <v/>
      </c>
      <c r="AA107" s="1" t="str">
        <f t="shared" si="25"/>
        <v/>
      </c>
    </row>
    <row r="108" spans="1:27" customFormat="1" x14ac:dyDescent="0.25">
      <c r="A108" s="68" t="str">
        <f t="shared" si="14"/>
        <v/>
      </c>
      <c r="B108" s="68" t="str">
        <f t="shared" si="15"/>
        <v/>
      </c>
      <c r="C108" s="156" t="str">
        <f t="shared" si="20"/>
        <v/>
      </c>
      <c r="D108" s="156" t="str">
        <f t="shared" si="19"/>
        <v/>
      </c>
      <c r="E108" s="162" t="str">
        <f t="shared" si="16"/>
        <v/>
      </c>
      <c r="F108" s="156" t="str">
        <f t="shared" si="17"/>
        <v/>
      </c>
      <c r="G108" s="171" t="str">
        <f t="shared" si="18"/>
        <v/>
      </c>
      <c r="M108" s="18"/>
      <c r="O108" s="93"/>
      <c r="P108" s="93"/>
      <c r="Q108" s="93"/>
      <c r="R108" s="93"/>
      <c r="S108" s="93"/>
      <c r="W108" t="str">
        <f t="shared" si="22"/>
        <v/>
      </c>
      <c r="X108" s="18" t="str">
        <f t="shared" si="23"/>
        <v/>
      </c>
      <c r="Y108" s="1" t="str">
        <f t="shared" si="21"/>
        <v/>
      </c>
      <c r="Z108" t="str">
        <f t="shared" si="24"/>
        <v/>
      </c>
      <c r="AA108" s="1" t="str">
        <f t="shared" si="25"/>
        <v/>
      </c>
    </row>
    <row r="109" spans="1:27" customFormat="1" x14ac:dyDescent="0.25">
      <c r="A109" s="68" t="str">
        <f t="shared" si="14"/>
        <v/>
      </c>
      <c r="B109" s="68" t="str">
        <f t="shared" si="15"/>
        <v/>
      </c>
      <c r="C109" s="156" t="str">
        <f t="shared" si="20"/>
        <v/>
      </c>
      <c r="D109" s="156" t="str">
        <f t="shared" si="19"/>
        <v/>
      </c>
      <c r="E109" s="162" t="str">
        <f t="shared" si="16"/>
        <v/>
      </c>
      <c r="F109" s="156" t="str">
        <f t="shared" si="17"/>
        <v/>
      </c>
      <c r="G109" s="171" t="str">
        <f t="shared" si="18"/>
        <v/>
      </c>
      <c r="M109" s="18"/>
      <c r="O109" s="93"/>
      <c r="P109" s="93"/>
      <c r="Q109" s="93"/>
      <c r="R109" s="93"/>
      <c r="S109" s="93"/>
      <c r="W109" t="str">
        <f t="shared" si="22"/>
        <v/>
      </c>
      <c r="X109" s="18" t="str">
        <f t="shared" si="23"/>
        <v/>
      </c>
      <c r="Y109" s="1" t="str">
        <f t="shared" si="21"/>
        <v/>
      </c>
      <c r="Z109" t="str">
        <f t="shared" si="24"/>
        <v/>
      </c>
      <c r="AA109" s="1" t="str">
        <f t="shared" si="25"/>
        <v/>
      </c>
    </row>
    <row r="110" spans="1:27" customFormat="1" x14ac:dyDescent="0.25">
      <c r="A110" s="68" t="str">
        <f t="shared" si="14"/>
        <v/>
      </c>
      <c r="B110" s="68" t="str">
        <f t="shared" si="15"/>
        <v/>
      </c>
      <c r="C110" s="156" t="str">
        <f t="shared" si="20"/>
        <v/>
      </c>
      <c r="D110" s="156" t="str">
        <f t="shared" si="19"/>
        <v/>
      </c>
      <c r="E110" s="162" t="str">
        <f t="shared" si="16"/>
        <v/>
      </c>
      <c r="F110" s="156" t="str">
        <f t="shared" si="17"/>
        <v/>
      </c>
      <c r="G110" s="171" t="str">
        <f t="shared" si="18"/>
        <v/>
      </c>
      <c r="M110" s="18"/>
      <c r="O110" s="93"/>
      <c r="P110" s="93"/>
      <c r="Q110" s="93"/>
      <c r="R110" s="93"/>
      <c r="S110" s="93"/>
      <c r="W110" t="str">
        <f t="shared" si="22"/>
        <v/>
      </c>
      <c r="X110" s="18" t="str">
        <f t="shared" si="23"/>
        <v/>
      </c>
      <c r="Y110" s="1" t="str">
        <f t="shared" si="21"/>
        <v/>
      </c>
      <c r="Z110" t="str">
        <f t="shared" si="24"/>
        <v/>
      </c>
      <c r="AA110" s="1" t="str">
        <f t="shared" si="25"/>
        <v/>
      </c>
    </row>
    <row r="111" spans="1:27" customFormat="1" x14ac:dyDescent="0.25">
      <c r="A111" s="68" t="str">
        <f t="shared" si="14"/>
        <v/>
      </c>
      <c r="B111" s="68" t="str">
        <f t="shared" si="15"/>
        <v/>
      </c>
      <c r="C111" s="156" t="str">
        <f t="shared" si="20"/>
        <v/>
      </c>
      <c r="D111" s="156" t="str">
        <f t="shared" si="19"/>
        <v/>
      </c>
      <c r="E111" s="162" t="str">
        <f t="shared" si="16"/>
        <v/>
      </c>
      <c r="F111" s="156" t="str">
        <f t="shared" si="17"/>
        <v/>
      </c>
      <c r="G111" s="171" t="str">
        <f t="shared" si="18"/>
        <v/>
      </c>
      <c r="M111" s="18"/>
      <c r="O111" s="93"/>
      <c r="P111" s="93"/>
      <c r="Q111" s="93"/>
      <c r="R111" s="93"/>
      <c r="S111" s="93"/>
      <c r="W111" t="str">
        <f t="shared" si="22"/>
        <v/>
      </c>
      <c r="X111" s="18" t="str">
        <f t="shared" si="23"/>
        <v/>
      </c>
      <c r="Y111" s="1" t="str">
        <f t="shared" si="21"/>
        <v/>
      </c>
      <c r="Z111" t="str">
        <f t="shared" si="24"/>
        <v/>
      </c>
      <c r="AA111" s="1" t="str">
        <f t="shared" si="25"/>
        <v/>
      </c>
    </row>
    <row r="112" spans="1:27" customFormat="1" x14ac:dyDescent="0.25">
      <c r="A112" s="68" t="str">
        <f t="shared" si="14"/>
        <v/>
      </c>
      <c r="B112" s="68" t="str">
        <f t="shared" si="15"/>
        <v/>
      </c>
      <c r="C112" s="156" t="str">
        <f t="shared" si="20"/>
        <v/>
      </c>
      <c r="D112" s="156" t="str">
        <f t="shared" si="19"/>
        <v/>
      </c>
      <c r="E112" s="162" t="str">
        <f t="shared" si="16"/>
        <v/>
      </c>
      <c r="F112" s="156" t="str">
        <f t="shared" si="17"/>
        <v/>
      </c>
      <c r="G112" s="171" t="str">
        <f t="shared" si="18"/>
        <v/>
      </c>
      <c r="M112" s="18"/>
      <c r="O112" s="93"/>
      <c r="P112" s="93"/>
      <c r="Q112" s="93"/>
      <c r="R112" s="93"/>
      <c r="S112" s="93"/>
      <c r="W112" t="str">
        <f t="shared" si="22"/>
        <v/>
      </c>
      <c r="X112" s="18" t="str">
        <f t="shared" si="23"/>
        <v/>
      </c>
      <c r="Y112" s="1" t="str">
        <f t="shared" si="21"/>
        <v/>
      </c>
      <c r="Z112" t="str">
        <f t="shared" si="24"/>
        <v/>
      </c>
      <c r="AA112" s="1" t="str">
        <f t="shared" si="25"/>
        <v/>
      </c>
    </row>
    <row r="113" spans="1:27" customFormat="1" x14ac:dyDescent="0.25">
      <c r="A113" s="68" t="str">
        <f t="shared" si="14"/>
        <v/>
      </c>
      <c r="B113" s="68" t="str">
        <f t="shared" si="15"/>
        <v/>
      </c>
      <c r="C113" s="156" t="str">
        <f t="shared" si="20"/>
        <v/>
      </c>
      <c r="D113" s="156" t="str">
        <f t="shared" si="19"/>
        <v/>
      </c>
      <c r="E113" s="162" t="str">
        <f t="shared" si="16"/>
        <v/>
      </c>
      <c r="F113" s="156" t="str">
        <f t="shared" si="17"/>
        <v/>
      </c>
      <c r="G113" s="171" t="str">
        <f t="shared" si="18"/>
        <v/>
      </c>
      <c r="M113" s="18"/>
      <c r="O113" s="93"/>
      <c r="P113" s="93"/>
      <c r="Q113" s="93"/>
      <c r="R113" s="93"/>
      <c r="S113" s="93"/>
      <c r="W113" t="str">
        <f t="shared" si="22"/>
        <v/>
      </c>
      <c r="X113" s="18" t="str">
        <f t="shared" si="23"/>
        <v/>
      </c>
      <c r="Y113" s="1" t="str">
        <f t="shared" si="21"/>
        <v/>
      </c>
      <c r="Z113" t="str">
        <f t="shared" si="24"/>
        <v/>
      </c>
      <c r="AA113" s="1" t="str">
        <f t="shared" si="25"/>
        <v/>
      </c>
    </row>
    <row r="114" spans="1:27" customFormat="1" x14ac:dyDescent="0.25">
      <c r="A114" s="68" t="str">
        <f t="shared" si="14"/>
        <v/>
      </c>
      <c r="B114" s="68" t="str">
        <f t="shared" si="15"/>
        <v/>
      </c>
      <c r="C114" s="156" t="str">
        <f t="shared" si="20"/>
        <v/>
      </c>
      <c r="D114" s="156" t="str">
        <f t="shared" si="19"/>
        <v/>
      </c>
      <c r="E114" s="162" t="str">
        <f t="shared" si="16"/>
        <v/>
      </c>
      <c r="F114" s="156" t="str">
        <f t="shared" si="17"/>
        <v/>
      </c>
      <c r="G114" s="171" t="str">
        <f t="shared" si="18"/>
        <v/>
      </c>
      <c r="M114" s="18"/>
      <c r="O114" s="93"/>
      <c r="P114" s="93"/>
      <c r="Q114" s="93"/>
      <c r="R114" s="93"/>
      <c r="S114" s="93"/>
      <c r="W114" t="str">
        <f t="shared" si="22"/>
        <v/>
      </c>
      <c r="X114" s="18" t="str">
        <f t="shared" si="23"/>
        <v/>
      </c>
      <c r="Y114" s="1" t="str">
        <f t="shared" si="21"/>
        <v/>
      </c>
      <c r="Z114" t="str">
        <f t="shared" si="24"/>
        <v/>
      </c>
      <c r="AA114" s="1" t="str">
        <f t="shared" si="25"/>
        <v/>
      </c>
    </row>
    <row r="115" spans="1:27" customFormat="1" x14ac:dyDescent="0.25">
      <c r="A115" s="68" t="str">
        <f t="shared" si="14"/>
        <v/>
      </c>
      <c r="B115" s="68" t="str">
        <f t="shared" si="15"/>
        <v/>
      </c>
      <c r="C115" s="156" t="str">
        <f t="shared" si="20"/>
        <v/>
      </c>
      <c r="D115" s="156" t="str">
        <f t="shared" si="19"/>
        <v/>
      </c>
      <c r="E115" s="162" t="str">
        <f t="shared" si="16"/>
        <v/>
      </c>
      <c r="F115" s="156" t="str">
        <f t="shared" si="17"/>
        <v/>
      </c>
      <c r="G115" s="171" t="str">
        <f t="shared" si="18"/>
        <v/>
      </c>
      <c r="M115" s="18"/>
      <c r="O115" s="93"/>
      <c r="P115" s="93"/>
      <c r="Q115" s="93"/>
      <c r="R115" s="93"/>
      <c r="S115" s="93"/>
      <c r="W115" t="str">
        <f t="shared" si="22"/>
        <v/>
      </c>
      <c r="X115" s="18" t="str">
        <f t="shared" si="23"/>
        <v/>
      </c>
      <c r="Y115" s="1" t="str">
        <f t="shared" si="21"/>
        <v/>
      </c>
      <c r="Z115" t="str">
        <f t="shared" si="24"/>
        <v/>
      </c>
      <c r="AA115" s="1" t="str">
        <f t="shared" si="25"/>
        <v/>
      </c>
    </row>
    <row r="116" spans="1:27" customFormat="1" x14ac:dyDescent="0.25">
      <c r="A116" s="68" t="str">
        <f t="shared" si="14"/>
        <v/>
      </c>
      <c r="B116" s="68" t="str">
        <f t="shared" si="15"/>
        <v/>
      </c>
      <c r="C116" s="156" t="str">
        <f t="shared" si="20"/>
        <v/>
      </c>
      <c r="D116" s="156" t="str">
        <f t="shared" si="19"/>
        <v/>
      </c>
      <c r="E116" s="162" t="str">
        <f t="shared" si="16"/>
        <v/>
      </c>
      <c r="F116" s="156" t="str">
        <f t="shared" si="17"/>
        <v/>
      </c>
      <c r="G116" s="171" t="str">
        <f t="shared" si="18"/>
        <v/>
      </c>
      <c r="O116" s="93"/>
      <c r="P116" s="93"/>
      <c r="Q116" s="93"/>
      <c r="R116" s="93"/>
      <c r="S116" s="93"/>
      <c r="W116" t="str">
        <f t="shared" si="22"/>
        <v/>
      </c>
      <c r="X116" s="18" t="str">
        <f t="shared" si="23"/>
        <v/>
      </c>
      <c r="Y116" s="1" t="str">
        <f t="shared" si="21"/>
        <v/>
      </c>
      <c r="Z116" t="str">
        <f t="shared" si="24"/>
        <v/>
      </c>
      <c r="AA116" s="1" t="str">
        <f t="shared" si="25"/>
        <v/>
      </c>
    </row>
    <row r="117" spans="1:27" customFormat="1" x14ac:dyDescent="0.25">
      <c r="A117" s="68" t="str">
        <f t="shared" si="14"/>
        <v/>
      </c>
      <c r="B117" s="68" t="str">
        <f t="shared" si="15"/>
        <v/>
      </c>
      <c r="C117" s="156" t="str">
        <f t="shared" si="20"/>
        <v/>
      </c>
      <c r="D117" s="156" t="str">
        <f t="shared" si="19"/>
        <v/>
      </c>
      <c r="E117" s="162" t="str">
        <f t="shared" si="16"/>
        <v/>
      </c>
      <c r="F117" s="156" t="str">
        <f t="shared" si="17"/>
        <v/>
      </c>
      <c r="G117" s="171" t="str">
        <f t="shared" si="18"/>
        <v/>
      </c>
      <c r="O117" s="93"/>
      <c r="P117" s="93"/>
      <c r="Q117" s="93"/>
      <c r="R117" s="93"/>
      <c r="S117" s="93"/>
      <c r="W117" t="str">
        <f t="shared" si="22"/>
        <v/>
      </c>
      <c r="X117" s="18" t="str">
        <f t="shared" si="23"/>
        <v/>
      </c>
      <c r="Y117" s="1" t="str">
        <f t="shared" si="21"/>
        <v/>
      </c>
      <c r="Z117" t="str">
        <f t="shared" si="24"/>
        <v/>
      </c>
      <c r="AA117" s="1" t="str">
        <f t="shared" si="25"/>
        <v/>
      </c>
    </row>
    <row r="118" spans="1:27" customFormat="1" x14ac:dyDescent="0.25">
      <c r="A118" s="68" t="str">
        <f t="shared" si="14"/>
        <v/>
      </c>
      <c r="B118" s="68" t="str">
        <f t="shared" si="15"/>
        <v/>
      </c>
      <c r="C118" s="156" t="str">
        <f t="shared" si="20"/>
        <v/>
      </c>
      <c r="D118" s="156" t="str">
        <f t="shared" si="19"/>
        <v/>
      </c>
      <c r="E118" s="162" t="str">
        <f t="shared" si="16"/>
        <v/>
      </c>
      <c r="F118" s="156" t="str">
        <f t="shared" si="17"/>
        <v/>
      </c>
      <c r="G118" s="171" t="str">
        <f t="shared" si="18"/>
        <v/>
      </c>
      <c r="O118" s="93"/>
      <c r="P118" s="93"/>
      <c r="Q118" s="93"/>
      <c r="R118" s="93"/>
      <c r="S118" s="93"/>
      <c r="W118" t="str">
        <f t="shared" si="22"/>
        <v/>
      </c>
      <c r="X118" s="18" t="str">
        <f t="shared" si="23"/>
        <v/>
      </c>
      <c r="Y118" s="1" t="str">
        <f t="shared" si="21"/>
        <v/>
      </c>
      <c r="Z118" t="str">
        <f t="shared" si="24"/>
        <v/>
      </c>
      <c r="AA118" s="1" t="str">
        <f t="shared" si="25"/>
        <v/>
      </c>
    </row>
    <row r="119" spans="1:27" customFormat="1" x14ac:dyDescent="0.25">
      <c r="A119" s="68" t="str">
        <f t="shared" si="14"/>
        <v/>
      </c>
      <c r="B119" s="68" t="str">
        <f t="shared" si="15"/>
        <v/>
      </c>
      <c r="C119" s="156" t="str">
        <f t="shared" si="20"/>
        <v/>
      </c>
      <c r="D119" s="156" t="str">
        <f t="shared" si="19"/>
        <v/>
      </c>
      <c r="E119" s="162" t="str">
        <f t="shared" si="16"/>
        <v/>
      </c>
      <c r="F119" s="156" t="str">
        <f t="shared" si="17"/>
        <v/>
      </c>
      <c r="G119" s="171" t="str">
        <f t="shared" si="18"/>
        <v/>
      </c>
      <c r="O119" s="93"/>
      <c r="P119" s="93"/>
      <c r="Q119" s="93"/>
      <c r="R119" s="93"/>
      <c r="S119" s="93"/>
      <c r="W119" t="str">
        <f t="shared" si="22"/>
        <v/>
      </c>
      <c r="X119" s="18" t="str">
        <f t="shared" si="23"/>
        <v/>
      </c>
      <c r="Y119" s="1" t="str">
        <f t="shared" si="21"/>
        <v/>
      </c>
      <c r="Z119" t="str">
        <f t="shared" si="24"/>
        <v/>
      </c>
      <c r="AA119" s="1" t="str">
        <f t="shared" si="25"/>
        <v/>
      </c>
    </row>
    <row r="120" spans="1:27" customFormat="1" x14ac:dyDescent="0.25">
      <c r="A120" s="68" t="str">
        <f t="shared" si="14"/>
        <v/>
      </c>
      <c r="B120" s="68" t="str">
        <f t="shared" si="15"/>
        <v/>
      </c>
      <c r="C120" s="156" t="str">
        <f t="shared" si="20"/>
        <v/>
      </c>
      <c r="D120" s="156" t="str">
        <f t="shared" si="19"/>
        <v/>
      </c>
      <c r="E120" s="162" t="str">
        <f t="shared" si="16"/>
        <v/>
      </c>
      <c r="F120" s="156" t="str">
        <f t="shared" si="17"/>
        <v/>
      </c>
      <c r="G120" s="171" t="str">
        <f t="shared" si="18"/>
        <v/>
      </c>
      <c r="O120" s="93"/>
      <c r="P120" s="93"/>
      <c r="Q120" s="93"/>
      <c r="R120" s="93"/>
      <c r="S120" s="93"/>
      <c r="W120" t="str">
        <f t="shared" si="22"/>
        <v/>
      </c>
      <c r="X120" s="18" t="str">
        <f t="shared" si="23"/>
        <v/>
      </c>
      <c r="Y120" s="1" t="str">
        <f t="shared" si="21"/>
        <v/>
      </c>
      <c r="Z120" t="str">
        <f t="shared" si="24"/>
        <v/>
      </c>
      <c r="AA120" s="1" t="str">
        <f t="shared" si="25"/>
        <v/>
      </c>
    </row>
    <row r="121" spans="1:27" customFormat="1" x14ac:dyDescent="0.25">
      <c r="A121" s="68" t="str">
        <f t="shared" si="14"/>
        <v/>
      </c>
      <c r="B121" s="68" t="str">
        <f t="shared" si="15"/>
        <v/>
      </c>
      <c r="C121" s="156" t="str">
        <f t="shared" si="20"/>
        <v/>
      </c>
      <c r="D121" s="156" t="str">
        <f t="shared" si="19"/>
        <v/>
      </c>
      <c r="E121" s="162" t="str">
        <f t="shared" si="16"/>
        <v/>
      </c>
      <c r="F121" s="156" t="str">
        <f t="shared" si="17"/>
        <v/>
      </c>
      <c r="G121" s="171" t="str">
        <f t="shared" si="18"/>
        <v/>
      </c>
      <c r="O121" s="93"/>
      <c r="P121" s="93"/>
      <c r="Q121" s="93"/>
      <c r="R121" s="93"/>
      <c r="S121" s="93"/>
      <c r="W121" t="str">
        <f t="shared" si="22"/>
        <v/>
      </c>
      <c r="X121" s="18" t="str">
        <f t="shared" si="23"/>
        <v/>
      </c>
      <c r="Y121" s="1" t="str">
        <f t="shared" si="21"/>
        <v/>
      </c>
      <c r="Z121" t="str">
        <f t="shared" si="24"/>
        <v/>
      </c>
      <c r="AA121" s="1" t="str">
        <f t="shared" si="25"/>
        <v/>
      </c>
    </row>
    <row r="122" spans="1:27" customFormat="1" x14ac:dyDescent="0.25">
      <c r="A122" s="68" t="str">
        <f t="shared" si="14"/>
        <v/>
      </c>
      <c r="B122" s="68" t="str">
        <f t="shared" si="15"/>
        <v/>
      </c>
      <c r="C122" s="156" t="str">
        <f t="shared" si="20"/>
        <v/>
      </c>
      <c r="D122" s="156" t="str">
        <f t="shared" si="19"/>
        <v/>
      </c>
      <c r="E122" s="162" t="str">
        <f t="shared" si="16"/>
        <v/>
      </c>
      <c r="F122" s="156" t="str">
        <f t="shared" si="17"/>
        <v/>
      </c>
      <c r="G122" s="171" t="str">
        <f t="shared" si="18"/>
        <v/>
      </c>
      <c r="O122" s="93"/>
      <c r="P122" s="93"/>
      <c r="Q122" s="93"/>
      <c r="R122" s="93"/>
      <c r="S122" s="93"/>
      <c r="W122" t="str">
        <f t="shared" si="22"/>
        <v/>
      </c>
      <c r="X122" s="18" t="str">
        <f t="shared" si="23"/>
        <v/>
      </c>
      <c r="Y122" s="1" t="str">
        <f t="shared" si="21"/>
        <v/>
      </c>
      <c r="Z122" t="str">
        <f t="shared" si="24"/>
        <v/>
      </c>
      <c r="AA122" s="1" t="str">
        <f t="shared" si="25"/>
        <v/>
      </c>
    </row>
    <row r="123" spans="1:27" customFormat="1" x14ac:dyDescent="0.25">
      <c r="A123" s="68" t="str">
        <f t="shared" si="14"/>
        <v/>
      </c>
      <c r="B123" s="68" t="str">
        <f t="shared" si="15"/>
        <v/>
      </c>
      <c r="C123" s="156" t="str">
        <f t="shared" si="20"/>
        <v/>
      </c>
      <c r="D123" s="156" t="str">
        <f t="shared" si="19"/>
        <v/>
      </c>
      <c r="E123" s="162" t="str">
        <f t="shared" si="16"/>
        <v/>
      </c>
      <c r="F123" s="156" t="str">
        <f t="shared" si="17"/>
        <v/>
      </c>
      <c r="G123" s="171" t="str">
        <f t="shared" si="18"/>
        <v/>
      </c>
      <c r="O123" s="93"/>
      <c r="P123" s="93"/>
      <c r="Q123" s="93"/>
      <c r="R123" s="93"/>
      <c r="S123" s="93"/>
      <c r="W123" t="str">
        <f t="shared" si="22"/>
        <v/>
      </c>
      <c r="X123" s="18" t="str">
        <f t="shared" si="23"/>
        <v/>
      </c>
      <c r="Y123" s="1" t="str">
        <f t="shared" si="21"/>
        <v/>
      </c>
      <c r="Z123" t="str">
        <f t="shared" si="24"/>
        <v/>
      </c>
      <c r="AA123" s="1" t="str">
        <f t="shared" si="25"/>
        <v/>
      </c>
    </row>
    <row r="124" spans="1:27" customFormat="1" x14ac:dyDescent="0.25">
      <c r="A124" s="68" t="str">
        <f t="shared" si="14"/>
        <v/>
      </c>
      <c r="B124" s="68" t="str">
        <f t="shared" si="15"/>
        <v/>
      </c>
      <c r="C124" s="156" t="str">
        <f t="shared" si="20"/>
        <v/>
      </c>
      <c r="D124" s="156" t="str">
        <f t="shared" si="19"/>
        <v/>
      </c>
      <c r="E124" s="162" t="str">
        <f t="shared" si="16"/>
        <v/>
      </c>
      <c r="F124" s="156" t="str">
        <f t="shared" si="17"/>
        <v/>
      </c>
      <c r="G124" s="171" t="str">
        <f t="shared" si="18"/>
        <v/>
      </c>
      <c r="O124" s="93"/>
      <c r="P124" s="93"/>
      <c r="Q124" s="93"/>
      <c r="R124" s="93"/>
      <c r="S124" s="93"/>
      <c r="W124" t="str">
        <f t="shared" si="22"/>
        <v/>
      </c>
      <c r="X124" s="18" t="str">
        <f t="shared" si="23"/>
        <v/>
      </c>
      <c r="Y124" s="1" t="str">
        <f t="shared" si="21"/>
        <v/>
      </c>
      <c r="Z124" t="str">
        <f t="shared" si="24"/>
        <v/>
      </c>
      <c r="AA124" s="1" t="str">
        <f t="shared" si="25"/>
        <v/>
      </c>
    </row>
    <row r="125" spans="1:27" customFormat="1" x14ac:dyDescent="0.25">
      <c r="A125" s="68" t="str">
        <f t="shared" si="14"/>
        <v/>
      </c>
      <c r="B125" s="68" t="str">
        <f t="shared" si="15"/>
        <v/>
      </c>
      <c r="C125" s="156" t="str">
        <f t="shared" si="20"/>
        <v/>
      </c>
      <c r="D125" s="156" t="str">
        <f t="shared" si="19"/>
        <v/>
      </c>
      <c r="E125" s="162" t="str">
        <f t="shared" si="16"/>
        <v/>
      </c>
      <c r="F125" s="156" t="str">
        <f t="shared" si="17"/>
        <v/>
      </c>
      <c r="G125" s="171" t="str">
        <f t="shared" si="18"/>
        <v/>
      </c>
      <c r="O125" s="93"/>
      <c r="P125" s="93"/>
      <c r="Q125" s="93"/>
      <c r="R125" s="93"/>
      <c r="S125" s="93"/>
      <c r="W125" t="str">
        <f t="shared" si="22"/>
        <v/>
      </c>
      <c r="X125" s="18" t="str">
        <f t="shared" si="23"/>
        <v/>
      </c>
      <c r="Y125" s="1" t="str">
        <f t="shared" si="21"/>
        <v/>
      </c>
      <c r="Z125" t="str">
        <f t="shared" si="24"/>
        <v/>
      </c>
      <c r="AA125" s="1" t="str">
        <f t="shared" si="25"/>
        <v/>
      </c>
    </row>
    <row r="126" spans="1:27" customFormat="1" x14ac:dyDescent="0.25">
      <c r="A126" s="68" t="str">
        <f t="shared" si="14"/>
        <v/>
      </c>
      <c r="B126" s="68" t="str">
        <f t="shared" si="15"/>
        <v/>
      </c>
      <c r="C126" s="156" t="str">
        <f t="shared" si="20"/>
        <v/>
      </c>
      <c r="D126" s="156" t="str">
        <f t="shared" si="19"/>
        <v/>
      </c>
      <c r="E126" s="162" t="str">
        <f t="shared" si="16"/>
        <v/>
      </c>
      <c r="F126" s="156" t="str">
        <f t="shared" si="17"/>
        <v/>
      </c>
      <c r="G126" s="171" t="str">
        <f t="shared" si="18"/>
        <v/>
      </c>
      <c r="O126" s="93"/>
      <c r="P126" s="93"/>
      <c r="Q126" s="93"/>
      <c r="R126" s="93"/>
      <c r="S126" s="93"/>
      <c r="W126" t="str">
        <f t="shared" si="22"/>
        <v/>
      </c>
      <c r="X126" s="18" t="str">
        <f t="shared" si="23"/>
        <v/>
      </c>
      <c r="Y126" s="1" t="str">
        <f t="shared" si="21"/>
        <v/>
      </c>
      <c r="Z126" t="str">
        <f t="shared" si="24"/>
        <v/>
      </c>
      <c r="AA126" s="1" t="str">
        <f t="shared" si="25"/>
        <v/>
      </c>
    </row>
    <row r="127" spans="1:27" customFormat="1" x14ac:dyDescent="0.25">
      <c r="A127" s="68" t="str">
        <f t="shared" si="14"/>
        <v/>
      </c>
      <c r="B127" s="68" t="str">
        <f t="shared" si="15"/>
        <v/>
      </c>
      <c r="C127" s="156" t="str">
        <f t="shared" si="20"/>
        <v/>
      </c>
      <c r="D127" s="156" t="str">
        <f t="shared" si="19"/>
        <v/>
      </c>
      <c r="E127" s="162" t="str">
        <f t="shared" si="16"/>
        <v/>
      </c>
      <c r="F127" s="156" t="str">
        <f t="shared" si="17"/>
        <v/>
      </c>
      <c r="G127" s="171" t="str">
        <f t="shared" si="18"/>
        <v/>
      </c>
      <c r="O127" s="93"/>
      <c r="P127" s="93"/>
      <c r="Q127" s="93"/>
      <c r="R127" s="93"/>
      <c r="S127" s="93"/>
      <c r="W127" t="str">
        <f t="shared" si="22"/>
        <v/>
      </c>
      <c r="X127" s="18" t="str">
        <f t="shared" si="23"/>
        <v/>
      </c>
      <c r="Y127" s="1" t="str">
        <f t="shared" si="21"/>
        <v/>
      </c>
      <c r="Z127" t="str">
        <f t="shared" si="24"/>
        <v/>
      </c>
      <c r="AA127" s="1" t="str">
        <f t="shared" si="25"/>
        <v/>
      </c>
    </row>
    <row r="128" spans="1:27" customFormat="1" x14ac:dyDescent="0.25">
      <c r="A128" s="68" t="str">
        <f t="shared" si="14"/>
        <v/>
      </c>
      <c r="B128" s="68" t="str">
        <f t="shared" si="15"/>
        <v/>
      </c>
      <c r="C128" s="156" t="str">
        <f t="shared" si="20"/>
        <v/>
      </c>
      <c r="D128" s="156" t="str">
        <f t="shared" si="19"/>
        <v/>
      </c>
      <c r="E128" s="162" t="str">
        <f t="shared" si="16"/>
        <v/>
      </c>
      <c r="F128" s="156" t="str">
        <f t="shared" si="17"/>
        <v/>
      </c>
      <c r="G128" s="171" t="str">
        <f t="shared" si="18"/>
        <v/>
      </c>
      <c r="O128" s="93"/>
      <c r="P128" s="93"/>
      <c r="Q128" s="93"/>
      <c r="R128" s="93"/>
      <c r="S128" s="93"/>
      <c r="W128" t="str">
        <f t="shared" si="22"/>
        <v/>
      </c>
      <c r="X128" s="18" t="str">
        <f t="shared" si="23"/>
        <v/>
      </c>
      <c r="Y128" s="1" t="str">
        <f t="shared" si="21"/>
        <v/>
      </c>
      <c r="Z128" t="str">
        <f t="shared" si="24"/>
        <v/>
      </c>
      <c r="AA128" s="1" t="str">
        <f t="shared" si="25"/>
        <v/>
      </c>
    </row>
    <row r="129" spans="1:27" customFormat="1" x14ac:dyDescent="0.25">
      <c r="A129" s="68" t="str">
        <f t="shared" si="14"/>
        <v/>
      </c>
      <c r="B129" s="68" t="str">
        <f t="shared" si="15"/>
        <v/>
      </c>
      <c r="C129" s="156" t="str">
        <f t="shared" si="20"/>
        <v/>
      </c>
      <c r="D129" s="156" t="str">
        <f t="shared" si="19"/>
        <v/>
      </c>
      <c r="E129" s="162" t="str">
        <f t="shared" si="16"/>
        <v/>
      </c>
      <c r="F129" s="156" t="str">
        <f t="shared" si="17"/>
        <v/>
      </c>
      <c r="G129" s="171" t="str">
        <f t="shared" si="18"/>
        <v/>
      </c>
      <c r="O129" s="93"/>
      <c r="P129" s="93"/>
      <c r="Q129" s="93"/>
      <c r="R129" s="93"/>
      <c r="S129" s="93"/>
      <c r="W129" t="str">
        <f t="shared" si="22"/>
        <v/>
      </c>
      <c r="X129" s="18" t="str">
        <f t="shared" si="23"/>
        <v/>
      </c>
      <c r="Y129" s="1" t="str">
        <f t="shared" si="21"/>
        <v/>
      </c>
      <c r="Z129" t="str">
        <f t="shared" si="24"/>
        <v/>
      </c>
      <c r="AA129" s="1" t="str">
        <f t="shared" si="25"/>
        <v/>
      </c>
    </row>
    <row r="130" spans="1:27" customFormat="1" x14ac:dyDescent="0.25">
      <c r="A130" s="68" t="str">
        <f t="shared" si="14"/>
        <v/>
      </c>
      <c r="B130" s="68" t="str">
        <f t="shared" si="15"/>
        <v/>
      </c>
      <c r="C130" s="156" t="str">
        <f t="shared" si="20"/>
        <v/>
      </c>
      <c r="D130" s="156" t="str">
        <f t="shared" si="19"/>
        <v/>
      </c>
      <c r="E130" s="162" t="str">
        <f t="shared" si="16"/>
        <v/>
      </c>
      <c r="F130" s="156" t="str">
        <f t="shared" si="17"/>
        <v/>
      </c>
      <c r="G130" s="171" t="str">
        <f t="shared" si="18"/>
        <v/>
      </c>
      <c r="O130" s="93"/>
      <c r="P130" s="93"/>
      <c r="Q130" s="93"/>
      <c r="R130" s="93"/>
      <c r="S130" s="93"/>
      <c r="W130" t="str">
        <f t="shared" si="22"/>
        <v/>
      </c>
      <c r="X130" s="18" t="str">
        <f t="shared" si="23"/>
        <v/>
      </c>
      <c r="Y130" s="1" t="str">
        <f t="shared" si="21"/>
        <v/>
      </c>
      <c r="Z130" t="str">
        <f t="shared" si="24"/>
        <v/>
      </c>
      <c r="AA130" s="1" t="str">
        <f t="shared" si="25"/>
        <v/>
      </c>
    </row>
    <row r="131" spans="1:27" customFormat="1" x14ac:dyDescent="0.25">
      <c r="A131" s="68" t="str">
        <f t="shared" si="14"/>
        <v/>
      </c>
      <c r="B131" s="68" t="str">
        <f t="shared" si="15"/>
        <v/>
      </c>
      <c r="C131" s="156" t="str">
        <f t="shared" si="20"/>
        <v/>
      </c>
      <c r="D131" s="156" t="str">
        <f t="shared" si="19"/>
        <v/>
      </c>
      <c r="E131" s="162" t="str">
        <f t="shared" si="16"/>
        <v/>
      </c>
      <c r="F131" s="156" t="str">
        <f t="shared" si="17"/>
        <v/>
      </c>
      <c r="G131" s="171" t="str">
        <f t="shared" si="18"/>
        <v/>
      </c>
      <c r="O131" s="93"/>
      <c r="P131" s="93"/>
      <c r="Q131" s="93"/>
      <c r="R131" s="93"/>
      <c r="S131" s="93"/>
      <c r="W131" t="str">
        <f t="shared" si="22"/>
        <v/>
      </c>
      <c r="X131" s="18" t="str">
        <f t="shared" si="23"/>
        <v/>
      </c>
      <c r="Y131" s="1" t="str">
        <f t="shared" si="21"/>
        <v/>
      </c>
      <c r="Z131" t="str">
        <f t="shared" si="24"/>
        <v/>
      </c>
      <c r="AA131" s="1" t="str">
        <f t="shared" si="25"/>
        <v/>
      </c>
    </row>
    <row r="132" spans="1:27" customFormat="1" x14ac:dyDescent="0.25">
      <c r="A132" s="68" t="str">
        <f t="shared" si="14"/>
        <v/>
      </c>
      <c r="B132" s="68" t="str">
        <f t="shared" si="15"/>
        <v/>
      </c>
      <c r="C132" s="156" t="str">
        <f t="shared" si="20"/>
        <v/>
      </c>
      <c r="D132" s="156" t="str">
        <f t="shared" si="19"/>
        <v/>
      </c>
      <c r="E132" s="162" t="str">
        <f t="shared" si="16"/>
        <v/>
      </c>
      <c r="F132" s="156" t="str">
        <f t="shared" si="17"/>
        <v/>
      </c>
      <c r="G132" s="171" t="str">
        <f t="shared" si="18"/>
        <v/>
      </c>
      <c r="O132" s="93"/>
      <c r="P132" s="93"/>
      <c r="Q132" s="93"/>
      <c r="R132" s="93"/>
      <c r="S132" s="93"/>
      <c r="W132" t="str">
        <f t="shared" si="22"/>
        <v/>
      </c>
      <c r="X132" s="18" t="str">
        <f t="shared" si="23"/>
        <v/>
      </c>
      <c r="Y132" s="1" t="str">
        <f t="shared" si="21"/>
        <v/>
      </c>
      <c r="Z132" t="str">
        <f t="shared" si="24"/>
        <v/>
      </c>
      <c r="AA132" s="1" t="str">
        <f t="shared" si="25"/>
        <v/>
      </c>
    </row>
    <row r="133" spans="1:27" customFormat="1" x14ac:dyDescent="0.25">
      <c r="A133" s="68" t="str">
        <f t="shared" si="14"/>
        <v/>
      </c>
      <c r="B133" s="68" t="str">
        <f t="shared" si="15"/>
        <v/>
      </c>
      <c r="C133" s="156" t="str">
        <f t="shared" si="20"/>
        <v/>
      </c>
      <c r="D133" s="156" t="str">
        <f t="shared" si="19"/>
        <v/>
      </c>
      <c r="E133" s="162" t="str">
        <f t="shared" si="16"/>
        <v/>
      </c>
      <c r="F133" s="156" t="str">
        <f t="shared" si="17"/>
        <v/>
      </c>
      <c r="G133" s="171" t="str">
        <f t="shared" si="18"/>
        <v/>
      </c>
      <c r="O133" s="93"/>
      <c r="P133" s="93"/>
      <c r="Q133" s="93"/>
      <c r="R133" s="93"/>
      <c r="S133" s="93"/>
      <c r="W133" t="str">
        <f t="shared" si="22"/>
        <v/>
      </c>
      <c r="X133" s="18" t="str">
        <f t="shared" si="23"/>
        <v/>
      </c>
      <c r="Y133" s="1" t="str">
        <f t="shared" si="21"/>
        <v/>
      </c>
      <c r="Z133" t="str">
        <f t="shared" si="24"/>
        <v/>
      </c>
      <c r="AA133" s="1" t="str">
        <f t="shared" si="25"/>
        <v/>
      </c>
    </row>
    <row r="134" spans="1:27" customFormat="1" x14ac:dyDescent="0.25">
      <c r="A134" s="68" t="str">
        <f t="shared" si="14"/>
        <v/>
      </c>
      <c r="B134" s="68" t="str">
        <f t="shared" si="15"/>
        <v/>
      </c>
      <c r="C134" s="156" t="str">
        <f t="shared" si="20"/>
        <v/>
      </c>
      <c r="D134" s="156" t="str">
        <f t="shared" si="19"/>
        <v/>
      </c>
      <c r="E134" s="162" t="str">
        <f t="shared" si="16"/>
        <v/>
      </c>
      <c r="F134" s="156" t="str">
        <f t="shared" si="17"/>
        <v/>
      </c>
      <c r="G134" s="171" t="str">
        <f t="shared" si="18"/>
        <v/>
      </c>
      <c r="O134" s="93"/>
      <c r="P134" s="93"/>
      <c r="Q134" s="93"/>
      <c r="R134" s="93"/>
      <c r="S134" s="93"/>
      <c r="W134" t="str">
        <f t="shared" si="22"/>
        <v/>
      </c>
      <c r="X134" s="18" t="str">
        <f t="shared" si="23"/>
        <v/>
      </c>
      <c r="Y134" s="1" t="str">
        <f t="shared" si="21"/>
        <v/>
      </c>
      <c r="Z134" t="str">
        <f t="shared" si="24"/>
        <v/>
      </c>
      <c r="AA134" s="1" t="str">
        <f t="shared" si="25"/>
        <v/>
      </c>
    </row>
    <row r="135" spans="1:27" customFormat="1" x14ac:dyDescent="0.25">
      <c r="A135" s="68" t="str">
        <f t="shared" si="14"/>
        <v/>
      </c>
      <c r="B135" s="68" t="str">
        <f t="shared" si="15"/>
        <v/>
      </c>
      <c r="C135" s="156" t="str">
        <f t="shared" si="20"/>
        <v/>
      </c>
      <c r="D135" s="156" t="str">
        <f t="shared" si="19"/>
        <v/>
      </c>
      <c r="E135" s="162" t="str">
        <f t="shared" si="16"/>
        <v/>
      </c>
      <c r="F135" s="156" t="str">
        <f t="shared" si="17"/>
        <v/>
      </c>
      <c r="G135" s="171" t="str">
        <f t="shared" si="18"/>
        <v/>
      </c>
      <c r="O135" s="93"/>
      <c r="P135" s="93"/>
      <c r="Q135" s="93"/>
      <c r="R135" s="93"/>
      <c r="S135" s="93"/>
      <c r="W135" t="str">
        <f t="shared" si="22"/>
        <v/>
      </c>
      <c r="X135" s="18" t="str">
        <f t="shared" si="23"/>
        <v/>
      </c>
      <c r="Y135" s="1" t="str">
        <f t="shared" si="21"/>
        <v/>
      </c>
      <c r="Z135" t="str">
        <f t="shared" si="24"/>
        <v/>
      </c>
      <c r="AA135" s="1" t="str">
        <f t="shared" si="25"/>
        <v/>
      </c>
    </row>
    <row r="136" spans="1:27" customFormat="1" x14ac:dyDescent="0.25">
      <c r="A136" s="68" t="str">
        <f t="shared" si="14"/>
        <v/>
      </c>
      <c r="B136" s="68" t="str">
        <f t="shared" si="15"/>
        <v/>
      </c>
      <c r="C136" s="156" t="str">
        <f t="shared" si="20"/>
        <v/>
      </c>
      <c r="D136" s="156" t="str">
        <f t="shared" si="19"/>
        <v/>
      </c>
      <c r="E136" s="162" t="str">
        <f t="shared" si="16"/>
        <v/>
      </c>
      <c r="F136" s="156" t="str">
        <f t="shared" si="17"/>
        <v/>
      </c>
      <c r="G136" s="171" t="str">
        <f t="shared" si="18"/>
        <v/>
      </c>
      <c r="O136" s="93"/>
      <c r="P136" s="93"/>
      <c r="Q136" s="93"/>
      <c r="R136" s="93"/>
      <c r="S136" s="93"/>
      <c r="W136" t="str">
        <f t="shared" si="22"/>
        <v/>
      </c>
      <c r="X136" s="18" t="str">
        <f t="shared" si="23"/>
        <v/>
      </c>
      <c r="Y136" s="1" t="str">
        <f t="shared" si="21"/>
        <v/>
      </c>
      <c r="Z136" t="str">
        <f t="shared" si="24"/>
        <v/>
      </c>
      <c r="AA136" s="1" t="str">
        <f t="shared" si="25"/>
        <v/>
      </c>
    </row>
    <row r="137" spans="1:27" customFormat="1" x14ac:dyDescent="0.25">
      <c r="A137" s="68" t="str">
        <f t="shared" si="14"/>
        <v/>
      </c>
      <c r="B137" s="68" t="str">
        <f t="shared" si="15"/>
        <v/>
      </c>
      <c r="C137" s="156" t="str">
        <f t="shared" si="20"/>
        <v/>
      </c>
      <c r="D137" s="156" t="str">
        <f t="shared" si="19"/>
        <v/>
      </c>
      <c r="E137" s="162" t="str">
        <f t="shared" si="16"/>
        <v/>
      </c>
      <c r="F137" s="156" t="str">
        <f t="shared" si="17"/>
        <v/>
      </c>
      <c r="G137" s="171" t="str">
        <f t="shared" si="18"/>
        <v/>
      </c>
      <c r="O137" s="93"/>
      <c r="P137" s="93"/>
      <c r="Q137" s="93"/>
      <c r="R137" s="93"/>
      <c r="S137" s="93"/>
      <c r="W137" t="str">
        <f t="shared" si="22"/>
        <v/>
      </c>
      <c r="X137" s="18" t="str">
        <f t="shared" si="23"/>
        <v/>
      </c>
      <c r="Y137" s="1" t="str">
        <f t="shared" si="21"/>
        <v/>
      </c>
      <c r="Z137" t="str">
        <f t="shared" si="24"/>
        <v/>
      </c>
      <c r="AA137" s="1" t="str">
        <f t="shared" si="25"/>
        <v/>
      </c>
    </row>
    <row r="138" spans="1:27" customFormat="1" x14ac:dyDescent="0.25">
      <c r="A138" s="68" t="str">
        <f t="shared" si="14"/>
        <v/>
      </c>
      <c r="B138" s="68" t="str">
        <f t="shared" si="15"/>
        <v/>
      </c>
      <c r="C138" s="156" t="str">
        <f t="shared" si="20"/>
        <v/>
      </c>
      <c r="D138" s="156" t="str">
        <f t="shared" si="19"/>
        <v/>
      </c>
      <c r="E138" s="162" t="str">
        <f t="shared" si="16"/>
        <v/>
      </c>
      <c r="F138" s="156" t="str">
        <f t="shared" si="17"/>
        <v/>
      </c>
      <c r="G138" s="171" t="str">
        <f t="shared" si="18"/>
        <v/>
      </c>
      <c r="O138" s="93"/>
      <c r="P138" s="93"/>
      <c r="Q138" s="93"/>
      <c r="R138" s="93"/>
      <c r="S138" s="93"/>
      <c r="W138" t="str">
        <f t="shared" si="22"/>
        <v/>
      </c>
      <c r="X138" s="18" t="str">
        <f t="shared" si="23"/>
        <v/>
      </c>
      <c r="Y138" s="1" t="str">
        <f t="shared" si="21"/>
        <v/>
      </c>
      <c r="Z138" t="str">
        <f t="shared" si="24"/>
        <v/>
      </c>
      <c r="AA138" s="1" t="str">
        <f t="shared" si="25"/>
        <v/>
      </c>
    </row>
    <row r="139" spans="1:27" customFormat="1" x14ac:dyDescent="0.25">
      <c r="A139" s="68" t="str">
        <f t="shared" si="14"/>
        <v/>
      </c>
      <c r="B139" s="68" t="str">
        <f t="shared" si="15"/>
        <v/>
      </c>
      <c r="C139" s="156" t="str">
        <f t="shared" si="20"/>
        <v/>
      </c>
      <c r="D139" s="156" t="str">
        <f t="shared" si="19"/>
        <v/>
      </c>
      <c r="E139" s="162" t="str">
        <f t="shared" si="16"/>
        <v/>
      </c>
      <c r="F139" s="156" t="str">
        <f t="shared" si="17"/>
        <v/>
      </c>
      <c r="G139" s="171" t="str">
        <f t="shared" si="18"/>
        <v/>
      </c>
      <c r="O139" s="93"/>
      <c r="P139" s="93"/>
      <c r="Q139" s="93"/>
      <c r="R139" s="93"/>
      <c r="S139" s="93"/>
      <c r="W139" t="str">
        <f t="shared" si="22"/>
        <v/>
      </c>
      <c r="X139" s="18" t="str">
        <f t="shared" si="23"/>
        <v/>
      </c>
      <c r="Y139" s="1" t="str">
        <f t="shared" si="21"/>
        <v/>
      </c>
      <c r="Z139" t="str">
        <f t="shared" si="24"/>
        <v/>
      </c>
      <c r="AA139" s="1" t="str">
        <f t="shared" si="25"/>
        <v/>
      </c>
    </row>
    <row r="140" spans="1:27" customFormat="1" x14ac:dyDescent="0.25">
      <c r="A140" s="68" t="str">
        <f t="shared" si="14"/>
        <v/>
      </c>
      <c r="B140" s="68" t="str">
        <f t="shared" si="15"/>
        <v/>
      </c>
      <c r="C140" s="156" t="str">
        <f t="shared" si="20"/>
        <v/>
      </c>
      <c r="D140" s="156" t="str">
        <f t="shared" si="19"/>
        <v/>
      </c>
      <c r="E140" s="162" t="str">
        <f t="shared" si="16"/>
        <v/>
      </c>
      <c r="F140" s="156" t="str">
        <f t="shared" si="17"/>
        <v/>
      </c>
      <c r="G140" s="171" t="str">
        <f t="shared" si="18"/>
        <v/>
      </c>
      <c r="O140" s="93"/>
      <c r="P140" s="93"/>
      <c r="Q140" s="93"/>
      <c r="R140" s="93"/>
      <c r="S140" s="93"/>
      <c r="W140" t="str">
        <f t="shared" si="22"/>
        <v/>
      </c>
      <c r="X140" s="18" t="str">
        <f t="shared" si="23"/>
        <v/>
      </c>
      <c r="Y140" s="1" t="str">
        <f t="shared" si="21"/>
        <v/>
      </c>
      <c r="Z140" t="str">
        <f t="shared" si="24"/>
        <v/>
      </c>
      <c r="AA140" s="1" t="str">
        <f t="shared" si="25"/>
        <v/>
      </c>
    </row>
    <row r="141" spans="1:27" customFormat="1" x14ac:dyDescent="0.25">
      <c r="A141" s="68" t="str">
        <f t="shared" si="14"/>
        <v/>
      </c>
      <c r="B141" s="68" t="str">
        <f t="shared" si="15"/>
        <v/>
      </c>
      <c r="C141" s="156" t="str">
        <f t="shared" si="20"/>
        <v/>
      </c>
      <c r="D141" s="156" t="str">
        <f t="shared" si="19"/>
        <v/>
      </c>
      <c r="E141" s="162" t="str">
        <f t="shared" si="16"/>
        <v/>
      </c>
      <c r="F141" s="156" t="str">
        <f t="shared" si="17"/>
        <v/>
      </c>
      <c r="G141" s="171" t="str">
        <f t="shared" si="18"/>
        <v/>
      </c>
      <c r="O141" s="93"/>
      <c r="P141" s="93"/>
      <c r="Q141" s="93"/>
      <c r="R141" s="93"/>
      <c r="S141" s="93"/>
      <c r="W141" t="str">
        <f t="shared" si="22"/>
        <v/>
      </c>
      <c r="X141" s="18" t="str">
        <f t="shared" si="23"/>
        <v/>
      </c>
      <c r="Y141" s="1" t="str">
        <f t="shared" si="21"/>
        <v/>
      </c>
      <c r="Z141" t="str">
        <f t="shared" si="24"/>
        <v/>
      </c>
      <c r="AA141" s="1" t="str">
        <f t="shared" si="25"/>
        <v/>
      </c>
    </row>
    <row r="142" spans="1:27" customFormat="1" x14ac:dyDescent="0.25">
      <c r="A142" s="68" t="str">
        <f t="shared" si="14"/>
        <v/>
      </c>
      <c r="B142" s="68" t="str">
        <f t="shared" si="15"/>
        <v/>
      </c>
      <c r="C142" s="156" t="str">
        <f t="shared" si="20"/>
        <v/>
      </c>
      <c r="D142" s="156" t="str">
        <f t="shared" si="19"/>
        <v/>
      </c>
      <c r="E142" s="162" t="str">
        <f t="shared" si="16"/>
        <v/>
      </c>
      <c r="F142" s="156" t="str">
        <f t="shared" si="17"/>
        <v/>
      </c>
      <c r="G142" s="171" t="str">
        <f t="shared" si="18"/>
        <v/>
      </c>
      <c r="O142" s="93"/>
      <c r="P142" s="93"/>
      <c r="Q142" s="93"/>
      <c r="R142" s="93"/>
      <c r="S142" s="93"/>
      <c r="W142" t="str">
        <f t="shared" si="22"/>
        <v/>
      </c>
      <c r="X142" s="18" t="str">
        <f t="shared" si="23"/>
        <v/>
      </c>
      <c r="Y142" s="1" t="str">
        <f t="shared" si="21"/>
        <v/>
      </c>
      <c r="Z142" t="str">
        <f t="shared" si="24"/>
        <v/>
      </c>
      <c r="AA142" s="1" t="str">
        <f t="shared" si="25"/>
        <v/>
      </c>
    </row>
    <row r="143" spans="1:27" customFormat="1" x14ac:dyDescent="0.25">
      <c r="A143" s="68" t="str">
        <f t="shared" si="14"/>
        <v/>
      </c>
      <c r="B143" s="68" t="str">
        <f t="shared" si="15"/>
        <v/>
      </c>
      <c r="C143" s="156" t="str">
        <f t="shared" si="20"/>
        <v/>
      </c>
      <c r="D143" s="156" t="str">
        <f t="shared" si="19"/>
        <v/>
      </c>
      <c r="E143" s="162" t="str">
        <f t="shared" si="16"/>
        <v/>
      </c>
      <c r="F143" s="156" t="str">
        <f t="shared" si="17"/>
        <v/>
      </c>
      <c r="G143" s="171" t="str">
        <f t="shared" si="18"/>
        <v/>
      </c>
      <c r="O143" s="93"/>
      <c r="P143" s="93"/>
      <c r="Q143" s="93"/>
      <c r="R143" s="93"/>
      <c r="S143" s="93"/>
      <c r="W143" t="str">
        <f t="shared" si="22"/>
        <v/>
      </c>
      <c r="X143" s="18" t="str">
        <f t="shared" si="23"/>
        <v/>
      </c>
      <c r="Y143" s="1" t="str">
        <f t="shared" si="21"/>
        <v/>
      </c>
      <c r="Z143" t="str">
        <f t="shared" si="24"/>
        <v/>
      </c>
      <c r="AA143" s="1" t="str">
        <f t="shared" si="25"/>
        <v/>
      </c>
    </row>
    <row r="144" spans="1:27" customFormat="1" x14ac:dyDescent="0.25">
      <c r="A144" s="68" t="str">
        <f t="shared" ref="A144:A148" si="26">IF(A143&lt;B$17,A143+1,"")</f>
        <v/>
      </c>
      <c r="B144" s="68" t="str">
        <f t="shared" ref="B144:B148" si="27">IF(A144="","",IF(A144&lt;=B$16,"carência","amortização"))</f>
        <v/>
      </c>
      <c r="C144" s="156" t="str">
        <f t="shared" ref="C144:C148" si="28">IF(B144="","",((1+(D$15))^(22/252)-1)*(F143+D144))</f>
        <v/>
      </c>
      <c r="D144" s="156" t="str">
        <f t="shared" ref="D144:D148" si="29">IF(B144="","",((1+(D$16))^(22/252)-1)*(F143))</f>
        <v/>
      </c>
      <c r="E144" s="162" t="str">
        <f t="shared" ref="E144:E148" si="30">IF(D144="","",IF(A144&lt;=B$16,0,F$23/(B$17-B$16)))</f>
        <v/>
      </c>
      <c r="F144" s="156" t="str">
        <f t="shared" ref="F144:F148" si="31">IF(G144="","",F143-E144)</f>
        <v/>
      </c>
      <c r="G144" s="171" t="str">
        <f t="shared" ref="G144:G148" si="32">IF(E144="","",C144+D144+E144)</f>
        <v/>
      </c>
      <c r="O144" s="93"/>
      <c r="P144" s="93"/>
      <c r="Q144" s="93"/>
      <c r="R144" s="93"/>
      <c r="S144" s="93"/>
      <c r="W144" t="str">
        <f t="shared" si="22"/>
        <v/>
      </c>
      <c r="X144" s="18" t="str">
        <f t="shared" si="23"/>
        <v/>
      </c>
      <c r="Y144" s="1" t="str">
        <f t="shared" si="21"/>
        <v/>
      </c>
      <c r="Z144" t="str">
        <f t="shared" si="24"/>
        <v/>
      </c>
      <c r="AA144" s="1" t="str">
        <f t="shared" si="25"/>
        <v/>
      </c>
    </row>
    <row r="145" spans="1:27" customFormat="1" x14ac:dyDescent="0.25">
      <c r="A145" s="68" t="str">
        <f t="shared" si="26"/>
        <v/>
      </c>
      <c r="B145" s="68" t="str">
        <f t="shared" si="27"/>
        <v/>
      </c>
      <c r="C145" s="156" t="str">
        <f t="shared" si="28"/>
        <v/>
      </c>
      <c r="D145" s="156" t="str">
        <f t="shared" si="29"/>
        <v/>
      </c>
      <c r="E145" s="162" t="str">
        <f t="shared" si="30"/>
        <v/>
      </c>
      <c r="F145" s="156" t="str">
        <f t="shared" si="31"/>
        <v/>
      </c>
      <c r="G145" s="171" t="str">
        <f t="shared" si="32"/>
        <v/>
      </c>
      <c r="O145" s="93"/>
      <c r="P145" s="93"/>
      <c r="Q145" s="93"/>
      <c r="R145" s="93"/>
      <c r="S145" s="93"/>
      <c r="W145" t="str">
        <f t="shared" si="22"/>
        <v/>
      </c>
      <c r="X145" s="18" t="str">
        <f t="shared" si="23"/>
        <v/>
      </c>
      <c r="Y145" s="1" t="str">
        <f t="shared" si="21"/>
        <v/>
      </c>
      <c r="Z145" t="str">
        <f t="shared" si="24"/>
        <v/>
      </c>
      <c r="AA145" s="1" t="str">
        <f t="shared" si="25"/>
        <v/>
      </c>
    </row>
    <row r="146" spans="1:27" customFormat="1" x14ac:dyDescent="0.25">
      <c r="A146" s="68" t="str">
        <f t="shared" si="26"/>
        <v/>
      </c>
      <c r="B146" s="68" t="str">
        <f t="shared" si="27"/>
        <v/>
      </c>
      <c r="C146" s="156" t="str">
        <f t="shared" si="28"/>
        <v/>
      </c>
      <c r="D146" s="156" t="str">
        <f t="shared" si="29"/>
        <v/>
      </c>
      <c r="E146" s="162" t="str">
        <f t="shared" si="30"/>
        <v/>
      </c>
      <c r="F146" s="156" t="str">
        <f t="shared" si="31"/>
        <v/>
      </c>
      <c r="G146" s="171" t="str">
        <f t="shared" si="32"/>
        <v/>
      </c>
      <c r="O146" s="93"/>
      <c r="P146" s="93"/>
      <c r="Q146" s="93"/>
      <c r="R146" s="93"/>
      <c r="S146" s="93"/>
      <c r="W146" t="str">
        <f t="shared" si="22"/>
        <v/>
      </c>
      <c r="X146" s="18" t="str">
        <f t="shared" si="23"/>
        <v/>
      </c>
      <c r="Y146" s="1" t="str">
        <f t="shared" si="21"/>
        <v/>
      </c>
      <c r="Z146" t="str">
        <f t="shared" si="24"/>
        <v/>
      </c>
      <c r="AA146" s="1" t="str">
        <f t="shared" si="25"/>
        <v/>
      </c>
    </row>
    <row r="147" spans="1:27" customFormat="1" x14ac:dyDescent="0.25">
      <c r="A147" s="68" t="str">
        <f t="shared" si="26"/>
        <v/>
      </c>
      <c r="B147" s="68" t="str">
        <f t="shared" si="27"/>
        <v/>
      </c>
      <c r="C147" s="156" t="str">
        <f t="shared" si="28"/>
        <v/>
      </c>
      <c r="D147" s="156" t="str">
        <f t="shared" si="29"/>
        <v/>
      </c>
      <c r="E147" s="162" t="str">
        <f t="shared" si="30"/>
        <v/>
      </c>
      <c r="F147" s="156" t="str">
        <f t="shared" si="31"/>
        <v/>
      </c>
      <c r="G147" s="171" t="str">
        <f t="shared" si="32"/>
        <v/>
      </c>
      <c r="O147" s="93"/>
      <c r="P147" s="93"/>
      <c r="Q147" s="93"/>
      <c r="R147" s="93"/>
      <c r="S147" s="93"/>
      <c r="W147" t="str">
        <f t="shared" si="22"/>
        <v/>
      </c>
      <c r="X147" s="18" t="str">
        <f t="shared" si="23"/>
        <v/>
      </c>
      <c r="Y147" s="1" t="str">
        <f t="shared" si="21"/>
        <v/>
      </c>
      <c r="Z147" t="str">
        <f t="shared" si="24"/>
        <v/>
      </c>
      <c r="AA147" s="1" t="str">
        <f t="shared" si="25"/>
        <v/>
      </c>
    </row>
    <row r="148" spans="1:27" customFormat="1" x14ac:dyDescent="0.25">
      <c r="A148" s="68" t="str">
        <f t="shared" si="26"/>
        <v/>
      </c>
      <c r="B148" s="68" t="str">
        <f t="shared" si="27"/>
        <v/>
      </c>
      <c r="C148" s="156" t="str">
        <f t="shared" si="28"/>
        <v/>
      </c>
      <c r="D148" s="156" t="str">
        <f t="shared" si="29"/>
        <v/>
      </c>
      <c r="E148" s="162" t="str">
        <f t="shared" si="30"/>
        <v/>
      </c>
      <c r="F148" s="156" t="str">
        <f t="shared" si="31"/>
        <v/>
      </c>
      <c r="G148" s="171" t="str">
        <f t="shared" si="32"/>
        <v/>
      </c>
      <c r="O148" s="93"/>
      <c r="P148" s="93"/>
      <c r="Q148" s="93"/>
      <c r="R148" s="93"/>
      <c r="S148" s="93"/>
      <c r="W148" t="str">
        <f t="shared" si="22"/>
        <v/>
      </c>
      <c r="X148" s="18" t="str">
        <f t="shared" si="23"/>
        <v/>
      </c>
      <c r="Y148" s="1" t="str">
        <f t="shared" si="21"/>
        <v/>
      </c>
      <c r="Z148" t="str">
        <f t="shared" si="24"/>
        <v/>
      </c>
      <c r="AA148" s="1" t="str">
        <f t="shared" si="25"/>
        <v/>
      </c>
    </row>
    <row r="149" spans="1:27" customFormat="1" x14ac:dyDescent="0.25">
      <c r="A149" s="68" t="str">
        <f t="shared" si="14"/>
        <v/>
      </c>
      <c r="B149" s="68" t="str">
        <f t="shared" si="15"/>
        <v/>
      </c>
      <c r="C149" s="156" t="str">
        <f t="shared" si="20"/>
        <v/>
      </c>
      <c r="D149" s="156" t="str">
        <f t="shared" si="19"/>
        <v/>
      </c>
      <c r="E149" s="162" t="str">
        <f t="shared" si="16"/>
        <v/>
      </c>
      <c r="F149" s="156" t="str">
        <f t="shared" si="17"/>
        <v/>
      </c>
      <c r="G149" s="171" t="str">
        <f t="shared" si="18"/>
        <v/>
      </c>
      <c r="O149" s="93"/>
      <c r="P149" s="93"/>
      <c r="Q149" s="93"/>
      <c r="R149" s="93"/>
      <c r="S149" s="93"/>
      <c r="W149" t="str">
        <f t="shared" si="22"/>
        <v/>
      </c>
      <c r="X149" s="18" t="str">
        <f t="shared" si="23"/>
        <v/>
      </c>
      <c r="Y149" s="1" t="str">
        <f t="shared" si="21"/>
        <v/>
      </c>
      <c r="Z149" t="str">
        <f t="shared" si="24"/>
        <v/>
      </c>
      <c r="AA149" s="1" t="str">
        <f t="shared" si="25"/>
        <v/>
      </c>
    </row>
    <row r="150" spans="1:27" customFormat="1" x14ac:dyDescent="0.25">
      <c r="A150" s="68" t="str">
        <f t="shared" si="14"/>
        <v/>
      </c>
      <c r="B150" s="68" t="str">
        <f t="shared" si="15"/>
        <v/>
      </c>
      <c r="C150" s="156" t="str">
        <f t="shared" si="20"/>
        <v/>
      </c>
      <c r="D150" s="156" t="str">
        <f t="shared" si="19"/>
        <v/>
      </c>
      <c r="E150" s="162" t="str">
        <f t="shared" si="16"/>
        <v/>
      </c>
      <c r="F150" s="156" t="str">
        <f t="shared" si="17"/>
        <v/>
      </c>
      <c r="G150" s="171" t="str">
        <f t="shared" si="18"/>
        <v/>
      </c>
      <c r="O150" s="93"/>
      <c r="P150" s="93"/>
      <c r="Q150" s="93"/>
      <c r="R150" s="93"/>
      <c r="S150" s="93"/>
      <c r="W150" t="str">
        <f t="shared" si="22"/>
        <v/>
      </c>
      <c r="X150" s="18" t="str">
        <f t="shared" si="23"/>
        <v/>
      </c>
      <c r="Y150" s="1" t="str">
        <f t="shared" si="21"/>
        <v/>
      </c>
      <c r="Z150" t="str">
        <f t="shared" si="24"/>
        <v/>
      </c>
      <c r="AA150" s="1" t="str">
        <f t="shared" si="25"/>
        <v/>
      </c>
    </row>
    <row r="151" spans="1:27" customFormat="1" x14ac:dyDescent="0.25">
      <c r="A151" s="68" t="str">
        <f t="shared" si="14"/>
        <v/>
      </c>
      <c r="B151" s="68" t="str">
        <f t="shared" si="15"/>
        <v/>
      </c>
      <c r="C151" s="156" t="str">
        <f t="shared" si="20"/>
        <v/>
      </c>
      <c r="D151" s="156" t="str">
        <f t="shared" si="19"/>
        <v/>
      </c>
      <c r="E151" s="162" t="str">
        <f t="shared" si="16"/>
        <v/>
      </c>
      <c r="F151" s="156" t="str">
        <f t="shared" si="17"/>
        <v/>
      </c>
      <c r="G151" s="171" t="str">
        <f t="shared" si="18"/>
        <v/>
      </c>
      <c r="O151" s="93"/>
      <c r="P151" s="93"/>
      <c r="Q151" s="93"/>
      <c r="R151" s="93"/>
      <c r="S151" s="93"/>
      <c r="W151" t="str">
        <f t="shared" si="22"/>
        <v/>
      </c>
      <c r="X151" s="18" t="str">
        <f t="shared" si="23"/>
        <v/>
      </c>
      <c r="Y151" s="1" t="str">
        <f t="shared" si="21"/>
        <v/>
      </c>
      <c r="Z151" t="str">
        <f t="shared" si="24"/>
        <v/>
      </c>
      <c r="AA151" s="1" t="str">
        <f t="shared" si="25"/>
        <v/>
      </c>
    </row>
    <row r="152" spans="1:27" customFormat="1" x14ac:dyDescent="0.25">
      <c r="A152" s="68" t="str">
        <f t="shared" ref="A152:A215" si="33">IF(A151&lt;B$17,A151+1,"")</f>
        <v/>
      </c>
      <c r="B152" s="68" t="str">
        <f t="shared" ref="B152:B215" si="34">IF(A152="","",IF(A152&lt;=B$16,"carência","amortização"))</f>
        <v/>
      </c>
      <c r="C152" s="156" t="str">
        <f t="shared" si="20"/>
        <v/>
      </c>
      <c r="D152" s="156" t="str">
        <f t="shared" si="19"/>
        <v/>
      </c>
      <c r="E152" s="162" t="str">
        <f t="shared" ref="E152:E215" si="35">IF(D152="","",IF(A152&lt;=B$16,0,F$23/(B$17-B$16)))</f>
        <v/>
      </c>
      <c r="F152" s="156" t="str">
        <f t="shared" ref="F152:F215" si="36">IF(G152="","",F151-E152)</f>
        <v/>
      </c>
      <c r="G152" s="171" t="str">
        <f t="shared" ref="G152:G215" si="37">IF(E152="","",C152+D152+E152)</f>
        <v/>
      </c>
      <c r="O152" s="93"/>
      <c r="P152" s="93"/>
      <c r="Q152" s="93"/>
      <c r="R152" s="93"/>
      <c r="S152" s="93"/>
      <c r="W152" t="str">
        <f t="shared" si="22"/>
        <v/>
      </c>
      <c r="X152" s="18" t="str">
        <f t="shared" si="23"/>
        <v/>
      </c>
      <c r="Y152" s="1" t="str">
        <f t="shared" si="21"/>
        <v/>
      </c>
      <c r="Z152" t="str">
        <f t="shared" si="24"/>
        <v/>
      </c>
      <c r="AA152" s="1" t="str">
        <f t="shared" si="25"/>
        <v/>
      </c>
    </row>
    <row r="153" spans="1:27" customFormat="1" x14ac:dyDescent="0.25">
      <c r="A153" s="68" t="str">
        <f t="shared" si="33"/>
        <v/>
      </c>
      <c r="B153" s="68" t="str">
        <f t="shared" si="34"/>
        <v/>
      </c>
      <c r="C153" s="156" t="str">
        <f t="shared" si="20"/>
        <v/>
      </c>
      <c r="D153" s="156" t="str">
        <f t="shared" si="19"/>
        <v/>
      </c>
      <c r="E153" s="162" t="str">
        <f t="shared" si="35"/>
        <v/>
      </c>
      <c r="F153" s="156" t="str">
        <f t="shared" si="36"/>
        <v/>
      </c>
      <c r="G153" s="171" t="str">
        <f t="shared" si="37"/>
        <v/>
      </c>
      <c r="O153" s="93"/>
      <c r="P153" s="93"/>
      <c r="Q153" s="93"/>
      <c r="R153" s="93"/>
      <c r="S153" s="93"/>
      <c r="W153" t="str">
        <f t="shared" si="22"/>
        <v/>
      </c>
      <c r="X153" s="18" t="str">
        <f t="shared" si="23"/>
        <v/>
      </c>
      <c r="Y153" s="1" t="str">
        <f t="shared" si="21"/>
        <v/>
      </c>
      <c r="Z153" t="str">
        <f t="shared" si="24"/>
        <v/>
      </c>
      <c r="AA153" s="1" t="str">
        <f t="shared" si="25"/>
        <v/>
      </c>
    </row>
    <row r="154" spans="1:27" customFormat="1" x14ac:dyDescent="0.25">
      <c r="A154" s="68" t="str">
        <f t="shared" si="33"/>
        <v/>
      </c>
      <c r="B154" s="68" t="str">
        <f t="shared" si="34"/>
        <v/>
      </c>
      <c r="C154" s="156" t="str">
        <f t="shared" si="20"/>
        <v/>
      </c>
      <c r="D154" s="156" t="str">
        <f t="shared" si="19"/>
        <v/>
      </c>
      <c r="E154" s="162" t="str">
        <f t="shared" si="35"/>
        <v/>
      </c>
      <c r="F154" s="156" t="str">
        <f t="shared" si="36"/>
        <v/>
      </c>
      <c r="G154" s="171" t="str">
        <f t="shared" si="37"/>
        <v/>
      </c>
      <c r="O154" s="93"/>
      <c r="P154" s="93"/>
      <c r="Q154" s="93"/>
      <c r="R154" s="93"/>
      <c r="S154" s="93"/>
      <c r="W154" t="str">
        <f t="shared" si="22"/>
        <v/>
      </c>
      <c r="X154" s="18" t="str">
        <f t="shared" si="23"/>
        <v/>
      </c>
      <c r="Y154" s="1" t="str">
        <f t="shared" si="21"/>
        <v/>
      </c>
      <c r="Z154" t="str">
        <f t="shared" si="24"/>
        <v/>
      </c>
      <c r="AA154" s="1" t="str">
        <f t="shared" si="25"/>
        <v/>
      </c>
    </row>
    <row r="155" spans="1:27" customFormat="1" x14ac:dyDescent="0.25">
      <c r="A155" s="68" t="str">
        <f t="shared" si="33"/>
        <v/>
      </c>
      <c r="B155" s="68" t="str">
        <f t="shared" si="34"/>
        <v/>
      </c>
      <c r="C155" s="156" t="str">
        <f t="shared" si="20"/>
        <v/>
      </c>
      <c r="D155" s="156" t="str">
        <f t="shared" ref="D155:D218" si="38">IF(B155="","",((1+(D$16))^(22/252)-1)*(F154))</f>
        <v/>
      </c>
      <c r="E155" s="162" t="str">
        <f t="shared" si="35"/>
        <v/>
      </c>
      <c r="F155" s="156" t="str">
        <f t="shared" si="36"/>
        <v/>
      </c>
      <c r="G155" s="171" t="str">
        <f t="shared" si="37"/>
        <v/>
      </c>
      <c r="O155" s="93"/>
      <c r="P155" s="93"/>
      <c r="Q155" s="93"/>
      <c r="R155" s="93"/>
      <c r="S155" s="93"/>
      <c r="W155" t="str">
        <f t="shared" si="22"/>
        <v/>
      </c>
      <c r="X155" s="18" t="str">
        <f t="shared" si="23"/>
        <v/>
      </c>
      <c r="Y155" s="1" t="str">
        <f t="shared" si="21"/>
        <v/>
      </c>
      <c r="Z155" t="str">
        <f t="shared" si="24"/>
        <v/>
      </c>
      <c r="AA155" s="1" t="str">
        <f t="shared" si="25"/>
        <v/>
      </c>
    </row>
    <row r="156" spans="1:27" customFormat="1" x14ac:dyDescent="0.25">
      <c r="A156" s="68" t="str">
        <f t="shared" si="33"/>
        <v/>
      </c>
      <c r="B156" s="68" t="str">
        <f t="shared" si="34"/>
        <v/>
      </c>
      <c r="C156" s="156" t="str">
        <f t="shared" si="20"/>
        <v/>
      </c>
      <c r="D156" s="156" t="str">
        <f t="shared" si="38"/>
        <v/>
      </c>
      <c r="E156" s="162" t="str">
        <f t="shared" si="35"/>
        <v/>
      </c>
      <c r="F156" s="156" t="str">
        <f t="shared" si="36"/>
        <v/>
      </c>
      <c r="G156" s="171" t="str">
        <f t="shared" si="37"/>
        <v/>
      </c>
      <c r="O156" s="93"/>
      <c r="P156" s="93"/>
      <c r="Q156" s="93"/>
      <c r="R156" s="93"/>
      <c r="S156" s="93"/>
      <c r="W156" t="str">
        <f t="shared" si="22"/>
        <v/>
      </c>
      <c r="X156" s="18" t="str">
        <f t="shared" si="23"/>
        <v/>
      </c>
      <c r="Y156" s="1" t="str">
        <f t="shared" si="21"/>
        <v/>
      </c>
      <c r="Z156" t="str">
        <f t="shared" si="24"/>
        <v/>
      </c>
      <c r="AA156" s="1" t="str">
        <f t="shared" si="25"/>
        <v/>
      </c>
    </row>
    <row r="157" spans="1:27" customFormat="1" x14ac:dyDescent="0.25">
      <c r="A157" s="68" t="str">
        <f t="shared" si="33"/>
        <v/>
      </c>
      <c r="B157" s="68" t="str">
        <f t="shared" si="34"/>
        <v/>
      </c>
      <c r="C157" s="156" t="str">
        <f t="shared" ref="C157:C220" si="39">IF(B157="","",((1+(D$15))^(22/252)-1)*(F156+D157))</f>
        <v/>
      </c>
      <c r="D157" s="156" t="str">
        <f t="shared" si="38"/>
        <v/>
      </c>
      <c r="E157" s="162" t="str">
        <f t="shared" si="35"/>
        <v/>
      </c>
      <c r="F157" s="156" t="str">
        <f t="shared" si="36"/>
        <v/>
      </c>
      <c r="G157" s="171" t="str">
        <f t="shared" si="37"/>
        <v/>
      </c>
      <c r="O157" s="93"/>
      <c r="P157" s="93"/>
      <c r="Q157" s="93"/>
      <c r="R157" s="93"/>
      <c r="S157" s="93"/>
      <c r="W157" t="str">
        <f t="shared" si="22"/>
        <v/>
      </c>
      <c r="X157" s="18" t="str">
        <f t="shared" si="23"/>
        <v/>
      </c>
      <c r="Y157" s="1" t="str">
        <f t="shared" si="21"/>
        <v/>
      </c>
      <c r="Z157" t="str">
        <f t="shared" si="24"/>
        <v/>
      </c>
      <c r="AA157" s="1" t="str">
        <f t="shared" si="25"/>
        <v/>
      </c>
    </row>
    <row r="158" spans="1:27" customFormat="1" x14ac:dyDescent="0.25">
      <c r="A158" s="68" t="str">
        <f t="shared" si="33"/>
        <v/>
      </c>
      <c r="B158" s="68" t="str">
        <f t="shared" si="34"/>
        <v/>
      </c>
      <c r="C158" s="156" t="str">
        <f t="shared" si="39"/>
        <v/>
      </c>
      <c r="D158" s="156" t="str">
        <f t="shared" si="38"/>
        <v/>
      </c>
      <c r="E158" s="162" t="str">
        <f t="shared" si="35"/>
        <v/>
      </c>
      <c r="F158" s="156" t="str">
        <f t="shared" si="36"/>
        <v/>
      </c>
      <c r="G158" s="171" t="str">
        <f t="shared" si="37"/>
        <v/>
      </c>
      <c r="O158" s="93"/>
      <c r="P158" s="93"/>
      <c r="Q158" s="93"/>
      <c r="R158" s="93"/>
      <c r="S158" s="93"/>
      <c r="W158" t="str">
        <f t="shared" si="22"/>
        <v/>
      </c>
      <c r="X158" s="18" t="str">
        <f t="shared" si="23"/>
        <v/>
      </c>
      <c r="Y158" s="1" t="str">
        <f t="shared" ref="Y158:Y221" si="40">IF(X158="","",IF(W158&lt;=B$16,0,Y$27/(B$17-B$16)))</f>
        <v/>
      </c>
      <c r="Z158" t="str">
        <f t="shared" si="24"/>
        <v/>
      </c>
      <c r="AA158" s="1" t="str">
        <f t="shared" si="25"/>
        <v/>
      </c>
    </row>
    <row r="159" spans="1:27" customFormat="1" x14ac:dyDescent="0.25">
      <c r="A159" s="68" t="str">
        <f t="shared" si="33"/>
        <v/>
      </c>
      <c r="B159" s="68" t="str">
        <f t="shared" si="34"/>
        <v/>
      </c>
      <c r="C159" s="156" t="str">
        <f t="shared" si="39"/>
        <v/>
      </c>
      <c r="D159" s="156" t="str">
        <f t="shared" si="38"/>
        <v/>
      </c>
      <c r="E159" s="162" t="str">
        <f t="shared" si="35"/>
        <v/>
      </c>
      <c r="F159" s="156" t="str">
        <f t="shared" si="36"/>
        <v/>
      </c>
      <c r="G159" s="171" t="str">
        <f t="shared" si="37"/>
        <v/>
      </c>
      <c r="O159" s="93"/>
      <c r="P159" s="93"/>
      <c r="Q159" s="93"/>
      <c r="R159" s="93"/>
      <c r="S159" s="93"/>
      <c r="W159" t="str">
        <f t="shared" si="22"/>
        <v/>
      </c>
      <c r="X159" s="18" t="str">
        <f t="shared" si="23"/>
        <v/>
      </c>
      <c r="Y159" s="1" t="str">
        <f t="shared" si="40"/>
        <v/>
      </c>
      <c r="Z159" t="str">
        <f t="shared" si="24"/>
        <v/>
      </c>
      <c r="AA159" s="1" t="str">
        <f t="shared" si="25"/>
        <v/>
      </c>
    </row>
    <row r="160" spans="1:27" customFormat="1" x14ac:dyDescent="0.25">
      <c r="A160" s="68" t="str">
        <f t="shared" si="33"/>
        <v/>
      </c>
      <c r="B160" s="68" t="str">
        <f t="shared" si="34"/>
        <v/>
      </c>
      <c r="C160" s="156" t="str">
        <f t="shared" si="39"/>
        <v/>
      </c>
      <c r="D160" s="156" t="str">
        <f t="shared" si="38"/>
        <v/>
      </c>
      <c r="E160" s="162" t="str">
        <f t="shared" si="35"/>
        <v/>
      </c>
      <c r="F160" s="156" t="str">
        <f t="shared" si="36"/>
        <v/>
      </c>
      <c r="G160" s="171" t="str">
        <f t="shared" si="37"/>
        <v/>
      </c>
      <c r="O160" s="93"/>
      <c r="P160" s="93"/>
      <c r="Q160" s="93"/>
      <c r="R160" s="93"/>
      <c r="S160" s="93"/>
      <c r="W160" t="str">
        <f t="shared" ref="W160:W223" si="41">IF(W159&lt;B$17,W159+1,"")</f>
        <v/>
      </c>
      <c r="X160" s="18" t="str">
        <f t="shared" ref="X160:X223" si="42">IF(W160="","",X159+30)</f>
        <v/>
      </c>
      <c r="Y160" s="1" t="str">
        <f t="shared" si="40"/>
        <v/>
      </c>
      <c r="Z160" t="str">
        <f t="shared" ref="Z160:Z223" si="43">IF(Y160="","",X160-X$30)</f>
        <v/>
      </c>
      <c r="AA160" s="1" t="str">
        <f t="shared" ref="AA160:AA223" si="44">IF(Z160="","",IF(Z160&lt;365,Z160*Y160*Y$26,365*Y160*Y$26))</f>
        <v/>
      </c>
    </row>
    <row r="161" spans="1:27" customFormat="1" x14ac:dyDescent="0.25">
      <c r="A161" s="68" t="str">
        <f t="shared" si="33"/>
        <v/>
      </c>
      <c r="B161" s="68" t="str">
        <f t="shared" si="34"/>
        <v/>
      </c>
      <c r="C161" s="156" t="str">
        <f t="shared" si="39"/>
        <v/>
      </c>
      <c r="D161" s="156" t="str">
        <f t="shared" si="38"/>
        <v/>
      </c>
      <c r="E161" s="162" t="str">
        <f t="shared" si="35"/>
        <v/>
      </c>
      <c r="F161" s="156" t="str">
        <f t="shared" si="36"/>
        <v/>
      </c>
      <c r="G161" s="171" t="str">
        <f t="shared" si="37"/>
        <v/>
      </c>
      <c r="O161" s="93"/>
      <c r="P161" s="93"/>
      <c r="Q161" s="93"/>
      <c r="R161" s="93"/>
      <c r="S161" s="93"/>
      <c r="W161" t="str">
        <f t="shared" si="41"/>
        <v/>
      </c>
      <c r="X161" s="18" t="str">
        <f t="shared" si="42"/>
        <v/>
      </c>
      <c r="Y161" s="1" t="str">
        <f t="shared" si="40"/>
        <v/>
      </c>
      <c r="Z161" t="str">
        <f t="shared" si="43"/>
        <v/>
      </c>
      <c r="AA161" s="1" t="str">
        <f t="shared" si="44"/>
        <v/>
      </c>
    </row>
    <row r="162" spans="1:27" customFormat="1" x14ac:dyDescent="0.25">
      <c r="A162" s="68" t="str">
        <f t="shared" si="33"/>
        <v/>
      </c>
      <c r="B162" s="68" t="str">
        <f t="shared" si="34"/>
        <v/>
      </c>
      <c r="C162" s="156" t="str">
        <f t="shared" si="39"/>
        <v/>
      </c>
      <c r="D162" s="156" t="str">
        <f t="shared" si="38"/>
        <v/>
      </c>
      <c r="E162" s="162" t="str">
        <f t="shared" si="35"/>
        <v/>
      </c>
      <c r="F162" s="156" t="str">
        <f t="shared" si="36"/>
        <v/>
      </c>
      <c r="G162" s="171" t="str">
        <f t="shared" si="37"/>
        <v/>
      </c>
      <c r="O162" s="93"/>
      <c r="P162" s="93"/>
      <c r="Q162" s="93"/>
      <c r="R162" s="93"/>
      <c r="S162" s="93"/>
      <c r="W162" t="str">
        <f t="shared" si="41"/>
        <v/>
      </c>
      <c r="X162" s="18" t="str">
        <f t="shared" si="42"/>
        <v/>
      </c>
      <c r="Y162" s="1" t="str">
        <f t="shared" si="40"/>
        <v/>
      </c>
      <c r="Z162" t="str">
        <f t="shared" si="43"/>
        <v/>
      </c>
      <c r="AA162" s="1" t="str">
        <f t="shared" si="44"/>
        <v/>
      </c>
    </row>
    <row r="163" spans="1:27" customFormat="1" x14ac:dyDescent="0.25">
      <c r="A163" s="68" t="str">
        <f t="shared" si="33"/>
        <v/>
      </c>
      <c r="B163" s="68" t="str">
        <f t="shared" si="34"/>
        <v/>
      </c>
      <c r="C163" s="156" t="str">
        <f t="shared" si="39"/>
        <v/>
      </c>
      <c r="D163" s="156" t="str">
        <f t="shared" si="38"/>
        <v/>
      </c>
      <c r="E163" s="162" t="str">
        <f t="shared" si="35"/>
        <v/>
      </c>
      <c r="F163" s="156" t="str">
        <f t="shared" si="36"/>
        <v/>
      </c>
      <c r="G163" s="171" t="str">
        <f t="shared" si="37"/>
        <v/>
      </c>
      <c r="O163" s="93"/>
      <c r="P163" s="93"/>
      <c r="Q163" s="93"/>
      <c r="R163" s="93"/>
      <c r="S163" s="93"/>
      <c r="W163" t="str">
        <f t="shared" si="41"/>
        <v/>
      </c>
      <c r="X163" s="18" t="str">
        <f t="shared" si="42"/>
        <v/>
      </c>
      <c r="Y163" s="1" t="str">
        <f t="shared" si="40"/>
        <v/>
      </c>
      <c r="Z163" t="str">
        <f t="shared" si="43"/>
        <v/>
      </c>
      <c r="AA163" s="1" t="str">
        <f t="shared" si="44"/>
        <v/>
      </c>
    </row>
    <row r="164" spans="1:27" customFormat="1" x14ac:dyDescent="0.25">
      <c r="A164" s="68" t="str">
        <f t="shared" si="33"/>
        <v/>
      </c>
      <c r="B164" s="68" t="str">
        <f t="shared" si="34"/>
        <v/>
      </c>
      <c r="C164" s="156" t="str">
        <f t="shared" si="39"/>
        <v/>
      </c>
      <c r="D164" s="156" t="str">
        <f t="shared" si="38"/>
        <v/>
      </c>
      <c r="E164" s="162" t="str">
        <f t="shared" si="35"/>
        <v/>
      </c>
      <c r="F164" s="156" t="str">
        <f t="shared" si="36"/>
        <v/>
      </c>
      <c r="G164" s="171" t="str">
        <f t="shared" si="37"/>
        <v/>
      </c>
      <c r="O164" s="93"/>
      <c r="P164" s="93"/>
      <c r="Q164" s="93"/>
      <c r="R164" s="93"/>
      <c r="S164" s="93"/>
      <c r="W164" t="str">
        <f t="shared" si="41"/>
        <v/>
      </c>
      <c r="X164" s="18" t="str">
        <f t="shared" si="42"/>
        <v/>
      </c>
      <c r="Y164" s="1" t="str">
        <f t="shared" si="40"/>
        <v/>
      </c>
      <c r="Z164" t="str">
        <f t="shared" si="43"/>
        <v/>
      </c>
      <c r="AA164" s="1" t="str">
        <f t="shared" si="44"/>
        <v/>
      </c>
    </row>
    <row r="165" spans="1:27" customFormat="1" x14ac:dyDescent="0.25">
      <c r="A165" s="68" t="str">
        <f t="shared" si="33"/>
        <v/>
      </c>
      <c r="B165" s="68" t="str">
        <f t="shared" si="34"/>
        <v/>
      </c>
      <c r="C165" s="156" t="str">
        <f t="shared" si="39"/>
        <v/>
      </c>
      <c r="D165" s="156" t="str">
        <f t="shared" si="38"/>
        <v/>
      </c>
      <c r="E165" s="162" t="str">
        <f t="shared" si="35"/>
        <v/>
      </c>
      <c r="F165" s="156" t="str">
        <f t="shared" si="36"/>
        <v/>
      </c>
      <c r="G165" s="171" t="str">
        <f t="shared" si="37"/>
        <v/>
      </c>
      <c r="O165" s="93"/>
      <c r="P165" s="93"/>
      <c r="Q165" s="93"/>
      <c r="R165" s="93"/>
      <c r="S165" s="93"/>
      <c r="W165" t="str">
        <f t="shared" si="41"/>
        <v/>
      </c>
      <c r="X165" s="18" t="str">
        <f t="shared" si="42"/>
        <v/>
      </c>
      <c r="Y165" s="1" t="str">
        <f t="shared" si="40"/>
        <v/>
      </c>
      <c r="Z165" t="str">
        <f t="shared" si="43"/>
        <v/>
      </c>
      <c r="AA165" s="1" t="str">
        <f t="shared" si="44"/>
        <v/>
      </c>
    </row>
    <row r="166" spans="1:27" customFormat="1" x14ac:dyDescent="0.25">
      <c r="A166" s="68" t="str">
        <f t="shared" si="33"/>
        <v/>
      </c>
      <c r="B166" s="68" t="str">
        <f t="shared" si="34"/>
        <v/>
      </c>
      <c r="C166" s="156" t="str">
        <f t="shared" si="39"/>
        <v/>
      </c>
      <c r="D166" s="156" t="str">
        <f t="shared" si="38"/>
        <v/>
      </c>
      <c r="E166" s="162" t="str">
        <f t="shared" si="35"/>
        <v/>
      </c>
      <c r="F166" s="156" t="str">
        <f t="shared" si="36"/>
        <v/>
      </c>
      <c r="G166" s="171" t="str">
        <f t="shared" si="37"/>
        <v/>
      </c>
      <c r="O166" s="93"/>
      <c r="P166" s="93"/>
      <c r="Q166" s="93"/>
      <c r="R166" s="93"/>
      <c r="S166" s="93"/>
      <c r="W166" t="str">
        <f t="shared" si="41"/>
        <v/>
      </c>
      <c r="X166" s="18" t="str">
        <f t="shared" si="42"/>
        <v/>
      </c>
      <c r="Y166" s="1" t="str">
        <f t="shared" si="40"/>
        <v/>
      </c>
      <c r="Z166" t="str">
        <f t="shared" si="43"/>
        <v/>
      </c>
      <c r="AA166" s="1" t="str">
        <f t="shared" si="44"/>
        <v/>
      </c>
    </row>
    <row r="167" spans="1:27" customFormat="1" x14ac:dyDescent="0.25">
      <c r="A167" s="68" t="str">
        <f t="shared" si="33"/>
        <v/>
      </c>
      <c r="B167" s="68" t="str">
        <f t="shared" si="34"/>
        <v/>
      </c>
      <c r="C167" s="156" t="str">
        <f t="shared" si="39"/>
        <v/>
      </c>
      <c r="D167" s="156" t="str">
        <f t="shared" si="38"/>
        <v/>
      </c>
      <c r="E167" s="162" t="str">
        <f t="shared" si="35"/>
        <v/>
      </c>
      <c r="F167" s="156" t="str">
        <f t="shared" si="36"/>
        <v/>
      </c>
      <c r="G167" s="171" t="str">
        <f t="shared" si="37"/>
        <v/>
      </c>
      <c r="O167" s="93"/>
      <c r="P167" s="93"/>
      <c r="Q167" s="93"/>
      <c r="R167" s="93"/>
      <c r="S167" s="93"/>
      <c r="W167" t="str">
        <f t="shared" si="41"/>
        <v/>
      </c>
      <c r="X167" s="18" t="str">
        <f t="shared" si="42"/>
        <v/>
      </c>
      <c r="Y167" s="1" t="str">
        <f t="shared" si="40"/>
        <v/>
      </c>
      <c r="Z167" t="str">
        <f t="shared" si="43"/>
        <v/>
      </c>
      <c r="AA167" s="1" t="str">
        <f t="shared" si="44"/>
        <v/>
      </c>
    </row>
    <row r="168" spans="1:27" customFormat="1" x14ac:dyDescent="0.25">
      <c r="A168" s="68" t="str">
        <f t="shared" si="33"/>
        <v/>
      </c>
      <c r="B168" s="68" t="str">
        <f t="shared" si="34"/>
        <v/>
      </c>
      <c r="C168" s="156" t="str">
        <f t="shared" si="39"/>
        <v/>
      </c>
      <c r="D168" s="156" t="str">
        <f t="shared" si="38"/>
        <v/>
      </c>
      <c r="E168" s="162" t="str">
        <f t="shared" si="35"/>
        <v/>
      </c>
      <c r="F168" s="156" t="str">
        <f t="shared" si="36"/>
        <v/>
      </c>
      <c r="G168" s="171" t="str">
        <f t="shared" si="37"/>
        <v/>
      </c>
      <c r="O168" s="93"/>
      <c r="P168" s="93"/>
      <c r="Q168" s="93"/>
      <c r="R168" s="93"/>
      <c r="S168" s="93"/>
      <c r="W168" t="str">
        <f t="shared" si="41"/>
        <v/>
      </c>
      <c r="X168" s="18" t="str">
        <f t="shared" si="42"/>
        <v/>
      </c>
      <c r="Y168" s="1" t="str">
        <f t="shared" si="40"/>
        <v/>
      </c>
      <c r="Z168" t="str">
        <f t="shared" si="43"/>
        <v/>
      </c>
      <c r="AA168" s="1" t="str">
        <f t="shared" si="44"/>
        <v/>
      </c>
    </row>
    <row r="169" spans="1:27" customFormat="1" x14ac:dyDescent="0.25">
      <c r="A169" s="68" t="str">
        <f t="shared" si="33"/>
        <v/>
      </c>
      <c r="B169" s="68" t="str">
        <f t="shared" si="34"/>
        <v/>
      </c>
      <c r="C169" s="156" t="str">
        <f t="shared" si="39"/>
        <v/>
      </c>
      <c r="D169" s="156" t="str">
        <f t="shared" si="38"/>
        <v/>
      </c>
      <c r="E169" s="162" t="str">
        <f t="shared" si="35"/>
        <v/>
      </c>
      <c r="F169" s="156" t="str">
        <f t="shared" si="36"/>
        <v/>
      </c>
      <c r="G169" s="171" t="str">
        <f t="shared" si="37"/>
        <v/>
      </c>
      <c r="O169" s="93"/>
      <c r="P169" s="93"/>
      <c r="Q169" s="93"/>
      <c r="R169" s="93"/>
      <c r="S169" s="93"/>
      <c r="W169" t="str">
        <f t="shared" si="41"/>
        <v/>
      </c>
      <c r="X169" s="18" t="str">
        <f t="shared" si="42"/>
        <v/>
      </c>
      <c r="Y169" s="1" t="str">
        <f t="shared" si="40"/>
        <v/>
      </c>
      <c r="Z169" t="str">
        <f t="shared" si="43"/>
        <v/>
      </c>
      <c r="AA169" s="1" t="str">
        <f t="shared" si="44"/>
        <v/>
      </c>
    </row>
    <row r="170" spans="1:27" customFormat="1" x14ac:dyDescent="0.25">
      <c r="A170" s="68" t="str">
        <f t="shared" si="33"/>
        <v/>
      </c>
      <c r="B170" s="68" t="str">
        <f t="shared" si="34"/>
        <v/>
      </c>
      <c r="C170" s="156" t="str">
        <f t="shared" si="39"/>
        <v/>
      </c>
      <c r="D170" s="156" t="str">
        <f t="shared" si="38"/>
        <v/>
      </c>
      <c r="E170" s="162" t="str">
        <f t="shared" si="35"/>
        <v/>
      </c>
      <c r="F170" s="156" t="str">
        <f t="shared" si="36"/>
        <v/>
      </c>
      <c r="G170" s="171" t="str">
        <f t="shared" si="37"/>
        <v/>
      </c>
      <c r="O170" s="93"/>
      <c r="P170" s="93"/>
      <c r="Q170" s="93"/>
      <c r="R170" s="93"/>
      <c r="S170" s="93"/>
      <c r="W170" t="str">
        <f t="shared" si="41"/>
        <v/>
      </c>
      <c r="X170" s="18" t="str">
        <f t="shared" si="42"/>
        <v/>
      </c>
      <c r="Y170" s="1" t="str">
        <f t="shared" si="40"/>
        <v/>
      </c>
      <c r="Z170" t="str">
        <f t="shared" si="43"/>
        <v/>
      </c>
      <c r="AA170" s="1" t="str">
        <f t="shared" si="44"/>
        <v/>
      </c>
    </row>
    <row r="171" spans="1:27" customFormat="1" x14ac:dyDescent="0.25">
      <c r="A171" s="68" t="str">
        <f t="shared" si="33"/>
        <v/>
      </c>
      <c r="B171" s="68" t="str">
        <f t="shared" si="34"/>
        <v/>
      </c>
      <c r="C171" s="156" t="str">
        <f t="shared" si="39"/>
        <v/>
      </c>
      <c r="D171" s="156" t="str">
        <f t="shared" si="38"/>
        <v/>
      </c>
      <c r="E171" s="162" t="str">
        <f t="shared" si="35"/>
        <v/>
      </c>
      <c r="F171" s="156" t="str">
        <f t="shared" si="36"/>
        <v/>
      </c>
      <c r="G171" s="171" t="str">
        <f t="shared" si="37"/>
        <v/>
      </c>
      <c r="O171" s="93"/>
      <c r="P171" s="93"/>
      <c r="Q171" s="93"/>
      <c r="R171" s="93"/>
      <c r="S171" s="93"/>
      <c r="W171" t="str">
        <f t="shared" si="41"/>
        <v/>
      </c>
      <c r="X171" s="18" t="str">
        <f t="shared" si="42"/>
        <v/>
      </c>
      <c r="Y171" s="1" t="str">
        <f t="shared" si="40"/>
        <v/>
      </c>
      <c r="Z171" t="str">
        <f t="shared" si="43"/>
        <v/>
      </c>
      <c r="AA171" s="1" t="str">
        <f t="shared" si="44"/>
        <v/>
      </c>
    </row>
    <row r="172" spans="1:27" customFormat="1" x14ac:dyDescent="0.25">
      <c r="A172" s="68" t="str">
        <f t="shared" si="33"/>
        <v/>
      </c>
      <c r="B172" s="68" t="str">
        <f t="shared" si="34"/>
        <v/>
      </c>
      <c r="C172" s="156" t="str">
        <f t="shared" si="39"/>
        <v/>
      </c>
      <c r="D172" s="156" t="str">
        <f t="shared" si="38"/>
        <v/>
      </c>
      <c r="E172" s="162" t="str">
        <f t="shared" si="35"/>
        <v/>
      </c>
      <c r="F172" s="156" t="str">
        <f t="shared" si="36"/>
        <v/>
      </c>
      <c r="G172" s="171" t="str">
        <f t="shared" si="37"/>
        <v/>
      </c>
      <c r="O172" s="93"/>
      <c r="P172" s="93"/>
      <c r="Q172" s="93"/>
      <c r="R172" s="93"/>
      <c r="S172" s="93"/>
      <c r="W172" t="str">
        <f t="shared" si="41"/>
        <v/>
      </c>
      <c r="X172" s="18" t="str">
        <f t="shared" si="42"/>
        <v/>
      </c>
      <c r="Y172" s="1" t="str">
        <f t="shared" si="40"/>
        <v/>
      </c>
      <c r="Z172" t="str">
        <f t="shared" si="43"/>
        <v/>
      </c>
      <c r="AA172" s="1" t="str">
        <f t="shared" si="44"/>
        <v/>
      </c>
    </row>
    <row r="173" spans="1:27" customFormat="1" x14ac:dyDescent="0.25">
      <c r="A173" s="68" t="str">
        <f t="shared" si="33"/>
        <v/>
      </c>
      <c r="B173" s="68" t="str">
        <f t="shared" si="34"/>
        <v/>
      </c>
      <c r="C173" s="156" t="str">
        <f t="shared" si="39"/>
        <v/>
      </c>
      <c r="D173" s="156" t="str">
        <f t="shared" si="38"/>
        <v/>
      </c>
      <c r="E173" s="162" t="str">
        <f t="shared" si="35"/>
        <v/>
      </c>
      <c r="F173" s="156" t="str">
        <f t="shared" si="36"/>
        <v/>
      </c>
      <c r="G173" s="171" t="str">
        <f t="shared" si="37"/>
        <v/>
      </c>
      <c r="O173" s="93"/>
      <c r="P173" s="93"/>
      <c r="Q173" s="93"/>
      <c r="R173" s="93"/>
      <c r="S173" s="93"/>
      <c r="W173" t="str">
        <f t="shared" si="41"/>
        <v/>
      </c>
      <c r="X173" s="18" t="str">
        <f t="shared" si="42"/>
        <v/>
      </c>
      <c r="Y173" s="1" t="str">
        <f t="shared" si="40"/>
        <v/>
      </c>
      <c r="Z173" t="str">
        <f t="shared" si="43"/>
        <v/>
      </c>
      <c r="AA173" s="1" t="str">
        <f t="shared" si="44"/>
        <v/>
      </c>
    </row>
    <row r="174" spans="1:27" customFormat="1" x14ac:dyDescent="0.25">
      <c r="A174" s="68" t="str">
        <f t="shared" si="33"/>
        <v/>
      </c>
      <c r="B174" s="68" t="str">
        <f t="shared" si="34"/>
        <v/>
      </c>
      <c r="C174" s="156" t="str">
        <f t="shared" si="39"/>
        <v/>
      </c>
      <c r="D174" s="156" t="str">
        <f t="shared" si="38"/>
        <v/>
      </c>
      <c r="E174" s="162" t="str">
        <f t="shared" si="35"/>
        <v/>
      </c>
      <c r="F174" s="156" t="str">
        <f t="shared" si="36"/>
        <v/>
      </c>
      <c r="G174" s="171" t="str">
        <f t="shared" si="37"/>
        <v/>
      </c>
      <c r="O174" s="93"/>
      <c r="P174" s="93"/>
      <c r="Q174" s="93"/>
      <c r="R174" s="93"/>
      <c r="S174" s="93"/>
      <c r="W174" t="str">
        <f t="shared" si="41"/>
        <v/>
      </c>
      <c r="X174" s="18" t="str">
        <f t="shared" si="42"/>
        <v/>
      </c>
      <c r="Y174" s="1" t="str">
        <f t="shared" si="40"/>
        <v/>
      </c>
      <c r="Z174" t="str">
        <f t="shared" si="43"/>
        <v/>
      </c>
      <c r="AA174" s="1" t="str">
        <f t="shared" si="44"/>
        <v/>
      </c>
    </row>
    <row r="175" spans="1:27" customFormat="1" x14ac:dyDescent="0.25">
      <c r="A175" s="68" t="str">
        <f t="shared" si="33"/>
        <v/>
      </c>
      <c r="B175" s="68" t="str">
        <f t="shared" si="34"/>
        <v/>
      </c>
      <c r="C175" s="156" t="str">
        <f t="shared" si="39"/>
        <v/>
      </c>
      <c r="D175" s="156" t="str">
        <f t="shared" si="38"/>
        <v/>
      </c>
      <c r="E175" s="162" t="str">
        <f t="shared" si="35"/>
        <v/>
      </c>
      <c r="F175" s="156" t="str">
        <f t="shared" si="36"/>
        <v/>
      </c>
      <c r="G175" s="171" t="str">
        <f t="shared" si="37"/>
        <v/>
      </c>
      <c r="O175" s="93"/>
      <c r="P175" s="93"/>
      <c r="Q175" s="93"/>
      <c r="R175" s="93"/>
      <c r="S175" s="93"/>
      <c r="W175" t="str">
        <f t="shared" si="41"/>
        <v/>
      </c>
      <c r="X175" s="18" t="str">
        <f t="shared" si="42"/>
        <v/>
      </c>
      <c r="Y175" s="1" t="str">
        <f t="shared" si="40"/>
        <v/>
      </c>
      <c r="Z175" t="str">
        <f t="shared" si="43"/>
        <v/>
      </c>
      <c r="AA175" s="1" t="str">
        <f t="shared" si="44"/>
        <v/>
      </c>
    </row>
    <row r="176" spans="1:27" customFormat="1" x14ac:dyDescent="0.25">
      <c r="A176" s="68" t="str">
        <f t="shared" si="33"/>
        <v/>
      </c>
      <c r="B176" s="68" t="str">
        <f t="shared" si="34"/>
        <v/>
      </c>
      <c r="C176" s="156" t="str">
        <f t="shared" si="39"/>
        <v/>
      </c>
      <c r="D176" s="156" t="str">
        <f t="shared" si="38"/>
        <v/>
      </c>
      <c r="E176" s="162" t="str">
        <f t="shared" si="35"/>
        <v/>
      </c>
      <c r="F176" s="156" t="str">
        <f t="shared" si="36"/>
        <v/>
      </c>
      <c r="G176" s="171" t="str">
        <f t="shared" si="37"/>
        <v/>
      </c>
      <c r="O176" s="93"/>
      <c r="P176" s="93"/>
      <c r="Q176" s="93"/>
      <c r="R176" s="93"/>
      <c r="S176" s="93"/>
      <c r="W176" t="str">
        <f t="shared" si="41"/>
        <v/>
      </c>
      <c r="X176" s="18" t="str">
        <f t="shared" si="42"/>
        <v/>
      </c>
      <c r="Y176" s="1" t="str">
        <f t="shared" si="40"/>
        <v/>
      </c>
      <c r="Z176" t="str">
        <f t="shared" si="43"/>
        <v/>
      </c>
      <c r="AA176" s="1" t="str">
        <f t="shared" si="44"/>
        <v/>
      </c>
    </row>
    <row r="177" spans="1:27" customFormat="1" x14ac:dyDescent="0.25">
      <c r="A177" s="68" t="str">
        <f t="shared" si="33"/>
        <v/>
      </c>
      <c r="B177" s="68" t="str">
        <f t="shared" si="34"/>
        <v/>
      </c>
      <c r="C177" s="156" t="str">
        <f t="shared" si="39"/>
        <v/>
      </c>
      <c r="D177" s="156" t="str">
        <f t="shared" si="38"/>
        <v/>
      </c>
      <c r="E177" s="162" t="str">
        <f t="shared" si="35"/>
        <v/>
      </c>
      <c r="F177" s="156" t="str">
        <f t="shared" si="36"/>
        <v/>
      </c>
      <c r="G177" s="171" t="str">
        <f t="shared" si="37"/>
        <v/>
      </c>
      <c r="O177" s="93"/>
      <c r="P177" s="93"/>
      <c r="Q177" s="93"/>
      <c r="R177" s="93"/>
      <c r="S177" s="93"/>
      <c r="W177" t="str">
        <f t="shared" si="41"/>
        <v/>
      </c>
      <c r="X177" s="18" t="str">
        <f t="shared" si="42"/>
        <v/>
      </c>
      <c r="Y177" s="1" t="str">
        <f t="shared" si="40"/>
        <v/>
      </c>
      <c r="Z177" t="str">
        <f t="shared" si="43"/>
        <v/>
      </c>
      <c r="AA177" s="1" t="str">
        <f t="shared" si="44"/>
        <v/>
      </c>
    </row>
    <row r="178" spans="1:27" customFormat="1" x14ac:dyDescent="0.25">
      <c r="A178" s="68" t="str">
        <f t="shared" si="33"/>
        <v/>
      </c>
      <c r="B178" s="68" t="str">
        <f t="shared" si="34"/>
        <v/>
      </c>
      <c r="C178" s="156" t="str">
        <f t="shared" si="39"/>
        <v/>
      </c>
      <c r="D178" s="156" t="str">
        <f t="shared" si="38"/>
        <v/>
      </c>
      <c r="E178" s="162" t="str">
        <f t="shared" si="35"/>
        <v/>
      </c>
      <c r="F178" s="156" t="str">
        <f t="shared" si="36"/>
        <v/>
      </c>
      <c r="G178" s="171" t="str">
        <f t="shared" si="37"/>
        <v/>
      </c>
      <c r="O178" s="93"/>
      <c r="P178" s="93"/>
      <c r="Q178" s="93"/>
      <c r="R178" s="93"/>
      <c r="S178" s="93"/>
      <c r="W178" t="str">
        <f t="shared" si="41"/>
        <v/>
      </c>
      <c r="X178" s="18" t="str">
        <f t="shared" si="42"/>
        <v/>
      </c>
      <c r="Y178" s="1" t="str">
        <f t="shared" si="40"/>
        <v/>
      </c>
      <c r="Z178" t="str">
        <f t="shared" si="43"/>
        <v/>
      </c>
      <c r="AA178" s="1" t="str">
        <f t="shared" si="44"/>
        <v/>
      </c>
    </row>
    <row r="179" spans="1:27" customFormat="1" x14ac:dyDescent="0.25">
      <c r="A179" s="68" t="str">
        <f t="shared" si="33"/>
        <v/>
      </c>
      <c r="B179" s="68" t="str">
        <f t="shared" si="34"/>
        <v/>
      </c>
      <c r="C179" s="156" t="str">
        <f t="shared" si="39"/>
        <v/>
      </c>
      <c r="D179" s="156" t="str">
        <f t="shared" si="38"/>
        <v/>
      </c>
      <c r="E179" s="162" t="str">
        <f t="shared" si="35"/>
        <v/>
      </c>
      <c r="F179" s="156" t="str">
        <f t="shared" si="36"/>
        <v/>
      </c>
      <c r="G179" s="171" t="str">
        <f t="shared" si="37"/>
        <v/>
      </c>
      <c r="O179" s="93"/>
      <c r="P179" s="93"/>
      <c r="Q179" s="93"/>
      <c r="R179" s="93"/>
      <c r="S179" s="93"/>
      <c r="W179" t="str">
        <f t="shared" si="41"/>
        <v/>
      </c>
      <c r="X179" s="18" t="str">
        <f t="shared" si="42"/>
        <v/>
      </c>
      <c r="Y179" s="1" t="str">
        <f t="shared" si="40"/>
        <v/>
      </c>
      <c r="Z179" t="str">
        <f t="shared" si="43"/>
        <v/>
      </c>
      <c r="AA179" s="1" t="str">
        <f t="shared" si="44"/>
        <v/>
      </c>
    </row>
    <row r="180" spans="1:27" customFormat="1" x14ac:dyDescent="0.25">
      <c r="A180" s="68" t="str">
        <f t="shared" si="33"/>
        <v/>
      </c>
      <c r="B180" s="68" t="str">
        <f t="shared" si="34"/>
        <v/>
      </c>
      <c r="C180" s="156" t="str">
        <f t="shared" si="39"/>
        <v/>
      </c>
      <c r="D180" s="156" t="str">
        <f t="shared" si="38"/>
        <v/>
      </c>
      <c r="E180" s="162" t="str">
        <f t="shared" si="35"/>
        <v/>
      </c>
      <c r="F180" s="156" t="str">
        <f t="shared" si="36"/>
        <v/>
      </c>
      <c r="G180" s="171" t="str">
        <f t="shared" si="37"/>
        <v/>
      </c>
      <c r="O180" s="93"/>
      <c r="P180" s="93"/>
      <c r="Q180" s="93"/>
      <c r="R180" s="93"/>
      <c r="S180" s="93"/>
      <c r="W180" t="str">
        <f t="shared" si="41"/>
        <v/>
      </c>
      <c r="X180" s="18" t="str">
        <f t="shared" si="42"/>
        <v/>
      </c>
      <c r="Y180" s="1" t="str">
        <f t="shared" si="40"/>
        <v/>
      </c>
      <c r="Z180" t="str">
        <f t="shared" si="43"/>
        <v/>
      </c>
      <c r="AA180" s="1" t="str">
        <f t="shared" si="44"/>
        <v/>
      </c>
    </row>
    <row r="181" spans="1:27" customFormat="1" x14ac:dyDescent="0.25">
      <c r="A181" s="68" t="str">
        <f t="shared" si="33"/>
        <v/>
      </c>
      <c r="B181" s="68" t="str">
        <f t="shared" si="34"/>
        <v/>
      </c>
      <c r="C181" s="156" t="str">
        <f t="shared" si="39"/>
        <v/>
      </c>
      <c r="D181" s="156" t="str">
        <f t="shared" si="38"/>
        <v/>
      </c>
      <c r="E181" s="162" t="str">
        <f t="shared" si="35"/>
        <v/>
      </c>
      <c r="F181" s="156" t="str">
        <f t="shared" si="36"/>
        <v/>
      </c>
      <c r="G181" s="171" t="str">
        <f t="shared" si="37"/>
        <v/>
      </c>
      <c r="O181" s="93"/>
      <c r="P181" s="93"/>
      <c r="Q181" s="93"/>
      <c r="R181" s="93"/>
      <c r="S181" s="93"/>
      <c r="W181" t="str">
        <f t="shared" si="41"/>
        <v/>
      </c>
      <c r="X181" s="18" t="str">
        <f t="shared" si="42"/>
        <v/>
      </c>
      <c r="Y181" s="1" t="str">
        <f t="shared" si="40"/>
        <v/>
      </c>
      <c r="Z181" t="str">
        <f t="shared" si="43"/>
        <v/>
      </c>
      <c r="AA181" s="1" t="str">
        <f t="shared" si="44"/>
        <v/>
      </c>
    </row>
    <row r="182" spans="1:27" customFormat="1" x14ac:dyDescent="0.25">
      <c r="A182" s="68" t="str">
        <f t="shared" si="33"/>
        <v/>
      </c>
      <c r="B182" s="68" t="str">
        <f t="shared" si="34"/>
        <v/>
      </c>
      <c r="C182" s="156" t="str">
        <f t="shared" si="39"/>
        <v/>
      </c>
      <c r="D182" s="156" t="str">
        <f t="shared" si="38"/>
        <v/>
      </c>
      <c r="E182" s="162" t="str">
        <f t="shared" si="35"/>
        <v/>
      </c>
      <c r="F182" s="156" t="str">
        <f t="shared" si="36"/>
        <v/>
      </c>
      <c r="G182" s="171" t="str">
        <f t="shared" si="37"/>
        <v/>
      </c>
      <c r="O182" s="93"/>
      <c r="P182" s="93"/>
      <c r="Q182" s="93"/>
      <c r="R182" s="93"/>
      <c r="S182" s="93"/>
      <c r="W182" t="str">
        <f t="shared" si="41"/>
        <v/>
      </c>
      <c r="X182" s="18" t="str">
        <f t="shared" si="42"/>
        <v/>
      </c>
      <c r="Y182" s="1" t="str">
        <f t="shared" si="40"/>
        <v/>
      </c>
      <c r="Z182" t="str">
        <f t="shared" si="43"/>
        <v/>
      </c>
      <c r="AA182" s="1" t="str">
        <f t="shared" si="44"/>
        <v/>
      </c>
    </row>
    <row r="183" spans="1:27" customFormat="1" x14ac:dyDescent="0.25">
      <c r="A183" s="68" t="str">
        <f t="shared" si="33"/>
        <v/>
      </c>
      <c r="B183" s="68" t="str">
        <f t="shared" si="34"/>
        <v/>
      </c>
      <c r="C183" s="156" t="str">
        <f t="shared" si="39"/>
        <v/>
      </c>
      <c r="D183" s="156" t="str">
        <f t="shared" si="38"/>
        <v/>
      </c>
      <c r="E183" s="162" t="str">
        <f t="shared" si="35"/>
        <v/>
      </c>
      <c r="F183" s="156" t="str">
        <f t="shared" si="36"/>
        <v/>
      </c>
      <c r="G183" s="171" t="str">
        <f t="shared" si="37"/>
        <v/>
      </c>
      <c r="O183" s="93"/>
      <c r="P183" s="93"/>
      <c r="Q183" s="93"/>
      <c r="R183" s="93"/>
      <c r="S183" s="93"/>
      <c r="W183" t="str">
        <f t="shared" si="41"/>
        <v/>
      </c>
      <c r="X183" s="18" t="str">
        <f t="shared" si="42"/>
        <v/>
      </c>
      <c r="Y183" s="1" t="str">
        <f t="shared" si="40"/>
        <v/>
      </c>
      <c r="Z183" t="str">
        <f t="shared" si="43"/>
        <v/>
      </c>
      <c r="AA183" s="1" t="str">
        <f t="shared" si="44"/>
        <v/>
      </c>
    </row>
    <row r="184" spans="1:27" customFormat="1" x14ac:dyDescent="0.25">
      <c r="A184" s="68" t="str">
        <f t="shared" si="33"/>
        <v/>
      </c>
      <c r="B184" s="68" t="str">
        <f t="shared" si="34"/>
        <v/>
      </c>
      <c r="C184" s="156" t="str">
        <f t="shared" si="39"/>
        <v/>
      </c>
      <c r="D184" s="156" t="str">
        <f t="shared" si="38"/>
        <v/>
      </c>
      <c r="E184" s="162" t="str">
        <f t="shared" si="35"/>
        <v/>
      </c>
      <c r="F184" s="156" t="str">
        <f t="shared" si="36"/>
        <v/>
      </c>
      <c r="G184" s="171" t="str">
        <f t="shared" si="37"/>
        <v/>
      </c>
      <c r="O184" s="93"/>
      <c r="P184" s="93"/>
      <c r="Q184" s="93"/>
      <c r="R184" s="93"/>
      <c r="S184" s="93"/>
      <c r="W184" t="str">
        <f t="shared" si="41"/>
        <v/>
      </c>
      <c r="X184" s="18" t="str">
        <f t="shared" si="42"/>
        <v/>
      </c>
      <c r="Y184" s="1" t="str">
        <f t="shared" si="40"/>
        <v/>
      </c>
      <c r="Z184" t="str">
        <f t="shared" si="43"/>
        <v/>
      </c>
      <c r="AA184" s="1" t="str">
        <f t="shared" si="44"/>
        <v/>
      </c>
    </row>
    <row r="185" spans="1:27" customFormat="1" x14ac:dyDescent="0.25">
      <c r="A185" s="68" t="str">
        <f t="shared" si="33"/>
        <v/>
      </c>
      <c r="B185" s="68" t="str">
        <f t="shared" si="34"/>
        <v/>
      </c>
      <c r="C185" s="156" t="str">
        <f t="shared" si="39"/>
        <v/>
      </c>
      <c r="D185" s="156" t="str">
        <f t="shared" si="38"/>
        <v/>
      </c>
      <c r="E185" s="162" t="str">
        <f t="shared" si="35"/>
        <v/>
      </c>
      <c r="F185" s="156" t="str">
        <f t="shared" si="36"/>
        <v/>
      </c>
      <c r="G185" s="171" t="str">
        <f t="shared" si="37"/>
        <v/>
      </c>
      <c r="O185" s="93"/>
      <c r="P185" s="93"/>
      <c r="Q185" s="93"/>
      <c r="R185" s="93"/>
      <c r="S185" s="93"/>
      <c r="W185" t="str">
        <f t="shared" si="41"/>
        <v/>
      </c>
      <c r="X185" s="18" t="str">
        <f t="shared" si="42"/>
        <v/>
      </c>
      <c r="Y185" s="1" t="str">
        <f t="shared" si="40"/>
        <v/>
      </c>
      <c r="Z185" t="str">
        <f t="shared" si="43"/>
        <v/>
      </c>
      <c r="AA185" s="1" t="str">
        <f t="shared" si="44"/>
        <v/>
      </c>
    </row>
    <row r="186" spans="1:27" customFormat="1" x14ac:dyDescent="0.25">
      <c r="A186" s="68" t="str">
        <f t="shared" si="33"/>
        <v/>
      </c>
      <c r="B186" s="68" t="str">
        <f t="shared" si="34"/>
        <v/>
      </c>
      <c r="C186" s="156" t="str">
        <f t="shared" si="39"/>
        <v/>
      </c>
      <c r="D186" s="156" t="str">
        <f t="shared" si="38"/>
        <v/>
      </c>
      <c r="E186" s="162" t="str">
        <f t="shared" si="35"/>
        <v/>
      </c>
      <c r="F186" s="156" t="str">
        <f t="shared" si="36"/>
        <v/>
      </c>
      <c r="G186" s="171" t="str">
        <f t="shared" si="37"/>
        <v/>
      </c>
      <c r="O186" s="93"/>
      <c r="P186" s="93"/>
      <c r="Q186" s="93"/>
      <c r="R186" s="93"/>
      <c r="S186" s="93"/>
      <c r="W186" t="str">
        <f t="shared" si="41"/>
        <v/>
      </c>
      <c r="X186" s="18" t="str">
        <f t="shared" si="42"/>
        <v/>
      </c>
      <c r="Y186" s="1" t="str">
        <f t="shared" si="40"/>
        <v/>
      </c>
      <c r="Z186" t="str">
        <f t="shared" si="43"/>
        <v/>
      </c>
      <c r="AA186" s="1" t="str">
        <f t="shared" si="44"/>
        <v/>
      </c>
    </row>
    <row r="187" spans="1:27" customFormat="1" x14ac:dyDescent="0.25">
      <c r="A187" s="68" t="str">
        <f t="shared" si="33"/>
        <v/>
      </c>
      <c r="B187" s="68" t="str">
        <f t="shared" si="34"/>
        <v/>
      </c>
      <c r="C187" s="156" t="str">
        <f t="shared" si="39"/>
        <v/>
      </c>
      <c r="D187" s="156" t="str">
        <f t="shared" si="38"/>
        <v/>
      </c>
      <c r="E187" s="162" t="str">
        <f t="shared" si="35"/>
        <v/>
      </c>
      <c r="F187" s="156" t="str">
        <f t="shared" si="36"/>
        <v/>
      </c>
      <c r="G187" s="171" t="str">
        <f t="shared" si="37"/>
        <v/>
      </c>
      <c r="O187" s="93"/>
      <c r="P187" s="93"/>
      <c r="Q187" s="93"/>
      <c r="R187" s="93"/>
      <c r="S187" s="93"/>
      <c r="W187" t="str">
        <f t="shared" si="41"/>
        <v/>
      </c>
      <c r="X187" s="18" t="str">
        <f t="shared" si="42"/>
        <v/>
      </c>
      <c r="Y187" s="1" t="str">
        <f t="shared" si="40"/>
        <v/>
      </c>
      <c r="Z187" t="str">
        <f t="shared" si="43"/>
        <v/>
      </c>
      <c r="AA187" s="1" t="str">
        <f t="shared" si="44"/>
        <v/>
      </c>
    </row>
    <row r="188" spans="1:27" customFormat="1" x14ac:dyDescent="0.25">
      <c r="A188" s="68" t="str">
        <f t="shared" si="33"/>
        <v/>
      </c>
      <c r="B188" s="68" t="str">
        <f t="shared" si="34"/>
        <v/>
      </c>
      <c r="C188" s="156" t="str">
        <f t="shared" si="39"/>
        <v/>
      </c>
      <c r="D188" s="156" t="str">
        <f t="shared" si="38"/>
        <v/>
      </c>
      <c r="E188" s="162" t="str">
        <f t="shared" si="35"/>
        <v/>
      </c>
      <c r="F188" s="156" t="str">
        <f t="shared" si="36"/>
        <v/>
      </c>
      <c r="G188" s="171" t="str">
        <f t="shared" si="37"/>
        <v/>
      </c>
      <c r="O188" s="93"/>
      <c r="P188" s="93"/>
      <c r="Q188" s="93"/>
      <c r="R188" s="93"/>
      <c r="S188" s="93"/>
      <c r="W188" t="str">
        <f t="shared" si="41"/>
        <v/>
      </c>
      <c r="X188" s="18" t="str">
        <f t="shared" si="42"/>
        <v/>
      </c>
      <c r="Y188" s="1" t="str">
        <f t="shared" si="40"/>
        <v/>
      </c>
      <c r="Z188" t="str">
        <f t="shared" si="43"/>
        <v/>
      </c>
      <c r="AA188" s="1" t="str">
        <f t="shared" si="44"/>
        <v/>
      </c>
    </row>
    <row r="189" spans="1:27" customFormat="1" x14ac:dyDescent="0.25">
      <c r="A189" s="68" t="str">
        <f t="shared" si="33"/>
        <v/>
      </c>
      <c r="B189" s="68" t="str">
        <f t="shared" si="34"/>
        <v/>
      </c>
      <c r="C189" s="156" t="str">
        <f t="shared" si="39"/>
        <v/>
      </c>
      <c r="D189" s="156" t="str">
        <f t="shared" si="38"/>
        <v/>
      </c>
      <c r="E189" s="162" t="str">
        <f t="shared" si="35"/>
        <v/>
      </c>
      <c r="F189" s="156" t="str">
        <f t="shared" si="36"/>
        <v/>
      </c>
      <c r="G189" s="171" t="str">
        <f t="shared" si="37"/>
        <v/>
      </c>
      <c r="O189" s="93"/>
      <c r="P189" s="93"/>
      <c r="Q189" s="93"/>
      <c r="R189" s="93"/>
      <c r="S189" s="93"/>
      <c r="W189" t="str">
        <f t="shared" si="41"/>
        <v/>
      </c>
      <c r="X189" s="18" t="str">
        <f t="shared" si="42"/>
        <v/>
      </c>
      <c r="Y189" s="1" t="str">
        <f t="shared" si="40"/>
        <v/>
      </c>
      <c r="Z189" t="str">
        <f t="shared" si="43"/>
        <v/>
      </c>
      <c r="AA189" s="1" t="str">
        <f t="shared" si="44"/>
        <v/>
      </c>
    </row>
    <row r="190" spans="1:27" customFormat="1" x14ac:dyDescent="0.25">
      <c r="A190" s="68" t="str">
        <f t="shared" si="33"/>
        <v/>
      </c>
      <c r="B190" s="68" t="str">
        <f t="shared" si="34"/>
        <v/>
      </c>
      <c r="C190" s="156" t="str">
        <f t="shared" si="39"/>
        <v/>
      </c>
      <c r="D190" s="156" t="str">
        <f t="shared" si="38"/>
        <v/>
      </c>
      <c r="E190" s="162" t="str">
        <f t="shared" si="35"/>
        <v/>
      </c>
      <c r="F190" s="156" t="str">
        <f t="shared" si="36"/>
        <v/>
      </c>
      <c r="G190" s="171" t="str">
        <f t="shared" si="37"/>
        <v/>
      </c>
      <c r="O190" s="93"/>
      <c r="P190" s="93"/>
      <c r="Q190" s="93"/>
      <c r="R190" s="93"/>
      <c r="S190" s="93"/>
      <c r="W190" t="str">
        <f t="shared" si="41"/>
        <v/>
      </c>
      <c r="X190" s="18" t="str">
        <f t="shared" si="42"/>
        <v/>
      </c>
      <c r="Y190" s="1" t="str">
        <f t="shared" si="40"/>
        <v/>
      </c>
      <c r="Z190" t="str">
        <f t="shared" si="43"/>
        <v/>
      </c>
      <c r="AA190" s="1" t="str">
        <f t="shared" si="44"/>
        <v/>
      </c>
    </row>
    <row r="191" spans="1:27" customFormat="1" x14ac:dyDescent="0.25">
      <c r="A191" s="68" t="str">
        <f t="shared" si="33"/>
        <v/>
      </c>
      <c r="B191" s="68" t="str">
        <f t="shared" si="34"/>
        <v/>
      </c>
      <c r="C191" s="156" t="str">
        <f t="shared" si="39"/>
        <v/>
      </c>
      <c r="D191" s="156" t="str">
        <f t="shared" si="38"/>
        <v/>
      </c>
      <c r="E191" s="162" t="str">
        <f t="shared" si="35"/>
        <v/>
      </c>
      <c r="F191" s="156" t="str">
        <f t="shared" si="36"/>
        <v/>
      </c>
      <c r="G191" s="171" t="str">
        <f t="shared" si="37"/>
        <v/>
      </c>
      <c r="O191" s="93"/>
      <c r="P191" s="93"/>
      <c r="Q191" s="93"/>
      <c r="R191" s="93"/>
      <c r="S191" s="93"/>
      <c r="W191" t="str">
        <f t="shared" si="41"/>
        <v/>
      </c>
      <c r="X191" s="18" t="str">
        <f t="shared" si="42"/>
        <v/>
      </c>
      <c r="Y191" s="1" t="str">
        <f t="shared" si="40"/>
        <v/>
      </c>
      <c r="Z191" t="str">
        <f t="shared" si="43"/>
        <v/>
      </c>
      <c r="AA191" s="1" t="str">
        <f t="shared" si="44"/>
        <v/>
      </c>
    </row>
    <row r="192" spans="1:27" customFormat="1" x14ac:dyDescent="0.25">
      <c r="A192" s="68" t="str">
        <f t="shared" si="33"/>
        <v/>
      </c>
      <c r="B192" s="68" t="str">
        <f t="shared" si="34"/>
        <v/>
      </c>
      <c r="C192" s="156" t="str">
        <f t="shared" si="39"/>
        <v/>
      </c>
      <c r="D192" s="156" t="str">
        <f t="shared" si="38"/>
        <v/>
      </c>
      <c r="E192" s="162" t="str">
        <f t="shared" si="35"/>
        <v/>
      </c>
      <c r="F192" s="156" t="str">
        <f t="shared" si="36"/>
        <v/>
      </c>
      <c r="G192" s="171" t="str">
        <f t="shared" si="37"/>
        <v/>
      </c>
      <c r="O192" s="93"/>
      <c r="P192" s="93"/>
      <c r="Q192" s="93"/>
      <c r="R192" s="93"/>
      <c r="S192" s="93"/>
      <c r="W192" t="str">
        <f t="shared" si="41"/>
        <v/>
      </c>
      <c r="X192" s="18" t="str">
        <f t="shared" si="42"/>
        <v/>
      </c>
      <c r="Y192" s="1" t="str">
        <f t="shared" si="40"/>
        <v/>
      </c>
      <c r="Z192" t="str">
        <f t="shared" si="43"/>
        <v/>
      </c>
      <c r="AA192" s="1" t="str">
        <f t="shared" si="44"/>
        <v/>
      </c>
    </row>
    <row r="193" spans="1:27" customFormat="1" x14ac:dyDescent="0.25">
      <c r="A193" s="68" t="str">
        <f t="shared" si="33"/>
        <v/>
      </c>
      <c r="B193" s="68" t="str">
        <f t="shared" si="34"/>
        <v/>
      </c>
      <c r="C193" s="156" t="str">
        <f t="shared" si="39"/>
        <v/>
      </c>
      <c r="D193" s="156" t="str">
        <f t="shared" si="38"/>
        <v/>
      </c>
      <c r="E193" s="162" t="str">
        <f t="shared" si="35"/>
        <v/>
      </c>
      <c r="F193" s="156" t="str">
        <f t="shared" si="36"/>
        <v/>
      </c>
      <c r="G193" s="171" t="str">
        <f t="shared" si="37"/>
        <v/>
      </c>
      <c r="O193" s="93"/>
      <c r="P193" s="93"/>
      <c r="Q193" s="93"/>
      <c r="R193" s="93"/>
      <c r="S193" s="93"/>
      <c r="W193" t="str">
        <f t="shared" si="41"/>
        <v/>
      </c>
      <c r="X193" s="18" t="str">
        <f t="shared" si="42"/>
        <v/>
      </c>
      <c r="Y193" s="1" t="str">
        <f t="shared" si="40"/>
        <v/>
      </c>
      <c r="Z193" t="str">
        <f t="shared" si="43"/>
        <v/>
      </c>
      <c r="AA193" s="1" t="str">
        <f t="shared" si="44"/>
        <v/>
      </c>
    </row>
    <row r="194" spans="1:27" customFormat="1" x14ac:dyDescent="0.25">
      <c r="A194" s="68" t="str">
        <f t="shared" si="33"/>
        <v/>
      </c>
      <c r="B194" s="68" t="str">
        <f t="shared" si="34"/>
        <v/>
      </c>
      <c r="C194" s="156" t="str">
        <f t="shared" si="39"/>
        <v/>
      </c>
      <c r="D194" s="156" t="str">
        <f t="shared" si="38"/>
        <v/>
      </c>
      <c r="E194" s="162" t="str">
        <f t="shared" si="35"/>
        <v/>
      </c>
      <c r="F194" s="156" t="str">
        <f t="shared" si="36"/>
        <v/>
      </c>
      <c r="G194" s="171" t="str">
        <f t="shared" si="37"/>
        <v/>
      </c>
      <c r="O194" s="93"/>
      <c r="P194" s="93"/>
      <c r="Q194" s="93"/>
      <c r="R194" s="93"/>
      <c r="S194" s="93"/>
      <c r="W194" t="str">
        <f t="shared" si="41"/>
        <v/>
      </c>
      <c r="X194" s="18" t="str">
        <f t="shared" si="42"/>
        <v/>
      </c>
      <c r="Y194" s="1" t="str">
        <f t="shared" si="40"/>
        <v/>
      </c>
      <c r="Z194" t="str">
        <f t="shared" si="43"/>
        <v/>
      </c>
      <c r="AA194" s="1" t="str">
        <f t="shared" si="44"/>
        <v/>
      </c>
    </row>
    <row r="195" spans="1:27" customFormat="1" x14ac:dyDescent="0.25">
      <c r="A195" s="68" t="str">
        <f t="shared" si="33"/>
        <v/>
      </c>
      <c r="B195" s="68" t="str">
        <f t="shared" si="34"/>
        <v/>
      </c>
      <c r="C195" s="156" t="str">
        <f t="shared" si="39"/>
        <v/>
      </c>
      <c r="D195" s="156" t="str">
        <f t="shared" si="38"/>
        <v/>
      </c>
      <c r="E195" s="162" t="str">
        <f t="shared" si="35"/>
        <v/>
      </c>
      <c r="F195" s="156" t="str">
        <f t="shared" si="36"/>
        <v/>
      </c>
      <c r="G195" s="171" t="str">
        <f t="shared" si="37"/>
        <v/>
      </c>
      <c r="O195" s="93"/>
      <c r="P195" s="93"/>
      <c r="Q195" s="93"/>
      <c r="R195" s="93"/>
      <c r="S195" s="93"/>
      <c r="W195" t="str">
        <f t="shared" si="41"/>
        <v/>
      </c>
      <c r="X195" s="18" t="str">
        <f t="shared" si="42"/>
        <v/>
      </c>
      <c r="Y195" s="1" t="str">
        <f t="shared" si="40"/>
        <v/>
      </c>
      <c r="Z195" t="str">
        <f t="shared" si="43"/>
        <v/>
      </c>
      <c r="AA195" s="1" t="str">
        <f t="shared" si="44"/>
        <v/>
      </c>
    </row>
    <row r="196" spans="1:27" customFormat="1" x14ac:dyDescent="0.25">
      <c r="A196" s="68" t="str">
        <f t="shared" si="33"/>
        <v/>
      </c>
      <c r="B196" s="68" t="str">
        <f t="shared" si="34"/>
        <v/>
      </c>
      <c r="C196" s="156" t="str">
        <f t="shared" si="39"/>
        <v/>
      </c>
      <c r="D196" s="156" t="str">
        <f t="shared" si="38"/>
        <v/>
      </c>
      <c r="E196" s="162" t="str">
        <f t="shared" si="35"/>
        <v/>
      </c>
      <c r="F196" s="156" t="str">
        <f t="shared" si="36"/>
        <v/>
      </c>
      <c r="G196" s="171" t="str">
        <f t="shared" si="37"/>
        <v/>
      </c>
      <c r="O196" s="93"/>
      <c r="P196" s="93"/>
      <c r="Q196" s="93"/>
      <c r="R196" s="93"/>
      <c r="S196" s="93"/>
      <c r="W196" t="str">
        <f t="shared" si="41"/>
        <v/>
      </c>
      <c r="X196" s="18" t="str">
        <f t="shared" si="42"/>
        <v/>
      </c>
      <c r="Y196" s="1" t="str">
        <f t="shared" si="40"/>
        <v/>
      </c>
      <c r="Z196" t="str">
        <f t="shared" si="43"/>
        <v/>
      </c>
      <c r="AA196" s="1" t="str">
        <f t="shared" si="44"/>
        <v/>
      </c>
    </row>
    <row r="197" spans="1:27" customFormat="1" x14ac:dyDescent="0.25">
      <c r="A197" s="68" t="str">
        <f t="shared" si="33"/>
        <v/>
      </c>
      <c r="B197" s="68" t="str">
        <f t="shared" si="34"/>
        <v/>
      </c>
      <c r="C197" s="156" t="str">
        <f t="shared" si="39"/>
        <v/>
      </c>
      <c r="D197" s="156" t="str">
        <f t="shared" si="38"/>
        <v/>
      </c>
      <c r="E197" s="162" t="str">
        <f t="shared" si="35"/>
        <v/>
      </c>
      <c r="F197" s="156" t="str">
        <f t="shared" si="36"/>
        <v/>
      </c>
      <c r="G197" s="171" t="str">
        <f t="shared" si="37"/>
        <v/>
      </c>
      <c r="O197" s="93"/>
      <c r="P197" s="93"/>
      <c r="Q197" s="93"/>
      <c r="R197" s="93"/>
      <c r="S197" s="93"/>
      <c r="W197" t="str">
        <f t="shared" si="41"/>
        <v/>
      </c>
      <c r="X197" s="18" t="str">
        <f t="shared" si="42"/>
        <v/>
      </c>
      <c r="Y197" s="1" t="str">
        <f t="shared" si="40"/>
        <v/>
      </c>
      <c r="Z197" t="str">
        <f t="shared" si="43"/>
        <v/>
      </c>
      <c r="AA197" s="1" t="str">
        <f t="shared" si="44"/>
        <v/>
      </c>
    </row>
    <row r="198" spans="1:27" customFormat="1" x14ac:dyDescent="0.25">
      <c r="A198" s="68" t="str">
        <f t="shared" si="33"/>
        <v/>
      </c>
      <c r="B198" s="68" t="str">
        <f t="shared" si="34"/>
        <v/>
      </c>
      <c r="C198" s="156" t="str">
        <f t="shared" si="39"/>
        <v/>
      </c>
      <c r="D198" s="156" t="str">
        <f t="shared" si="38"/>
        <v/>
      </c>
      <c r="E198" s="162" t="str">
        <f t="shared" si="35"/>
        <v/>
      </c>
      <c r="F198" s="156" t="str">
        <f t="shared" si="36"/>
        <v/>
      </c>
      <c r="G198" s="171" t="str">
        <f t="shared" si="37"/>
        <v/>
      </c>
      <c r="O198" s="93"/>
      <c r="P198" s="93"/>
      <c r="Q198" s="93"/>
      <c r="R198" s="93"/>
      <c r="S198" s="93"/>
      <c r="W198" t="str">
        <f t="shared" si="41"/>
        <v/>
      </c>
      <c r="X198" s="18" t="str">
        <f t="shared" si="42"/>
        <v/>
      </c>
      <c r="Y198" s="1" t="str">
        <f t="shared" si="40"/>
        <v/>
      </c>
      <c r="Z198" t="str">
        <f t="shared" si="43"/>
        <v/>
      </c>
      <c r="AA198" s="1" t="str">
        <f t="shared" si="44"/>
        <v/>
      </c>
    </row>
    <row r="199" spans="1:27" customFormat="1" x14ac:dyDescent="0.25">
      <c r="A199" s="68" t="str">
        <f t="shared" si="33"/>
        <v/>
      </c>
      <c r="B199" s="68" t="str">
        <f t="shared" si="34"/>
        <v/>
      </c>
      <c r="C199" s="156" t="str">
        <f t="shared" si="39"/>
        <v/>
      </c>
      <c r="D199" s="156" t="str">
        <f t="shared" si="38"/>
        <v/>
      </c>
      <c r="E199" s="162" t="str">
        <f t="shared" si="35"/>
        <v/>
      </c>
      <c r="F199" s="156" t="str">
        <f t="shared" si="36"/>
        <v/>
      </c>
      <c r="G199" s="171" t="str">
        <f t="shared" si="37"/>
        <v/>
      </c>
      <c r="O199" s="93"/>
      <c r="P199" s="93"/>
      <c r="Q199" s="93"/>
      <c r="R199" s="93"/>
      <c r="S199" s="93"/>
      <c r="W199" t="str">
        <f t="shared" si="41"/>
        <v/>
      </c>
      <c r="X199" s="18" t="str">
        <f t="shared" si="42"/>
        <v/>
      </c>
      <c r="Y199" s="1" t="str">
        <f t="shared" si="40"/>
        <v/>
      </c>
      <c r="Z199" t="str">
        <f t="shared" si="43"/>
        <v/>
      </c>
      <c r="AA199" s="1" t="str">
        <f t="shared" si="44"/>
        <v/>
      </c>
    </row>
    <row r="200" spans="1:27" customFormat="1" x14ac:dyDescent="0.25">
      <c r="A200" s="68" t="str">
        <f t="shared" si="33"/>
        <v/>
      </c>
      <c r="B200" s="68" t="str">
        <f t="shared" si="34"/>
        <v/>
      </c>
      <c r="C200" s="156" t="str">
        <f t="shared" si="39"/>
        <v/>
      </c>
      <c r="D200" s="156" t="str">
        <f t="shared" si="38"/>
        <v/>
      </c>
      <c r="E200" s="162" t="str">
        <f t="shared" si="35"/>
        <v/>
      </c>
      <c r="F200" s="156" t="str">
        <f t="shared" si="36"/>
        <v/>
      </c>
      <c r="G200" s="171" t="str">
        <f t="shared" si="37"/>
        <v/>
      </c>
      <c r="O200" s="93"/>
      <c r="P200" s="93"/>
      <c r="Q200" s="93"/>
      <c r="R200" s="93"/>
      <c r="S200" s="93"/>
      <c r="W200" t="str">
        <f t="shared" si="41"/>
        <v/>
      </c>
      <c r="X200" s="18" t="str">
        <f t="shared" si="42"/>
        <v/>
      </c>
      <c r="Y200" s="1" t="str">
        <f t="shared" si="40"/>
        <v/>
      </c>
      <c r="Z200" t="str">
        <f t="shared" si="43"/>
        <v/>
      </c>
      <c r="AA200" s="1" t="str">
        <f t="shared" si="44"/>
        <v/>
      </c>
    </row>
    <row r="201" spans="1:27" customFormat="1" x14ac:dyDescent="0.25">
      <c r="A201" s="68" t="str">
        <f t="shared" si="33"/>
        <v/>
      </c>
      <c r="B201" s="68" t="str">
        <f t="shared" si="34"/>
        <v/>
      </c>
      <c r="C201" s="156" t="str">
        <f t="shared" si="39"/>
        <v/>
      </c>
      <c r="D201" s="156" t="str">
        <f t="shared" si="38"/>
        <v/>
      </c>
      <c r="E201" s="162" t="str">
        <f t="shared" si="35"/>
        <v/>
      </c>
      <c r="F201" s="156" t="str">
        <f t="shared" si="36"/>
        <v/>
      </c>
      <c r="G201" s="171" t="str">
        <f t="shared" si="37"/>
        <v/>
      </c>
      <c r="O201" s="93"/>
      <c r="P201" s="93"/>
      <c r="Q201" s="93"/>
      <c r="R201" s="93"/>
      <c r="S201" s="93"/>
      <c r="W201" t="str">
        <f t="shared" si="41"/>
        <v/>
      </c>
      <c r="X201" s="18" t="str">
        <f t="shared" si="42"/>
        <v/>
      </c>
      <c r="Y201" s="1" t="str">
        <f t="shared" si="40"/>
        <v/>
      </c>
      <c r="Z201" t="str">
        <f t="shared" si="43"/>
        <v/>
      </c>
      <c r="AA201" s="1" t="str">
        <f t="shared" si="44"/>
        <v/>
      </c>
    </row>
    <row r="202" spans="1:27" customFormat="1" x14ac:dyDescent="0.25">
      <c r="A202" s="68" t="str">
        <f t="shared" si="33"/>
        <v/>
      </c>
      <c r="B202" s="68" t="str">
        <f t="shared" si="34"/>
        <v/>
      </c>
      <c r="C202" s="156" t="str">
        <f t="shared" si="39"/>
        <v/>
      </c>
      <c r="D202" s="156" t="str">
        <f t="shared" si="38"/>
        <v/>
      </c>
      <c r="E202" s="162" t="str">
        <f t="shared" si="35"/>
        <v/>
      </c>
      <c r="F202" s="156" t="str">
        <f t="shared" si="36"/>
        <v/>
      </c>
      <c r="G202" s="171" t="str">
        <f t="shared" si="37"/>
        <v/>
      </c>
      <c r="O202" s="93"/>
      <c r="P202" s="93"/>
      <c r="Q202" s="93"/>
      <c r="R202" s="93"/>
      <c r="S202" s="93"/>
      <c r="W202" t="str">
        <f t="shared" si="41"/>
        <v/>
      </c>
      <c r="X202" s="18" t="str">
        <f t="shared" si="42"/>
        <v/>
      </c>
      <c r="Y202" s="1" t="str">
        <f t="shared" si="40"/>
        <v/>
      </c>
      <c r="Z202" t="str">
        <f t="shared" si="43"/>
        <v/>
      </c>
      <c r="AA202" s="1" t="str">
        <f t="shared" si="44"/>
        <v/>
      </c>
    </row>
    <row r="203" spans="1:27" customFormat="1" x14ac:dyDescent="0.25">
      <c r="A203" s="68" t="str">
        <f t="shared" si="33"/>
        <v/>
      </c>
      <c r="B203" s="68" t="str">
        <f t="shared" si="34"/>
        <v/>
      </c>
      <c r="C203" s="156" t="str">
        <f t="shared" si="39"/>
        <v/>
      </c>
      <c r="D203" s="156" t="str">
        <f t="shared" si="38"/>
        <v/>
      </c>
      <c r="E203" s="162" t="str">
        <f t="shared" si="35"/>
        <v/>
      </c>
      <c r="F203" s="156" t="str">
        <f t="shared" si="36"/>
        <v/>
      </c>
      <c r="G203" s="171" t="str">
        <f t="shared" si="37"/>
        <v/>
      </c>
      <c r="O203" s="93"/>
      <c r="P203" s="93"/>
      <c r="Q203" s="93"/>
      <c r="R203" s="93"/>
      <c r="S203" s="93"/>
      <c r="W203" t="str">
        <f t="shared" si="41"/>
        <v/>
      </c>
      <c r="X203" s="18" t="str">
        <f t="shared" si="42"/>
        <v/>
      </c>
      <c r="Y203" s="1" t="str">
        <f t="shared" si="40"/>
        <v/>
      </c>
      <c r="Z203" t="str">
        <f t="shared" si="43"/>
        <v/>
      </c>
      <c r="AA203" s="1" t="str">
        <f t="shared" si="44"/>
        <v/>
      </c>
    </row>
    <row r="204" spans="1:27" customFormat="1" x14ac:dyDescent="0.25">
      <c r="A204" s="68" t="str">
        <f t="shared" si="33"/>
        <v/>
      </c>
      <c r="B204" s="68" t="str">
        <f t="shared" si="34"/>
        <v/>
      </c>
      <c r="C204" s="156" t="str">
        <f t="shared" si="39"/>
        <v/>
      </c>
      <c r="D204" s="156" t="str">
        <f t="shared" si="38"/>
        <v/>
      </c>
      <c r="E204" s="162" t="str">
        <f t="shared" si="35"/>
        <v/>
      </c>
      <c r="F204" s="156" t="str">
        <f t="shared" si="36"/>
        <v/>
      </c>
      <c r="G204" s="171" t="str">
        <f t="shared" si="37"/>
        <v/>
      </c>
      <c r="O204" s="93"/>
      <c r="P204" s="93"/>
      <c r="Q204" s="93"/>
      <c r="R204" s="93"/>
      <c r="S204" s="93"/>
      <c r="W204" t="str">
        <f t="shared" si="41"/>
        <v/>
      </c>
      <c r="X204" s="18" t="str">
        <f t="shared" si="42"/>
        <v/>
      </c>
      <c r="Y204" s="1" t="str">
        <f t="shared" si="40"/>
        <v/>
      </c>
      <c r="Z204" t="str">
        <f t="shared" si="43"/>
        <v/>
      </c>
      <c r="AA204" s="1" t="str">
        <f t="shared" si="44"/>
        <v/>
      </c>
    </row>
    <row r="205" spans="1:27" customFormat="1" x14ac:dyDescent="0.25">
      <c r="A205" s="68" t="str">
        <f t="shared" si="33"/>
        <v/>
      </c>
      <c r="B205" s="68" t="str">
        <f t="shared" si="34"/>
        <v/>
      </c>
      <c r="C205" s="156" t="str">
        <f t="shared" si="39"/>
        <v/>
      </c>
      <c r="D205" s="156" t="str">
        <f t="shared" si="38"/>
        <v/>
      </c>
      <c r="E205" s="162" t="str">
        <f t="shared" si="35"/>
        <v/>
      </c>
      <c r="F205" s="156" t="str">
        <f t="shared" si="36"/>
        <v/>
      </c>
      <c r="G205" s="171" t="str">
        <f t="shared" si="37"/>
        <v/>
      </c>
      <c r="O205" s="93"/>
      <c r="P205" s="93"/>
      <c r="Q205" s="93"/>
      <c r="R205" s="93"/>
      <c r="S205" s="93"/>
      <c r="W205" t="str">
        <f t="shared" si="41"/>
        <v/>
      </c>
      <c r="X205" s="18" t="str">
        <f t="shared" si="42"/>
        <v/>
      </c>
      <c r="Y205" s="1" t="str">
        <f t="shared" si="40"/>
        <v/>
      </c>
      <c r="Z205" t="str">
        <f t="shared" si="43"/>
        <v/>
      </c>
      <c r="AA205" s="1" t="str">
        <f t="shared" si="44"/>
        <v/>
      </c>
    </row>
    <row r="206" spans="1:27" customFormat="1" x14ac:dyDescent="0.25">
      <c r="A206" s="68" t="str">
        <f t="shared" si="33"/>
        <v/>
      </c>
      <c r="B206" s="68" t="str">
        <f t="shared" si="34"/>
        <v/>
      </c>
      <c r="C206" s="156" t="str">
        <f t="shared" si="39"/>
        <v/>
      </c>
      <c r="D206" s="156" t="str">
        <f t="shared" si="38"/>
        <v/>
      </c>
      <c r="E206" s="162" t="str">
        <f t="shared" si="35"/>
        <v/>
      </c>
      <c r="F206" s="156" t="str">
        <f t="shared" si="36"/>
        <v/>
      </c>
      <c r="G206" s="171" t="str">
        <f t="shared" si="37"/>
        <v/>
      </c>
      <c r="O206" s="93"/>
      <c r="P206" s="93"/>
      <c r="Q206" s="93"/>
      <c r="R206" s="93"/>
      <c r="S206" s="93"/>
      <c r="W206" t="str">
        <f t="shared" si="41"/>
        <v/>
      </c>
      <c r="X206" s="18" t="str">
        <f t="shared" si="42"/>
        <v/>
      </c>
      <c r="Y206" s="1" t="str">
        <f t="shared" si="40"/>
        <v/>
      </c>
      <c r="Z206" t="str">
        <f t="shared" si="43"/>
        <v/>
      </c>
      <c r="AA206" s="1" t="str">
        <f t="shared" si="44"/>
        <v/>
      </c>
    </row>
    <row r="207" spans="1:27" customFormat="1" x14ac:dyDescent="0.25">
      <c r="A207" s="68" t="str">
        <f t="shared" si="33"/>
        <v/>
      </c>
      <c r="B207" s="68" t="str">
        <f t="shared" si="34"/>
        <v/>
      </c>
      <c r="C207" s="156" t="str">
        <f t="shared" si="39"/>
        <v/>
      </c>
      <c r="D207" s="156" t="str">
        <f t="shared" si="38"/>
        <v/>
      </c>
      <c r="E207" s="162" t="str">
        <f t="shared" si="35"/>
        <v/>
      </c>
      <c r="F207" s="156" t="str">
        <f t="shared" si="36"/>
        <v/>
      </c>
      <c r="G207" s="171" t="str">
        <f t="shared" si="37"/>
        <v/>
      </c>
      <c r="O207" s="93"/>
      <c r="P207" s="93"/>
      <c r="Q207" s="93"/>
      <c r="R207" s="93"/>
      <c r="S207" s="93"/>
      <c r="W207" t="str">
        <f t="shared" si="41"/>
        <v/>
      </c>
      <c r="X207" s="18" t="str">
        <f t="shared" si="42"/>
        <v/>
      </c>
      <c r="Y207" s="1" t="str">
        <f t="shared" si="40"/>
        <v/>
      </c>
      <c r="Z207" t="str">
        <f t="shared" si="43"/>
        <v/>
      </c>
      <c r="AA207" s="1" t="str">
        <f t="shared" si="44"/>
        <v/>
      </c>
    </row>
    <row r="208" spans="1:27" customFormat="1" x14ac:dyDescent="0.25">
      <c r="A208" s="68" t="str">
        <f t="shared" si="33"/>
        <v/>
      </c>
      <c r="B208" s="68" t="str">
        <f t="shared" si="34"/>
        <v/>
      </c>
      <c r="C208" s="156" t="str">
        <f t="shared" si="39"/>
        <v/>
      </c>
      <c r="D208" s="156" t="str">
        <f t="shared" si="38"/>
        <v/>
      </c>
      <c r="E208" s="162" t="str">
        <f t="shared" si="35"/>
        <v/>
      </c>
      <c r="F208" s="156" t="str">
        <f t="shared" si="36"/>
        <v/>
      </c>
      <c r="G208" s="171" t="str">
        <f t="shared" si="37"/>
        <v/>
      </c>
      <c r="O208" s="93"/>
      <c r="P208" s="93"/>
      <c r="Q208" s="93"/>
      <c r="R208" s="93"/>
      <c r="S208" s="93"/>
      <c r="W208" t="str">
        <f t="shared" si="41"/>
        <v/>
      </c>
      <c r="X208" s="18" t="str">
        <f t="shared" si="42"/>
        <v/>
      </c>
      <c r="Y208" s="1" t="str">
        <f t="shared" si="40"/>
        <v/>
      </c>
      <c r="Z208" t="str">
        <f t="shared" si="43"/>
        <v/>
      </c>
      <c r="AA208" s="1" t="str">
        <f t="shared" si="44"/>
        <v/>
      </c>
    </row>
    <row r="209" spans="1:27" customFormat="1" x14ac:dyDescent="0.25">
      <c r="A209" s="68" t="str">
        <f t="shared" si="33"/>
        <v/>
      </c>
      <c r="B209" s="68" t="str">
        <f t="shared" si="34"/>
        <v/>
      </c>
      <c r="C209" s="156" t="str">
        <f t="shared" si="39"/>
        <v/>
      </c>
      <c r="D209" s="156" t="str">
        <f t="shared" si="38"/>
        <v/>
      </c>
      <c r="E209" s="162" t="str">
        <f t="shared" si="35"/>
        <v/>
      </c>
      <c r="F209" s="156" t="str">
        <f t="shared" si="36"/>
        <v/>
      </c>
      <c r="G209" s="171" t="str">
        <f t="shared" si="37"/>
        <v/>
      </c>
      <c r="O209" s="93"/>
      <c r="P209" s="93"/>
      <c r="Q209" s="93"/>
      <c r="R209" s="93"/>
      <c r="S209" s="93"/>
      <c r="W209" t="str">
        <f t="shared" si="41"/>
        <v/>
      </c>
      <c r="X209" s="18" t="str">
        <f t="shared" si="42"/>
        <v/>
      </c>
      <c r="Y209" s="1" t="str">
        <f t="shared" si="40"/>
        <v/>
      </c>
      <c r="Z209" t="str">
        <f t="shared" si="43"/>
        <v/>
      </c>
      <c r="AA209" s="1" t="str">
        <f t="shared" si="44"/>
        <v/>
      </c>
    </row>
    <row r="210" spans="1:27" customFormat="1" x14ac:dyDescent="0.25">
      <c r="A210" s="68" t="str">
        <f t="shared" si="33"/>
        <v/>
      </c>
      <c r="B210" s="68" t="str">
        <f t="shared" si="34"/>
        <v/>
      </c>
      <c r="C210" s="156" t="str">
        <f t="shared" si="39"/>
        <v/>
      </c>
      <c r="D210" s="156" t="str">
        <f t="shared" si="38"/>
        <v/>
      </c>
      <c r="E210" s="162" t="str">
        <f t="shared" si="35"/>
        <v/>
      </c>
      <c r="F210" s="156" t="str">
        <f t="shared" si="36"/>
        <v/>
      </c>
      <c r="G210" s="171" t="str">
        <f t="shared" si="37"/>
        <v/>
      </c>
      <c r="O210" s="93"/>
      <c r="P210" s="93"/>
      <c r="Q210" s="93"/>
      <c r="R210" s="93"/>
      <c r="S210" s="93"/>
      <c r="W210" t="str">
        <f t="shared" si="41"/>
        <v/>
      </c>
      <c r="X210" s="18" t="str">
        <f t="shared" si="42"/>
        <v/>
      </c>
      <c r="Y210" s="1" t="str">
        <f t="shared" si="40"/>
        <v/>
      </c>
      <c r="Z210" t="str">
        <f t="shared" si="43"/>
        <v/>
      </c>
      <c r="AA210" s="1" t="str">
        <f t="shared" si="44"/>
        <v/>
      </c>
    </row>
    <row r="211" spans="1:27" customFormat="1" x14ac:dyDescent="0.25">
      <c r="A211" s="68" t="str">
        <f t="shared" si="33"/>
        <v/>
      </c>
      <c r="B211" s="68" t="str">
        <f t="shared" si="34"/>
        <v/>
      </c>
      <c r="C211" s="156" t="str">
        <f t="shared" si="39"/>
        <v/>
      </c>
      <c r="D211" s="156" t="str">
        <f t="shared" si="38"/>
        <v/>
      </c>
      <c r="E211" s="162" t="str">
        <f t="shared" si="35"/>
        <v/>
      </c>
      <c r="F211" s="156" t="str">
        <f t="shared" si="36"/>
        <v/>
      </c>
      <c r="G211" s="171" t="str">
        <f t="shared" si="37"/>
        <v/>
      </c>
      <c r="O211" s="93"/>
      <c r="P211" s="93"/>
      <c r="Q211" s="93"/>
      <c r="R211" s="93"/>
      <c r="S211" s="93"/>
      <c r="W211" t="str">
        <f t="shared" si="41"/>
        <v/>
      </c>
      <c r="X211" s="18" t="str">
        <f t="shared" si="42"/>
        <v/>
      </c>
      <c r="Y211" s="1" t="str">
        <f t="shared" si="40"/>
        <v/>
      </c>
      <c r="Z211" t="str">
        <f t="shared" si="43"/>
        <v/>
      </c>
      <c r="AA211" s="1" t="str">
        <f t="shared" si="44"/>
        <v/>
      </c>
    </row>
    <row r="212" spans="1:27" customFormat="1" x14ac:dyDescent="0.25">
      <c r="A212" s="68" t="str">
        <f t="shared" si="33"/>
        <v/>
      </c>
      <c r="B212" s="68" t="str">
        <f t="shared" si="34"/>
        <v/>
      </c>
      <c r="C212" s="156" t="str">
        <f t="shared" si="39"/>
        <v/>
      </c>
      <c r="D212" s="156" t="str">
        <f t="shared" si="38"/>
        <v/>
      </c>
      <c r="E212" s="162" t="str">
        <f t="shared" si="35"/>
        <v/>
      </c>
      <c r="F212" s="156" t="str">
        <f t="shared" si="36"/>
        <v/>
      </c>
      <c r="G212" s="171" t="str">
        <f t="shared" si="37"/>
        <v/>
      </c>
      <c r="O212" s="93"/>
      <c r="P212" s="93"/>
      <c r="Q212" s="93"/>
      <c r="R212" s="93"/>
      <c r="S212" s="93"/>
      <c r="W212" t="str">
        <f t="shared" si="41"/>
        <v/>
      </c>
      <c r="X212" s="18" t="str">
        <f t="shared" si="42"/>
        <v/>
      </c>
      <c r="Y212" s="1" t="str">
        <f t="shared" si="40"/>
        <v/>
      </c>
      <c r="Z212" t="str">
        <f t="shared" si="43"/>
        <v/>
      </c>
      <c r="AA212" s="1" t="str">
        <f t="shared" si="44"/>
        <v/>
      </c>
    </row>
    <row r="213" spans="1:27" customFormat="1" x14ac:dyDescent="0.25">
      <c r="A213" s="68" t="str">
        <f t="shared" si="33"/>
        <v/>
      </c>
      <c r="B213" s="68" t="str">
        <f t="shared" si="34"/>
        <v/>
      </c>
      <c r="C213" s="156" t="str">
        <f t="shared" si="39"/>
        <v/>
      </c>
      <c r="D213" s="156" t="str">
        <f t="shared" si="38"/>
        <v/>
      </c>
      <c r="E213" s="162" t="str">
        <f t="shared" si="35"/>
        <v/>
      </c>
      <c r="F213" s="156" t="str">
        <f t="shared" si="36"/>
        <v/>
      </c>
      <c r="G213" s="171" t="str">
        <f t="shared" si="37"/>
        <v/>
      </c>
      <c r="O213" s="93"/>
      <c r="P213" s="93"/>
      <c r="Q213" s="93"/>
      <c r="R213" s="93"/>
      <c r="S213" s="93"/>
      <c r="W213" t="str">
        <f t="shared" si="41"/>
        <v/>
      </c>
      <c r="X213" s="18" t="str">
        <f t="shared" si="42"/>
        <v/>
      </c>
      <c r="Y213" s="1" t="str">
        <f t="shared" si="40"/>
        <v/>
      </c>
      <c r="Z213" t="str">
        <f t="shared" si="43"/>
        <v/>
      </c>
      <c r="AA213" s="1" t="str">
        <f t="shared" si="44"/>
        <v/>
      </c>
    </row>
    <row r="214" spans="1:27" customFormat="1" x14ac:dyDescent="0.25">
      <c r="A214" s="68" t="str">
        <f t="shared" si="33"/>
        <v/>
      </c>
      <c r="B214" s="68" t="str">
        <f t="shared" si="34"/>
        <v/>
      </c>
      <c r="C214" s="156" t="str">
        <f t="shared" si="39"/>
        <v/>
      </c>
      <c r="D214" s="156" t="str">
        <f t="shared" si="38"/>
        <v/>
      </c>
      <c r="E214" s="162" t="str">
        <f t="shared" si="35"/>
        <v/>
      </c>
      <c r="F214" s="156" t="str">
        <f t="shared" si="36"/>
        <v/>
      </c>
      <c r="G214" s="171" t="str">
        <f t="shared" si="37"/>
        <v/>
      </c>
      <c r="O214" s="93"/>
      <c r="P214" s="93"/>
      <c r="Q214" s="93"/>
      <c r="R214" s="93"/>
      <c r="S214" s="93"/>
      <c r="W214" t="str">
        <f t="shared" si="41"/>
        <v/>
      </c>
      <c r="X214" s="18" t="str">
        <f t="shared" si="42"/>
        <v/>
      </c>
      <c r="Y214" s="1" t="str">
        <f t="shared" si="40"/>
        <v/>
      </c>
      <c r="Z214" t="str">
        <f t="shared" si="43"/>
        <v/>
      </c>
      <c r="AA214" s="1" t="str">
        <f t="shared" si="44"/>
        <v/>
      </c>
    </row>
    <row r="215" spans="1:27" customFormat="1" x14ac:dyDescent="0.25">
      <c r="A215" s="68" t="str">
        <f t="shared" si="33"/>
        <v/>
      </c>
      <c r="B215" s="68" t="str">
        <f t="shared" si="34"/>
        <v/>
      </c>
      <c r="C215" s="156" t="str">
        <f t="shared" si="39"/>
        <v/>
      </c>
      <c r="D215" s="156" t="str">
        <f t="shared" si="38"/>
        <v/>
      </c>
      <c r="E215" s="162" t="str">
        <f t="shared" si="35"/>
        <v/>
      </c>
      <c r="F215" s="156" t="str">
        <f t="shared" si="36"/>
        <v/>
      </c>
      <c r="G215" s="171" t="str">
        <f t="shared" si="37"/>
        <v/>
      </c>
      <c r="O215" s="93"/>
      <c r="P215" s="93"/>
      <c r="Q215" s="93"/>
      <c r="R215" s="93"/>
      <c r="S215" s="93"/>
      <c r="W215" t="str">
        <f t="shared" si="41"/>
        <v/>
      </c>
      <c r="X215" s="18" t="str">
        <f t="shared" si="42"/>
        <v/>
      </c>
      <c r="Y215" s="1" t="str">
        <f t="shared" si="40"/>
        <v/>
      </c>
      <c r="Z215" t="str">
        <f t="shared" si="43"/>
        <v/>
      </c>
      <c r="AA215" s="1" t="str">
        <f t="shared" si="44"/>
        <v/>
      </c>
    </row>
    <row r="216" spans="1:27" customFormat="1" x14ac:dyDescent="0.25">
      <c r="A216" s="68" t="str">
        <f t="shared" ref="A216:A263" si="45">IF(A215&lt;B$17,A215+1,"")</f>
        <v/>
      </c>
      <c r="B216" s="68" t="str">
        <f t="shared" ref="B216:B263" si="46">IF(A216="","",IF(A216&lt;=B$16,"carência","amortização"))</f>
        <v/>
      </c>
      <c r="C216" s="156" t="str">
        <f t="shared" si="39"/>
        <v/>
      </c>
      <c r="D216" s="156" t="str">
        <f t="shared" si="38"/>
        <v/>
      </c>
      <c r="E216" s="162" t="str">
        <f t="shared" ref="E216:E242" si="47">IF(D216="","",IF(A216&lt;=B$16,0,F$23/(B$17-B$16)))</f>
        <v/>
      </c>
      <c r="F216" s="156" t="str">
        <f t="shared" ref="F216:F263" si="48">IF(G216="","",F215-E216)</f>
        <v/>
      </c>
      <c r="G216" s="171" t="str">
        <f t="shared" ref="G216:G263" si="49">IF(E216="","",C216+D216+E216)</f>
        <v/>
      </c>
      <c r="O216" s="93"/>
      <c r="P216" s="93"/>
      <c r="Q216" s="93"/>
      <c r="R216" s="93"/>
      <c r="S216" s="93"/>
      <c r="W216" t="str">
        <f t="shared" si="41"/>
        <v/>
      </c>
      <c r="X216" s="18" t="str">
        <f t="shared" si="42"/>
        <v/>
      </c>
      <c r="Y216" s="1" t="str">
        <f t="shared" si="40"/>
        <v/>
      </c>
      <c r="Z216" t="str">
        <f t="shared" si="43"/>
        <v/>
      </c>
      <c r="AA216" s="1" t="str">
        <f t="shared" si="44"/>
        <v/>
      </c>
    </row>
    <row r="217" spans="1:27" customFormat="1" x14ac:dyDescent="0.25">
      <c r="A217" s="68" t="str">
        <f t="shared" si="45"/>
        <v/>
      </c>
      <c r="B217" s="68" t="str">
        <f t="shared" si="46"/>
        <v/>
      </c>
      <c r="C217" s="156" t="str">
        <f t="shared" si="39"/>
        <v/>
      </c>
      <c r="D217" s="156" t="str">
        <f t="shared" si="38"/>
        <v/>
      </c>
      <c r="E217" s="162" t="str">
        <f t="shared" si="47"/>
        <v/>
      </c>
      <c r="F217" s="156" t="str">
        <f t="shared" si="48"/>
        <v/>
      </c>
      <c r="G217" s="171" t="str">
        <f t="shared" si="49"/>
        <v/>
      </c>
      <c r="O217" s="93"/>
      <c r="P217" s="93"/>
      <c r="Q217" s="93"/>
      <c r="R217" s="93"/>
      <c r="S217" s="93"/>
      <c r="W217" t="str">
        <f t="shared" si="41"/>
        <v/>
      </c>
      <c r="X217" s="18" t="str">
        <f t="shared" si="42"/>
        <v/>
      </c>
      <c r="Y217" s="1" t="str">
        <f t="shared" si="40"/>
        <v/>
      </c>
      <c r="Z217" t="str">
        <f t="shared" si="43"/>
        <v/>
      </c>
      <c r="AA217" s="1" t="str">
        <f t="shared" si="44"/>
        <v/>
      </c>
    </row>
    <row r="218" spans="1:27" customFormat="1" x14ac:dyDescent="0.25">
      <c r="A218" s="68" t="str">
        <f t="shared" si="45"/>
        <v/>
      </c>
      <c r="B218" s="68" t="str">
        <f t="shared" si="46"/>
        <v/>
      </c>
      <c r="C218" s="156" t="str">
        <f t="shared" si="39"/>
        <v/>
      </c>
      <c r="D218" s="156" t="str">
        <f t="shared" si="38"/>
        <v/>
      </c>
      <c r="E218" s="162" t="str">
        <f t="shared" si="47"/>
        <v/>
      </c>
      <c r="F218" s="156" t="str">
        <f t="shared" si="48"/>
        <v/>
      </c>
      <c r="G218" s="171" t="str">
        <f t="shared" si="49"/>
        <v/>
      </c>
      <c r="O218" s="93"/>
      <c r="P218" s="93"/>
      <c r="Q218" s="93"/>
      <c r="R218" s="93"/>
      <c r="S218" s="93"/>
      <c r="W218" t="str">
        <f t="shared" si="41"/>
        <v/>
      </c>
      <c r="X218" s="18" t="str">
        <f t="shared" si="42"/>
        <v/>
      </c>
      <c r="Y218" s="1" t="str">
        <f t="shared" si="40"/>
        <v/>
      </c>
      <c r="Z218" t="str">
        <f t="shared" si="43"/>
        <v/>
      </c>
      <c r="AA218" s="1" t="str">
        <f t="shared" si="44"/>
        <v/>
      </c>
    </row>
    <row r="219" spans="1:27" customFormat="1" x14ac:dyDescent="0.25">
      <c r="A219" s="68" t="str">
        <f t="shared" si="45"/>
        <v/>
      </c>
      <c r="B219" s="68" t="str">
        <f t="shared" si="46"/>
        <v/>
      </c>
      <c r="C219" s="156" t="str">
        <f t="shared" si="39"/>
        <v/>
      </c>
      <c r="D219" s="156" t="str">
        <f t="shared" ref="D219:D263" si="50">IF(B219="","",((1+(D$16))^(22/252)-1)*(F218))</f>
        <v/>
      </c>
      <c r="E219" s="162" t="str">
        <f t="shared" si="47"/>
        <v/>
      </c>
      <c r="F219" s="156" t="str">
        <f t="shared" si="48"/>
        <v/>
      </c>
      <c r="G219" s="171" t="str">
        <f t="shared" si="49"/>
        <v/>
      </c>
      <c r="O219" s="93"/>
      <c r="P219" s="93"/>
      <c r="Q219" s="93"/>
      <c r="R219" s="93"/>
      <c r="S219" s="93"/>
      <c r="W219" t="str">
        <f t="shared" si="41"/>
        <v/>
      </c>
      <c r="X219" s="18" t="str">
        <f t="shared" si="42"/>
        <v/>
      </c>
      <c r="Y219" s="1" t="str">
        <f t="shared" si="40"/>
        <v/>
      </c>
      <c r="Z219" t="str">
        <f t="shared" si="43"/>
        <v/>
      </c>
      <c r="AA219" s="1" t="str">
        <f t="shared" si="44"/>
        <v/>
      </c>
    </row>
    <row r="220" spans="1:27" customFormat="1" x14ac:dyDescent="0.25">
      <c r="A220" s="68" t="str">
        <f t="shared" si="45"/>
        <v/>
      </c>
      <c r="B220" s="68" t="str">
        <f t="shared" si="46"/>
        <v/>
      </c>
      <c r="C220" s="156" t="str">
        <f t="shared" si="39"/>
        <v/>
      </c>
      <c r="D220" s="156" t="str">
        <f t="shared" si="50"/>
        <v/>
      </c>
      <c r="E220" s="162" t="str">
        <f t="shared" si="47"/>
        <v/>
      </c>
      <c r="F220" s="156" t="str">
        <f t="shared" si="48"/>
        <v/>
      </c>
      <c r="G220" s="171" t="str">
        <f t="shared" si="49"/>
        <v/>
      </c>
      <c r="O220" s="93"/>
      <c r="P220" s="93"/>
      <c r="Q220" s="93"/>
      <c r="R220" s="93"/>
      <c r="S220" s="93"/>
      <c r="W220" t="str">
        <f t="shared" si="41"/>
        <v/>
      </c>
      <c r="X220" s="18" t="str">
        <f t="shared" si="42"/>
        <v/>
      </c>
      <c r="Y220" s="1" t="str">
        <f t="shared" si="40"/>
        <v/>
      </c>
      <c r="Z220" t="str">
        <f t="shared" si="43"/>
        <v/>
      </c>
      <c r="AA220" s="1" t="str">
        <f t="shared" si="44"/>
        <v/>
      </c>
    </row>
    <row r="221" spans="1:27" customFormat="1" x14ac:dyDescent="0.25">
      <c r="A221" s="68" t="str">
        <f t="shared" si="45"/>
        <v/>
      </c>
      <c r="B221" s="68" t="str">
        <f t="shared" si="46"/>
        <v/>
      </c>
      <c r="C221" s="156" t="str">
        <f t="shared" ref="C221:C263" si="51">IF(B221="","",((1+(D$15))^(22/252)-1)*(F220+D221))</f>
        <v/>
      </c>
      <c r="D221" s="156" t="str">
        <f t="shared" si="50"/>
        <v/>
      </c>
      <c r="E221" s="162" t="str">
        <f t="shared" si="47"/>
        <v/>
      </c>
      <c r="F221" s="156" t="str">
        <f t="shared" si="48"/>
        <v/>
      </c>
      <c r="G221" s="171" t="str">
        <f t="shared" si="49"/>
        <v/>
      </c>
      <c r="O221" s="93"/>
      <c r="P221" s="93"/>
      <c r="Q221" s="93"/>
      <c r="R221" s="93"/>
      <c r="S221" s="93"/>
      <c r="W221" t="str">
        <f t="shared" si="41"/>
        <v/>
      </c>
      <c r="X221" s="18" t="str">
        <f t="shared" si="42"/>
        <v/>
      </c>
      <c r="Y221" s="1" t="str">
        <f t="shared" si="40"/>
        <v/>
      </c>
      <c r="Z221" t="str">
        <f t="shared" si="43"/>
        <v/>
      </c>
      <c r="AA221" s="1" t="str">
        <f t="shared" si="44"/>
        <v/>
      </c>
    </row>
    <row r="222" spans="1:27" customFormat="1" x14ac:dyDescent="0.25">
      <c r="A222" s="68" t="str">
        <f t="shared" si="45"/>
        <v/>
      </c>
      <c r="B222" s="68" t="str">
        <f t="shared" si="46"/>
        <v/>
      </c>
      <c r="C222" s="156" t="str">
        <f t="shared" si="51"/>
        <v/>
      </c>
      <c r="D222" s="156" t="str">
        <f t="shared" si="50"/>
        <v/>
      </c>
      <c r="E222" s="162" t="str">
        <f t="shared" si="47"/>
        <v/>
      </c>
      <c r="F222" s="156" t="str">
        <f t="shared" si="48"/>
        <v/>
      </c>
      <c r="G222" s="171" t="str">
        <f t="shared" si="49"/>
        <v/>
      </c>
      <c r="O222" s="93"/>
      <c r="P222" s="93"/>
      <c r="Q222" s="93"/>
      <c r="R222" s="93"/>
      <c r="S222" s="93"/>
      <c r="W222" t="str">
        <f t="shared" si="41"/>
        <v/>
      </c>
      <c r="X222" s="18" t="str">
        <f t="shared" si="42"/>
        <v/>
      </c>
      <c r="Y222" s="1" t="str">
        <f t="shared" ref="Y222:Y228" si="52">IF(X222="","",IF(W222&lt;=B$16,0,Y$27/(B$17-B$16)))</f>
        <v/>
      </c>
      <c r="Z222" t="str">
        <f t="shared" si="43"/>
        <v/>
      </c>
      <c r="AA222" s="1" t="str">
        <f t="shared" si="44"/>
        <v/>
      </c>
    </row>
    <row r="223" spans="1:27" customFormat="1" x14ac:dyDescent="0.25">
      <c r="A223" s="68" t="str">
        <f t="shared" si="45"/>
        <v/>
      </c>
      <c r="B223" s="68" t="str">
        <f t="shared" si="46"/>
        <v/>
      </c>
      <c r="C223" s="156" t="str">
        <f t="shared" si="51"/>
        <v/>
      </c>
      <c r="D223" s="156" t="str">
        <f t="shared" si="50"/>
        <v/>
      </c>
      <c r="E223" s="162" t="str">
        <f t="shared" si="47"/>
        <v/>
      </c>
      <c r="F223" s="156" t="str">
        <f t="shared" si="48"/>
        <v/>
      </c>
      <c r="G223" s="171" t="str">
        <f t="shared" si="49"/>
        <v/>
      </c>
      <c r="O223" s="93"/>
      <c r="P223" s="93"/>
      <c r="Q223" s="93"/>
      <c r="R223" s="93"/>
      <c r="S223" s="93"/>
      <c r="W223" t="str">
        <f t="shared" si="41"/>
        <v/>
      </c>
      <c r="X223" s="18" t="str">
        <f t="shared" si="42"/>
        <v/>
      </c>
      <c r="Y223" s="1" t="str">
        <f t="shared" si="52"/>
        <v/>
      </c>
      <c r="Z223" t="str">
        <f t="shared" si="43"/>
        <v/>
      </c>
      <c r="AA223" s="1" t="str">
        <f t="shared" si="44"/>
        <v/>
      </c>
    </row>
    <row r="224" spans="1:27" customFormat="1" x14ac:dyDescent="0.25">
      <c r="A224" s="68" t="str">
        <f t="shared" si="45"/>
        <v/>
      </c>
      <c r="B224" s="68" t="str">
        <f t="shared" si="46"/>
        <v/>
      </c>
      <c r="C224" s="156" t="str">
        <f t="shared" si="51"/>
        <v/>
      </c>
      <c r="D224" s="156" t="str">
        <f t="shared" si="50"/>
        <v/>
      </c>
      <c r="E224" s="162" t="str">
        <f t="shared" si="47"/>
        <v/>
      </c>
      <c r="F224" s="156" t="str">
        <f t="shared" si="48"/>
        <v/>
      </c>
      <c r="G224" s="171" t="str">
        <f t="shared" si="49"/>
        <v/>
      </c>
      <c r="O224" s="93"/>
      <c r="P224" s="93"/>
      <c r="Q224" s="93"/>
      <c r="R224" s="93"/>
      <c r="S224" s="93"/>
      <c r="W224" t="str">
        <f t="shared" ref="W224:W287" si="53">IF(W223&lt;B$17,W223+1,"")</f>
        <v/>
      </c>
      <c r="X224" s="18" t="str">
        <f t="shared" ref="X224:X287" si="54">IF(W224="","",X223+30)</f>
        <v/>
      </c>
      <c r="Y224" s="1" t="str">
        <f t="shared" si="52"/>
        <v/>
      </c>
      <c r="Z224" t="str">
        <f t="shared" ref="Z224:Z287" si="55">IF(Y224="","",X224-X$30)</f>
        <v/>
      </c>
      <c r="AA224" s="1" t="str">
        <f t="shared" ref="AA224:AA287" si="56">IF(Z224="","",IF(Z224&lt;365,Z224*Y224*Y$26,365*Y224*Y$26))</f>
        <v/>
      </c>
    </row>
    <row r="225" spans="1:27" customFormat="1" x14ac:dyDescent="0.25">
      <c r="A225" s="68" t="str">
        <f t="shared" si="45"/>
        <v/>
      </c>
      <c r="B225" s="68" t="str">
        <f t="shared" si="46"/>
        <v/>
      </c>
      <c r="C225" s="156" t="str">
        <f t="shared" si="51"/>
        <v/>
      </c>
      <c r="D225" s="156" t="str">
        <f t="shared" si="50"/>
        <v/>
      </c>
      <c r="E225" s="162" t="str">
        <f t="shared" si="47"/>
        <v/>
      </c>
      <c r="F225" s="156" t="str">
        <f t="shared" si="48"/>
        <v/>
      </c>
      <c r="G225" s="171" t="str">
        <f t="shared" si="49"/>
        <v/>
      </c>
      <c r="O225" s="93"/>
      <c r="P225" s="93"/>
      <c r="Q225" s="93"/>
      <c r="R225" s="93"/>
      <c r="S225" s="93"/>
      <c r="W225" t="str">
        <f t="shared" si="53"/>
        <v/>
      </c>
      <c r="X225" s="18" t="str">
        <f t="shared" si="54"/>
        <v/>
      </c>
      <c r="Y225" s="1" t="str">
        <f t="shared" si="52"/>
        <v/>
      </c>
      <c r="Z225" t="str">
        <f t="shared" si="55"/>
        <v/>
      </c>
      <c r="AA225" s="1" t="str">
        <f t="shared" si="56"/>
        <v/>
      </c>
    </row>
    <row r="226" spans="1:27" customFormat="1" x14ac:dyDescent="0.25">
      <c r="A226" s="68" t="str">
        <f t="shared" si="45"/>
        <v/>
      </c>
      <c r="B226" s="68" t="str">
        <f t="shared" si="46"/>
        <v/>
      </c>
      <c r="C226" s="156" t="str">
        <f t="shared" si="51"/>
        <v/>
      </c>
      <c r="D226" s="156" t="str">
        <f t="shared" si="50"/>
        <v/>
      </c>
      <c r="E226" s="162" t="str">
        <f t="shared" si="47"/>
        <v/>
      </c>
      <c r="F226" s="156" t="str">
        <f t="shared" si="48"/>
        <v/>
      </c>
      <c r="G226" s="171" t="str">
        <f t="shared" si="49"/>
        <v/>
      </c>
      <c r="O226" s="93"/>
      <c r="P226" s="93"/>
      <c r="Q226" s="93"/>
      <c r="R226" s="93"/>
      <c r="S226" s="93"/>
      <c r="W226" t="str">
        <f t="shared" si="53"/>
        <v/>
      </c>
      <c r="X226" s="18" t="str">
        <f t="shared" si="54"/>
        <v/>
      </c>
      <c r="Y226" s="1" t="str">
        <f t="shared" si="52"/>
        <v/>
      </c>
      <c r="Z226" t="str">
        <f t="shared" si="55"/>
        <v/>
      </c>
      <c r="AA226" s="1" t="str">
        <f t="shared" si="56"/>
        <v/>
      </c>
    </row>
    <row r="227" spans="1:27" customFormat="1" x14ac:dyDescent="0.25">
      <c r="A227" s="68" t="str">
        <f t="shared" si="45"/>
        <v/>
      </c>
      <c r="B227" s="68" t="str">
        <f t="shared" si="46"/>
        <v/>
      </c>
      <c r="C227" s="156" t="str">
        <f t="shared" si="51"/>
        <v/>
      </c>
      <c r="D227" s="156" t="str">
        <f t="shared" si="50"/>
        <v/>
      </c>
      <c r="E227" s="162" t="str">
        <f t="shared" si="47"/>
        <v/>
      </c>
      <c r="F227" s="156" t="str">
        <f t="shared" si="48"/>
        <v/>
      </c>
      <c r="G227" s="171" t="str">
        <f t="shared" si="49"/>
        <v/>
      </c>
      <c r="O227" s="93"/>
      <c r="P227" s="93"/>
      <c r="Q227" s="93"/>
      <c r="R227" s="93"/>
      <c r="S227" s="93"/>
      <c r="W227" t="str">
        <f t="shared" si="53"/>
        <v/>
      </c>
      <c r="X227" s="18" t="str">
        <f t="shared" si="54"/>
        <v/>
      </c>
      <c r="Y227" s="1" t="str">
        <f t="shared" si="52"/>
        <v/>
      </c>
      <c r="Z227" t="str">
        <f t="shared" si="55"/>
        <v/>
      </c>
      <c r="AA227" s="1" t="str">
        <f t="shared" si="56"/>
        <v/>
      </c>
    </row>
    <row r="228" spans="1:27" customFormat="1" x14ac:dyDescent="0.25">
      <c r="A228" s="68" t="str">
        <f t="shared" si="45"/>
        <v/>
      </c>
      <c r="B228" s="68" t="str">
        <f t="shared" si="46"/>
        <v/>
      </c>
      <c r="C228" s="156" t="str">
        <f t="shared" si="51"/>
        <v/>
      </c>
      <c r="D228" s="156" t="str">
        <f t="shared" si="50"/>
        <v/>
      </c>
      <c r="E228" s="162" t="str">
        <f t="shared" si="47"/>
        <v/>
      </c>
      <c r="F228" s="156" t="str">
        <f t="shared" si="48"/>
        <v/>
      </c>
      <c r="G228" s="171" t="str">
        <f t="shared" si="49"/>
        <v/>
      </c>
      <c r="O228" s="93"/>
      <c r="P228" s="93"/>
      <c r="Q228" s="93"/>
      <c r="R228" s="93"/>
      <c r="S228" s="93"/>
      <c r="W228" t="str">
        <f t="shared" si="53"/>
        <v/>
      </c>
      <c r="X228" s="18" t="str">
        <f t="shared" si="54"/>
        <v/>
      </c>
      <c r="Y228" s="1" t="str">
        <f t="shared" si="52"/>
        <v/>
      </c>
      <c r="Z228" t="str">
        <f t="shared" si="55"/>
        <v/>
      </c>
      <c r="AA228" s="1" t="str">
        <f t="shared" si="56"/>
        <v/>
      </c>
    </row>
    <row r="229" spans="1:27" customFormat="1" x14ac:dyDescent="0.25">
      <c r="A229" s="68" t="str">
        <f t="shared" si="45"/>
        <v/>
      </c>
      <c r="B229" s="68" t="str">
        <f t="shared" si="46"/>
        <v/>
      </c>
      <c r="C229" s="156" t="str">
        <f t="shared" si="51"/>
        <v/>
      </c>
      <c r="D229" s="156" t="str">
        <f t="shared" si="50"/>
        <v/>
      </c>
      <c r="E229" s="162" t="str">
        <f t="shared" si="47"/>
        <v/>
      </c>
      <c r="F229" s="156" t="str">
        <f t="shared" si="48"/>
        <v/>
      </c>
      <c r="G229" s="171" t="str">
        <f t="shared" si="49"/>
        <v/>
      </c>
      <c r="O229" s="93"/>
      <c r="P229" s="93"/>
      <c r="Q229" s="93"/>
      <c r="R229" s="93"/>
      <c r="S229" s="93"/>
      <c r="W229" t="str">
        <f t="shared" si="53"/>
        <v/>
      </c>
      <c r="X229" s="18" t="str">
        <f t="shared" si="54"/>
        <v/>
      </c>
      <c r="Y229" s="1" t="str">
        <f t="shared" ref="Y229:Y257" si="57">IF(X229="","",E222)</f>
        <v/>
      </c>
      <c r="Z229" t="str">
        <f t="shared" si="55"/>
        <v/>
      </c>
      <c r="AA229" s="1" t="str">
        <f t="shared" si="56"/>
        <v/>
      </c>
    </row>
    <row r="230" spans="1:27" customFormat="1" x14ac:dyDescent="0.25">
      <c r="A230" s="68" t="str">
        <f t="shared" si="45"/>
        <v/>
      </c>
      <c r="B230" s="68" t="str">
        <f t="shared" si="46"/>
        <v/>
      </c>
      <c r="C230" s="156" t="str">
        <f t="shared" si="51"/>
        <v/>
      </c>
      <c r="D230" s="156" t="str">
        <f t="shared" si="50"/>
        <v/>
      </c>
      <c r="E230" s="162" t="str">
        <f t="shared" si="47"/>
        <v/>
      </c>
      <c r="F230" s="156" t="str">
        <f t="shared" si="48"/>
        <v/>
      </c>
      <c r="G230" s="171" t="str">
        <f t="shared" si="49"/>
        <v/>
      </c>
      <c r="O230" s="93"/>
      <c r="P230" s="93"/>
      <c r="Q230" s="93"/>
      <c r="R230" s="93"/>
      <c r="S230" s="93"/>
      <c r="W230" t="str">
        <f t="shared" si="53"/>
        <v/>
      </c>
      <c r="X230" s="18" t="str">
        <f t="shared" si="54"/>
        <v/>
      </c>
      <c r="Y230" s="1" t="str">
        <f t="shared" si="57"/>
        <v/>
      </c>
      <c r="Z230" t="str">
        <f t="shared" si="55"/>
        <v/>
      </c>
      <c r="AA230" s="1" t="str">
        <f t="shared" si="56"/>
        <v/>
      </c>
    </row>
    <row r="231" spans="1:27" customFormat="1" x14ac:dyDescent="0.25">
      <c r="A231" s="68" t="str">
        <f t="shared" si="45"/>
        <v/>
      </c>
      <c r="B231" s="68" t="str">
        <f t="shared" si="46"/>
        <v/>
      </c>
      <c r="C231" s="156" t="str">
        <f t="shared" si="51"/>
        <v/>
      </c>
      <c r="D231" s="156" t="str">
        <f t="shared" si="50"/>
        <v/>
      </c>
      <c r="E231" s="162" t="str">
        <f t="shared" si="47"/>
        <v/>
      </c>
      <c r="F231" s="156" t="str">
        <f t="shared" si="48"/>
        <v/>
      </c>
      <c r="G231" s="171" t="str">
        <f t="shared" si="49"/>
        <v/>
      </c>
      <c r="O231" s="93"/>
      <c r="P231" s="93"/>
      <c r="Q231" s="93"/>
      <c r="R231" s="93"/>
      <c r="S231" s="93"/>
      <c r="W231" t="str">
        <f t="shared" si="53"/>
        <v/>
      </c>
      <c r="X231" s="18" t="str">
        <f t="shared" si="54"/>
        <v/>
      </c>
      <c r="Y231" s="1" t="str">
        <f t="shared" si="57"/>
        <v/>
      </c>
      <c r="Z231" t="str">
        <f t="shared" si="55"/>
        <v/>
      </c>
      <c r="AA231" s="1" t="str">
        <f t="shared" si="56"/>
        <v/>
      </c>
    </row>
    <row r="232" spans="1:27" customFormat="1" x14ac:dyDescent="0.25">
      <c r="A232" s="68" t="str">
        <f t="shared" si="45"/>
        <v/>
      </c>
      <c r="B232" s="68" t="str">
        <f t="shared" si="46"/>
        <v/>
      </c>
      <c r="C232" s="156" t="str">
        <f t="shared" si="51"/>
        <v/>
      </c>
      <c r="D232" s="156" t="str">
        <f t="shared" si="50"/>
        <v/>
      </c>
      <c r="E232" s="162" t="str">
        <f t="shared" si="47"/>
        <v/>
      </c>
      <c r="F232" s="156" t="str">
        <f t="shared" si="48"/>
        <v/>
      </c>
      <c r="G232" s="171" t="str">
        <f t="shared" si="49"/>
        <v/>
      </c>
      <c r="O232" s="93"/>
      <c r="P232" s="93"/>
      <c r="Q232" s="93"/>
      <c r="R232" s="93"/>
      <c r="S232" s="93"/>
      <c r="W232" t="str">
        <f t="shared" si="53"/>
        <v/>
      </c>
      <c r="X232" s="18" t="str">
        <f t="shared" si="54"/>
        <v/>
      </c>
      <c r="Y232" s="1" t="str">
        <f t="shared" si="57"/>
        <v/>
      </c>
      <c r="Z232" t="str">
        <f t="shared" si="55"/>
        <v/>
      </c>
      <c r="AA232" s="1" t="str">
        <f t="shared" si="56"/>
        <v/>
      </c>
    </row>
    <row r="233" spans="1:27" customFormat="1" x14ac:dyDescent="0.25">
      <c r="A233" s="68" t="str">
        <f t="shared" si="45"/>
        <v/>
      </c>
      <c r="B233" s="68" t="str">
        <f t="shared" si="46"/>
        <v/>
      </c>
      <c r="C233" s="156" t="str">
        <f t="shared" si="51"/>
        <v/>
      </c>
      <c r="D233" s="156" t="str">
        <f t="shared" si="50"/>
        <v/>
      </c>
      <c r="E233" s="162" t="str">
        <f t="shared" si="47"/>
        <v/>
      </c>
      <c r="F233" s="156" t="str">
        <f t="shared" si="48"/>
        <v/>
      </c>
      <c r="G233" s="171" t="str">
        <f t="shared" si="49"/>
        <v/>
      </c>
      <c r="O233" s="93"/>
      <c r="P233" s="93"/>
      <c r="Q233" s="93"/>
      <c r="R233" s="93"/>
      <c r="S233" s="93"/>
      <c r="W233" t="str">
        <f t="shared" si="53"/>
        <v/>
      </c>
      <c r="X233" s="18" t="str">
        <f t="shared" si="54"/>
        <v/>
      </c>
      <c r="Y233" s="1" t="str">
        <f t="shared" si="57"/>
        <v/>
      </c>
      <c r="Z233" t="str">
        <f t="shared" si="55"/>
        <v/>
      </c>
      <c r="AA233" s="1" t="str">
        <f t="shared" si="56"/>
        <v/>
      </c>
    </row>
    <row r="234" spans="1:27" customFormat="1" x14ac:dyDescent="0.25">
      <c r="A234" s="68" t="str">
        <f t="shared" si="45"/>
        <v/>
      </c>
      <c r="B234" s="68" t="str">
        <f t="shared" si="46"/>
        <v/>
      </c>
      <c r="C234" s="156" t="str">
        <f t="shared" si="51"/>
        <v/>
      </c>
      <c r="D234" s="156" t="str">
        <f t="shared" si="50"/>
        <v/>
      </c>
      <c r="E234" s="162" t="str">
        <f t="shared" si="47"/>
        <v/>
      </c>
      <c r="F234" s="156" t="str">
        <f t="shared" si="48"/>
        <v/>
      </c>
      <c r="G234" s="171" t="str">
        <f t="shared" si="49"/>
        <v/>
      </c>
      <c r="O234" s="93"/>
      <c r="P234" s="93"/>
      <c r="Q234" s="93"/>
      <c r="R234" s="93"/>
      <c r="S234" s="93"/>
      <c r="W234" t="str">
        <f t="shared" si="53"/>
        <v/>
      </c>
      <c r="X234" s="18" t="str">
        <f t="shared" si="54"/>
        <v/>
      </c>
      <c r="Y234" s="1" t="str">
        <f t="shared" si="57"/>
        <v/>
      </c>
      <c r="Z234" t="str">
        <f t="shared" si="55"/>
        <v/>
      </c>
      <c r="AA234" s="1" t="str">
        <f t="shared" si="56"/>
        <v/>
      </c>
    </row>
    <row r="235" spans="1:27" customFormat="1" x14ac:dyDescent="0.25">
      <c r="A235" s="68" t="str">
        <f t="shared" si="45"/>
        <v/>
      </c>
      <c r="B235" s="68" t="str">
        <f t="shared" si="46"/>
        <v/>
      </c>
      <c r="C235" s="156" t="str">
        <f t="shared" si="51"/>
        <v/>
      </c>
      <c r="D235" s="156" t="str">
        <f t="shared" si="50"/>
        <v/>
      </c>
      <c r="E235" s="162" t="str">
        <f t="shared" si="47"/>
        <v/>
      </c>
      <c r="F235" s="156" t="str">
        <f t="shared" si="48"/>
        <v/>
      </c>
      <c r="G235" s="171" t="str">
        <f t="shared" si="49"/>
        <v/>
      </c>
      <c r="O235" s="93"/>
      <c r="P235" s="93"/>
      <c r="Q235" s="93"/>
      <c r="R235" s="93"/>
      <c r="S235" s="93"/>
      <c r="W235" t="str">
        <f t="shared" si="53"/>
        <v/>
      </c>
      <c r="X235" s="18" t="str">
        <f t="shared" si="54"/>
        <v/>
      </c>
      <c r="Y235" s="1" t="str">
        <f t="shared" si="57"/>
        <v/>
      </c>
      <c r="Z235" t="str">
        <f t="shared" si="55"/>
        <v/>
      </c>
      <c r="AA235" s="1" t="str">
        <f t="shared" si="56"/>
        <v/>
      </c>
    </row>
    <row r="236" spans="1:27" customFormat="1" x14ac:dyDescent="0.25">
      <c r="A236" s="68" t="str">
        <f t="shared" si="45"/>
        <v/>
      </c>
      <c r="B236" s="68" t="str">
        <f t="shared" si="46"/>
        <v/>
      </c>
      <c r="C236" s="156" t="str">
        <f t="shared" si="51"/>
        <v/>
      </c>
      <c r="D236" s="156" t="str">
        <f t="shared" si="50"/>
        <v/>
      </c>
      <c r="E236" s="162" t="str">
        <f t="shared" si="47"/>
        <v/>
      </c>
      <c r="F236" s="156" t="str">
        <f t="shared" si="48"/>
        <v/>
      </c>
      <c r="G236" s="171" t="str">
        <f t="shared" si="49"/>
        <v/>
      </c>
      <c r="O236" s="93"/>
      <c r="P236" s="93"/>
      <c r="Q236" s="93"/>
      <c r="R236" s="93"/>
      <c r="S236" s="93"/>
      <c r="W236" t="str">
        <f t="shared" si="53"/>
        <v/>
      </c>
      <c r="X236" s="18" t="str">
        <f t="shared" si="54"/>
        <v/>
      </c>
      <c r="Y236" s="1" t="str">
        <f t="shared" si="57"/>
        <v/>
      </c>
      <c r="Z236" t="str">
        <f t="shared" si="55"/>
        <v/>
      </c>
      <c r="AA236" s="1" t="str">
        <f t="shared" si="56"/>
        <v/>
      </c>
    </row>
    <row r="237" spans="1:27" customFormat="1" x14ac:dyDescent="0.25">
      <c r="A237" s="68" t="str">
        <f t="shared" si="45"/>
        <v/>
      </c>
      <c r="B237" s="68" t="str">
        <f t="shared" si="46"/>
        <v/>
      </c>
      <c r="C237" s="156" t="str">
        <f t="shared" si="51"/>
        <v/>
      </c>
      <c r="D237" s="156" t="str">
        <f t="shared" si="50"/>
        <v/>
      </c>
      <c r="E237" s="162" t="str">
        <f t="shared" si="47"/>
        <v/>
      </c>
      <c r="F237" s="156" t="str">
        <f t="shared" si="48"/>
        <v/>
      </c>
      <c r="G237" s="171" t="str">
        <f t="shared" si="49"/>
        <v/>
      </c>
      <c r="O237" s="93"/>
      <c r="P237" s="93"/>
      <c r="Q237" s="93"/>
      <c r="R237" s="93"/>
      <c r="S237" s="93"/>
      <c r="W237" t="str">
        <f t="shared" si="53"/>
        <v/>
      </c>
      <c r="X237" s="18" t="str">
        <f t="shared" si="54"/>
        <v/>
      </c>
      <c r="Y237" s="1" t="str">
        <f t="shared" si="57"/>
        <v/>
      </c>
      <c r="Z237" t="str">
        <f t="shared" si="55"/>
        <v/>
      </c>
      <c r="AA237" s="1" t="str">
        <f t="shared" si="56"/>
        <v/>
      </c>
    </row>
    <row r="238" spans="1:27" customFormat="1" x14ac:dyDescent="0.25">
      <c r="A238" s="68" t="str">
        <f t="shared" si="45"/>
        <v/>
      </c>
      <c r="B238" s="68" t="str">
        <f t="shared" si="46"/>
        <v/>
      </c>
      <c r="C238" s="156" t="str">
        <f t="shared" si="51"/>
        <v/>
      </c>
      <c r="D238" s="156" t="str">
        <f t="shared" si="50"/>
        <v/>
      </c>
      <c r="E238" s="162" t="str">
        <f t="shared" si="47"/>
        <v/>
      </c>
      <c r="F238" s="156" t="str">
        <f t="shared" si="48"/>
        <v/>
      </c>
      <c r="G238" s="171" t="str">
        <f t="shared" si="49"/>
        <v/>
      </c>
      <c r="O238" s="93"/>
      <c r="P238" s="93"/>
      <c r="Q238" s="93"/>
      <c r="R238" s="93"/>
      <c r="S238" s="93"/>
      <c r="W238" t="str">
        <f t="shared" si="53"/>
        <v/>
      </c>
      <c r="X238" s="18" t="str">
        <f t="shared" si="54"/>
        <v/>
      </c>
      <c r="Y238" s="1" t="str">
        <f t="shared" si="57"/>
        <v/>
      </c>
      <c r="Z238" t="str">
        <f t="shared" si="55"/>
        <v/>
      </c>
      <c r="AA238" s="1" t="str">
        <f t="shared" si="56"/>
        <v/>
      </c>
    </row>
    <row r="239" spans="1:27" customFormat="1" x14ac:dyDescent="0.25">
      <c r="A239" s="68" t="str">
        <f t="shared" si="45"/>
        <v/>
      </c>
      <c r="B239" s="68" t="str">
        <f t="shared" si="46"/>
        <v/>
      </c>
      <c r="C239" s="156" t="str">
        <f t="shared" si="51"/>
        <v/>
      </c>
      <c r="D239" s="156" t="str">
        <f t="shared" si="50"/>
        <v/>
      </c>
      <c r="E239" s="162" t="str">
        <f t="shared" si="47"/>
        <v/>
      </c>
      <c r="F239" s="156" t="str">
        <f t="shared" si="48"/>
        <v/>
      </c>
      <c r="G239" s="171" t="str">
        <f t="shared" si="49"/>
        <v/>
      </c>
      <c r="O239" s="93"/>
      <c r="P239" s="93"/>
      <c r="Q239" s="93"/>
      <c r="R239" s="93"/>
      <c r="S239" s="93"/>
      <c r="W239" t="str">
        <f t="shared" si="53"/>
        <v/>
      </c>
      <c r="X239" s="18" t="str">
        <f t="shared" si="54"/>
        <v/>
      </c>
      <c r="Y239" s="1" t="str">
        <f t="shared" si="57"/>
        <v/>
      </c>
      <c r="Z239" t="str">
        <f t="shared" si="55"/>
        <v/>
      </c>
      <c r="AA239" s="1" t="str">
        <f t="shared" si="56"/>
        <v/>
      </c>
    </row>
    <row r="240" spans="1:27" customFormat="1" x14ac:dyDescent="0.25">
      <c r="A240" s="68" t="str">
        <f t="shared" si="45"/>
        <v/>
      </c>
      <c r="B240" s="68" t="str">
        <f t="shared" si="46"/>
        <v/>
      </c>
      <c r="C240" s="156" t="str">
        <f t="shared" si="51"/>
        <v/>
      </c>
      <c r="D240" s="156" t="str">
        <f t="shared" si="50"/>
        <v/>
      </c>
      <c r="E240" s="162" t="str">
        <f t="shared" si="47"/>
        <v/>
      </c>
      <c r="F240" s="156" t="str">
        <f t="shared" si="48"/>
        <v/>
      </c>
      <c r="G240" s="171" t="str">
        <f t="shared" si="49"/>
        <v/>
      </c>
      <c r="O240" s="93"/>
      <c r="P240" s="93"/>
      <c r="Q240" s="93"/>
      <c r="R240" s="93"/>
      <c r="S240" s="93"/>
      <c r="W240" t="str">
        <f t="shared" si="53"/>
        <v/>
      </c>
      <c r="X240" s="18" t="str">
        <f t="shared" si="54"/>
        <v/>
      </c>
      <c r="Y240" s="1" t="str">
        <f t="shared" si="57"/>
        <v/>
      </c>
      <c r="Z240" t="str">
        <f t="shared" si="55"/>
        <v/>
      </c>
      <c r="AA240" s="1" t="str">
        <f t="shared" si="56"/>
        <v/>
      </c>
    </row>
    <row r="241" spans="1:27" customFormat="1" x14ac:dyDescent="0.25">
      <c r="A241" s="68" t="str">
        <f t="shared" si="45"/>
        <v/>
      </c>
      <c r="B241" s="68" t="str">
        <f t="shared" si="46"/>
        <v/>
      </c>
      <c r="C241" s="156" t="str">
        <f t="shared" si="51"/>
        <v/>
      </c>
      <c r="D241" s="156" t="str">
        <f t="shared" si="50"/>
        <v/>
      </c>
      <c r="E241" s="162" t="str">
        <f t="shared" si="47"/>
        <v/>
      </c>
      <c r="F241" s="156" t="str">
        <f t="shared" si="48"/>
        <v/>
      </c>
      <c r="G241" s="171" t="str">
        <f t="shared" si="49"/>
        <v/>
      </c>
      <c r="O241" s="93"/>
      <c r="P241" s="93"/>
      <c r="Q241" s="93"/>
      <c r="R241" s="93"/>
      <c r="S241" s="93"/>
      <c r="W241" t="str">
        <f t="shared" si="53"/>
        <v/>
      </c>
      <c r="X241" s="18" t="str">
        <f t="shared" si="54"/>
        <v/>
      </c>
      <c r="Y241" s="1" t="str">
        <f t="shared" si="57"/>
        <v/>
      </c>
      <c r="Z241" t="str">
        <f t="shared" si="55"/>
        <v/>
      </c>
      <c r="AA241" s="1" t="str">
        <f t="shared" si="56"/>
        <v/>
      </c>
    </row>
    <row r="242" spans="1:27" customFormat="1" x14ac:dyDescent="0.25">
      <c r="A242" s="68" t="str">
        <f t="shared" si="45"/>
        <v/>
      </c>
      <c r="B242" s="68" t="str">
        <f t="shared" si="46"/>
        <v/>
      </c>
      <c r="C242" s="156" t="str">
        <f t="shared" si="51"/>
        <v/>
      </c>
      <c r="D242" s="156" t="str">
        <f t="shared" si="50"/>
        <v/>
      </c>
      <c r="E242" s="162" t="str">
        <f t="shared" si="47"/>
        <v/>
      </c>
      <c r="F242" s="156" t="str">
        <f t="shared" si="48"/>
        <v/>
      </c>
      <c r="G242" s="171" t="str">
        <f t="shared" si="49"/>
        <v/>
      </c>
      <c r="O242" s="93"/>
      <c r="P242" s="93"/>
      <c r="Q242" s="93"/>
      <c r="R242" s="93"/>
      <c r="S242" s="93"/>
      <c r="W242" t="str">
        <f t="shared" si="53"/>
        <v/>
      </c>
      <c r="X242" s="18" t="str">
        <f t="shared" si="54"/>
        <v/>
      </c>
      <c r="Y242" s="1" t="str">
        <f t="shared" si="57"/>
        <v/>
      </c>
      <c r="Z242" t="str">
        <f t="shared" si="55"/>
        <v/>
      </c>
      <c r="AA242" s="1" t="str">
        <f t="shared" si="56"/>
        <v/>
      </c>
    </row>
    <row r="243" spans="1:27" customFormat="1" x14ac:dyDescent="0.25">
      <c r="A243" s="68" t="str">
        <f t="shared" si="45"/>
        <v/>
      </c>
      <c r="B243" s="68" t="str">
        <f t="shared" si="46"/>
        <v/>
      </c>
      <c r="C243" s="156" t="str">
        <f t="shared" si="51"/>
        <v/>
      </c>
      <c r="D243" s="156" t="str">
        <f t="shared" si="50"/>
        <v/>
      </c>
      <c r="E243" s="162" t="str">
        <f t="shared" ref="E243:E263" si="58">IF(D243="","",IF(A243&lt;=B$16,0,B$15/(B$17-B$16)))</f>
        <v/>
      </c>
      <c r="F243" s="156" t="str">
        <f t="shared" si="48"/>
        <v/>
      </c>
      <c r="G243" s="171" t="str">
        <f t="shared" si="49"/>
        <v/>
      </c>
      <c r="O243" s="93"/>
      <c r="P243" s="93"/>
      <c r="Q243" s="93"/>
      <c r="R243" s="93"/>
      <c r="S243" s="93"/>
      <c r="W243" t="str">
        <f t="shared" si="53"/>
        <v/>
      </c>
      <c r="X243" s="18" t="str">
        <f t="shared" si="54"/>
        <v/>
      </c>
      <c r="Y243" s="1" t="str">
        <f t="shared" si="57"/>
        <v/>
      </c>
      <c r="Z243" t="str">
        <f t="shared" si="55"/>
        <v/>
      </c>
      <c r="AA243" s="1" t="str">
        <f t="shared" si="56"/>
        <v/>
      </c>
    </row>
    <row r="244" spans="1:27" customFormat="1" x14ac:dyDescent="0.25">
      <c r="A244" s="68" t="str">
        <f t="shared" si="45"/>
        <v/>
      </c>
      <c r="B244" s="68" t="str">
        <f t="shared" si="46"/>
        <v/>
      </c>
      <c r="C244" s="156" t="str">
        <f t="shared" si="51"/>
        <v/>
      </c>
      <c r="D244" s="156" t="str">
        <f t="shared" si="50"/>
        <v/>
      </c>
      <c r="E244" s="162" t="str">
        <f t="shared" si="58"/>
        <v/>
      </c>
      <c r="F244" s="156" t="str">
        <f t="shared" si="48"/>
        <v/>
      </c>
      <c r="G244" s="171" t="str">
        <f t="shared" si="49"/>
        <v/>
      </c>
      <c r="O244" s="93"/>
      <c r="P244" s="93"/>
      <c r="Q244" s="93"/>
      <c r="R244" s="93"/>
      <c r="S244" s="93"/>
      <c r="W244" t="str">
        <f t="shared" si="53"/>
        <v/>
      </c>
      <c r="X244" s="18" t="str">
        <f t="shared" si="54"/>
        <v/>
      </c>
      <c r="Y244" s="1" t="str">
        <f t="shared" si="57"/>
        <v/>
      </c>
      <c r="Z244" t="str">
        <f t="shared" si="55"/>
        <v/>
      </c>
      <c r="AA244" s="1" t="str">
        <f t="shared" si="56"/>
        <v/>
      </c>
    </row>
    <row r="245" spans="1:27" customFormat="1" x14ac:dyDescent="0.25">
      <c r="A245" s="68" t="str">
        <f t="shared" si="45"/>
        <v/>
      </c>
      <c r="B245" s="68" t="str">
        <f t="shared" si="46"/>
        <v/>
      </c>
      <c r="C245" s="156" t="str">
        <f t="shared" si="51"/>
        <v/>
      </c>
      <c r="D245" s="156" t="str">
        <f t="shared" si="50"/>
        <v/>
      </c>
      <c r="E245" s="162" t="str">
        <f t="shared" si="58"/>
        <v/>
      </c>
      <c r="F245" s="156" t="str">
        <f t="shared" si="48"/>
        <v/>
      </c>
      <c r="G245" s="171" t="str">
        <f t="shared" si="49"/>
        <v/>
      </c>
      <c r="O245" s="93"/>
      <c r="P245" s="93"/>
      <c r="Q245" s="93"/>
      <c r="R245" s="93"/>
      <c r="S245" s="93"/>
      <c r="W245" t="str">
        <f t="shared" si="53"/>
        <v/>
      </c>
      <c r="X245" s="18" t="str">
        <f t="shared" si="54"/>
        <v/>
      </c>
      <c r="Y245" s="1" t="str">
        <f t="shared" si="57"/>
        <v/>
      </c>
      <c r="Z245" t="str">
        <f t="shared" si="55"/>
        <v/>
      </c>
      <c r="AA245" s="1" t="str">
        <f t="shared" si="56"/>
        <v/>
      </c>
    </row>
    <row r="246" spans="1:27" customFormat="1" x14ac:dyDescent="0.25">
      <c r="A246" s="68" t="str">
        <f t="shared" si="45"/>
        <v/>
      </c>
      <c r="B246" s="68" t="str">
        <f t="shared" si="46"/>
        <v/>
      </c>
      <c r="C246" s="156" t="str">
        <f t="shared" si="51"/>
        <v/>
      </c>
      <c r="D246" s="156" t="str">
        <f t="shared" si="50"/>
        <v/>
      </c>
      <c r="E246" s="162" t="str">
        <f t="shared" si="58"/>
        <v/>
      </c>
      <c r="F246" s="156" t="str">
        <f t="shared" si="48"/>
        <v/>
      </c>
      <c r="G246" s="171" t="str">
        <f t="shared" si="49"/>
        <v/>
      </c>
      <c r="O246" s="93"/>
      <c r="P246" s="93"/>
      <c r="Q246" s="93"/>
      <c r="R246" s="93"/>
      <c r="S246" s="93"/>
      <c r="W246" t="str">
        <f t="shared" si="53"/>
        <v/>
      </c>
      <c r="X246" s="18" t="str">
        <f t="shared" si="54"/>
        <v/>
      </c>
      <c r="Y246" s="1" t="str">
        <f t="shared" si="57"/>
        <v/>
      </c>
      <c r="Z246" t="str">
        <f t="shared" si="55"/>
        <v/>
      </c>
      <c r="AA246" s="1" t="str">
        <f t="shared" si="56"/>
        <v/>
      </c>
    </row>
    <row r="247" spans="1:27" customFormat="1" x14ac:dyDescent="0.25">
      <c r="A247" s="68" t="str">
        <f t="shared" si="45"/>
        <v/>
      </c>
      <c r="B247" s="68" t="str">
        <f t="shared" si="46"/>
        <v/>
      </c>
      <c r="C247" s="156" t="str">
        <f t="shared" si="51"/>
        <v/>
      </c>
      <c r="D247" s="156" t="str">
        <f t="shared" si="50"/>
        <v/>
      </c>
      <c r="E247" s="162" t="str">
        <f t="shared" si="58"/>
        <v/>
      </c>
      <c r="F247" s="156" t="str">
        <f t="shared" si="48"/>
        <v/>
      </c>
      <c r="G247" s="171" t="str">
        <f t="shared" si="49"/>
        <v/>
      </c>
      <c r="O247" s="93"/>
      <c r="P247" s="93"/>
      <c r="Q247" s="93"/>
      <c r="R247" s="93"/>
      <c r="S247" s="93"/>
      <c r="W247" t="str">
        <f t="shared" si="53"/>
        <v/>
      </c>
      <c r="X247" s="18" t="str">
        <f t="shared" si="54"/>
        <v/>
      </c>
      <c r="Y247" s="1" t="str">
        <f t="shared" si="57"/>
        <v/>
      </c>
      <c r="Z247" t="str">
        <f t="shared" si="55"/>
        <v/>
      </c>
      <c r="AA247" s="1" t="str">
        <f t="shared" si="56"/>
        <v/>
      </c>
    </row>
    <row r="248" spans="1:27" customFormat="1" x14ac:dyDescent="0.25">
      <c r="A248" s="68" t="str">
        <f t="shared" si="45"/>
        <v/>
      </c>
      <c r="B248" s="68" t="str">
        <f t="shared" si="46"/>
        <v/>
      </c>
      <c r="C248" s="156" t="str">
        <f t="shared" si="51"/>
        <v/>
      </c>
      <c r="D248" s="156" t="str">
        <f t="shared" si="50"/>
        <v/>
      </c>
      <c r="E248" s="162" t="str">
        <f t="shared" si="58"/>
        <v/>
      </c>
      <c r="F248" s="156" t="str">
        <f t="shared" si="48"/>
        <v/>
      </c>
      <c r="G248" s="171" t="str">
        <f t="shared" si="49"/>
        <v/>
      </c>
      <c r="O248" s="93"/>
      <c r="P248" s="93"/>
      <c r="Q248" s="93"/>
      <c r="R248" s="93"/>
      <c r="S248" s="93"/>
      <c r="W248" t="str">
        <f t="shared" si="53"/>
        <v/>
      </c>
      <c r="X248" s="18" t="str">
        <f t="shared" si="54"/>
        <v/>
      </c>
      <c r="Y248" s="1" t="str">
        <f t="shared" si="57"/>
        <v/>
      </c>
      <c r="Z248" t="str">
        <f t="shared" si="55"/>
        <v/>
      </c>
      <c r="AA248" s="1" t="str">
        <f t="shared" si="56"/>
        <v/>
      </c>
    </row>
    <row r="249" spans="1:27" customFormat="1" x14ac:dyDescent="0.25">
      <c r="A249" s="68" t="str">
        <f t="shared" si="45"/>
        <v/>
      </c>
      <c r="B249" s="68" t="str">
        <f t="shared" si="46"/>
        <v/>
      </c>
      <c r="C249" s="156" t="str">
        <f t="shared" si="51"/>
        <v/>
      </c>
      <c r="D249" s="156" t="str">
        <f t="shared" si="50"/>
        <v/>
      </c>
      <c r="E249" s="162" t="str">
        <f t="shared" si="58"/>
        <v/>
      </c>
      <c r="F249" s="156" t="str">
        <f t="shared" si="48"/>
        <v/>
      </c>
      <c r="G249" s="171" t="str">
        <f t="shared" si="49"/>
        <v/>
      </c>
      <c r="O249" s="93"/>
      <c r="P249" s="93"/>
      <c r="Q249" s="93"/>
      <c r="R249" s="93"/>
      <c r="S249" s="93"/>
      <c r="W249" t="str">
        <f t="shared" si="53"/>
        <v/>
      </c>
      <c r="X249" s="18" t="str">
        <f t="shared" si="54"/>
        <v/>
      </c>
      <c r="Y249" s="1" t="str">
        <f t="shared" si="57"/>
        <v/>
      </c>
      <c r="Z249" t="str">
        <f t="shared" si="55"/>
        <v/>
      </c>
      <c r="AA249" s="1" t="str">
        <f t="shared" si="56"/>
        <v/>
      </c>
    </row>
    <row r="250" spans="1:27" customFormat="1" x14ac:dyDescent="0.25">
      <c r="A250" s="68" t="str">
        <f t="shared" si="45"/>
        <v/>
      </c>
      <c r="B250" s="68" t="str">
        <f t="shared" si="46"/>
        <v/>
      </c>
      <c r="C250" s="156" t="str">
        <f t="shared" si="51"/>
        <v/>
      </c>
      <c r="D250" s="156" t="str">
        <f t="shared" si="50"/>
        <v/>
      </c>
      <c r="E250" s="162" t="str">
        <f t="shared" si="58"/>
        <v/>
      </c>
      <c r="F250" s="156" t="str">
        <f t="shared" si="48"/>
        <v/>
      </c>
      <c r="G250" s="171" t="str">
        <f t="shared" si="49"/>
        <v/>
      </c>
      <c r="O250" s="93"/>
      <c r="P250" s="93"/>
      <c r="Q250" s="93"/>
      <c r="R250" s="93"/>
      <c r="S250" s="93"/>
      <c r="W250" t="str">
        <f t="shared" si="53"/>
        <v/>
      </c>
      <c r="X250" s="18" t="str">
        <f t="shared" si="54"/>
        <v/>
      </c>
      <c r="Y250" s="1" t="str">
        <f t="shared" si="57"/>
        <v/>
      </c>
      <c r="Z250" t="str">
        <f t="shared" si="55"/>
        <v/>
      </c>
      <c r="AA250" s="1" t="str">
        <f t="shared" si="56"/>
        <v/>
      </c>
    </row>
    <row r="251" spans="1:27" customFormat="1" x14ac:dyDescent="0.25">
      <c r="A251" s="68" t="str">
        <f t="shared" si="45"/>
        <v/>
      </c>
      <c r="B251" s="68" t="str">
        <f t="shared" si="46"/>
        <v/>
      </c>
      <c r="C251" s="156" t="str">
        <f t="shared" si="51"/>
        <v/>
      </c>
      <c r="D251" s="156" t="str">
        <f t="shared" si="50"/>
        <v/>
      </c>
      <c r="E251" s="162" t="str">
        <f t="shared" si="58"/>
        <v/>
      </c>
      <c r="F251" s="156" t="str">
        <f t="shared" si="48"/>
        <v/>
      </c>
      <c r="G251" s="171" t="str">
        <f t="shared" si="49"/>
        <v/>
      </c>
      <c r="O251" s="93"/>
      <c r="P251" s="93"/>
      <c r="Q251" s="93"/>
      <c r="R251" s="93"/>
      <c r="S251" s="93"/>
      <c r="W251" t="str">
        <f t="shared" si="53"/>
        <v/>
      </c>
      <c r="X251" s="18" t="str">
        <f t="shared" si="54"/>
        <v/>
      </c>
      <c r="Y251" s="1" t="str">
        <f t="shared" si="57"/>
        <v/>
      </c>
      <c r="Z251" t="str">
        <f t="shared" si="55"/>
        <v/>
      </c>
      <c r="AA251" s="1" t="str">
        <f t="shared" si="56"/>
        <v/>
      </c>
    </row>
    <row r="252" spans="1:27" x14ac:dyDescent="0.25">
      <c r="A252" s="68" t="str">
        <f t="shared" si="45"/>
        <v/>
      </c>
      <c r="B252" s="68" t="str">
        <f t="shared" si="46"/>
        <v/>
      </c>
      <c r="C252" s="156" t="str">
        <f t="shared" si="51"/>
        <v/>
      </c>
      <c r="D252" s="156" t="str">
        <f t="shared" si="50"/>
        <v/>
      </c>
      <c r="E252" s="162" t="str">
        <f t="shared" si="58"/>
        <v/>
      </c>
      <c r="F252" s="156" t="str">
        <f t="shared" si="48"/>
        <v/>
      </c>
      <c r="G252" s="171" t="str">
        <f t="shared" si="49"/>
        <v/>
      </c>
      <c r="W252" s="2" t="str">
        <f t="shared" si="53"/>
        <v/>
      </c>
      <c r="X252" s="8" t="str">
        <f t="shared" si="54"/>
        <v/>
      </c>
      <c r="Y252" s="9" t="str">
        <f t="shared" si="57"/>
        <v/>
      </c>
      <c r="Z252" s="2" t="str">
        <f t="shared" si="55"/>
        <v/>
      </c>
      <c r="AA252" s="9" t="str">
        <f t="shared" si="56"/>
        <v/>
      </c>
    </row>
    <row r="253" spans="1:27" x14ac:dyDescent="0.25">
      <c r="A253" s="68" t="str">
        <f t="shared" si="45"/>
        <v/>
      </c>
      <c r="B253" s="68" t="str">
        <f t="shared" si="46"/>
        <v/>
      </c>
      <c r="C253" s="156" t="str">
        <f t="shared" si="51"/>
        <v/>
      </c>
      <c r="D253" s="156" t="str">
        <f t="shared" si="50"/>
        <v/>
      </c>
      <c r="E253" s="162" t="str">
        <f t="shared" si="58"/>
        <v/>
      </c>
      <c r="F253" s="156" t="str">
        <f t="shared" si="48"/>
        <v/>
      </c>
      <c r="G253" s="171" t="str">
        <f t="shared" si="49"/>
        <v/>
      </c>
      <c r="W253" s="2" t="str">
        <f t="shared" si="53"/>
        <v/>
      </c>
      <c r="X253" s="8" t="str">
        <f t="shared" si="54"/>
        <v/>
      </c>
      <c r="Y253" s="9" t="str">
        <f t="shared" si="57"/>
        <v/>
      </c>
      <c r="Z253" s="2" t="str">
        <f t="shared" si="55"/>
        <v/>
      </c>
      <c r="AA253" s="9" t="str">
        <f t="shared" si="56"/>
        <v/>
      </c>
    </row>
    <row r="254" spans="1:27" x14ac:dyDescent="0.25">
      <c r="A254" s="68" t="str">
        <f t="shared" si="45"/>
        <v/>
      </c>
      <c r="B254" s="68" t="str">
        <f t="shared" si="46"/>
        <v/>
      </c>
      <c r="C254" s="156" t="str">
        <f t="shared" si="51"/>
        <v/>
      </c>
      <c r="D254" s="156" t="str">
        <f t="shared" si="50"/>
        <v/>
      </c>
      <c r="E254" s="162" t="str">
        <f t="shared" si="58"/>
        <v/>
      </c>
      <c r="F254" s="156" t="str">
        <f t="shared" si="48"/>
        <v/>
      </c>
      <c r="G254" s="171" t="str">
        <f t="shared" si="49"/>
        <v/>
      </c>
      <c r="W254" s="2" t="str">
        <f t="shared" si="53"/>
        <v/>
      </c>
      <c r="X254" s="8" t="str">
        <f t="shared" si="54"/>
        <v/>
      </c>
      <c r="Y254" s="9" t="str">
        <f t="shared" si="57"/>
        <v/>
      </c>
      <c r="Z254" s="2" t="str">
        <f t="shared" si="55"/>
        <v/>
      </c>
      <c r="AA254" s="9" t="str">
        <f t="shared" si="56"/>
        <v/>
      </c>
    </row>
    <row r="255" spans="1:27" x14ac:dyDescent="0.25">
      <c r="A255" s="68" t="str">
        <f t="shared" si="45"/>
        <v/>
      </c>
      <c r="B255" s="68" t="str">
        <f t="shared" si="46"/>
        <v/>
      </c>
      <c r="C255" s="156" t="str">
        <f t="shared" si="51"/>
        <v/>
      </c>
      <c r="D255" s="156" t="str">
        <f t="shared" si="50"/>
        <v/>
      </c>
      <c r="E255" s="162" t="str">
        <f t="shared" si="58"/>
        <v/>
      </c>
      <c r="F255" s="156" t="str">
        <f t="shared" si="48"/>
        <v/>
      </c>
      <c r="G255" s="171" t="str">
        <f t="shared" si="49"/>
        <v/>
      </c>
      <c r="W255" s="2" t="str">
        <f t="shared" si="53"/>
        <v/>
      </c>
      <c r="X255" s="8" t="str">
        <f t="shared" si="54"/>
        <v/>
      </c>
      <c r="Y255" s="9" t="str">
        <f t="shared" si="57"/>
        <v/>
      </c>
      <c r="Z255" s="2" t="str">
        <f t="shared" si="55"/>
        <v/>
      </c>
      <c r="AA255" s="9" t="str">
        <f t="shared" si="56"/>
        <v/>
      </c>
    </row>
    <row r="256" spans="1:27" x14ac:dyDescent="0.25">
      <c r="A256" s="68" t="str">
        <f t="shared" si="45"/>
        <v/>
      </c>
      <c r="B256" s="68" t="str">
        <f t="shared" si="46"/>
        <v/>
      </c>
      <c r="C256" s="156" t="str">
        <f t="shared" si="51"/>
        <v/>
      </c>
      <c r="D256" s="156" t="str">
        <f t="shared" si="50"/>
        <v/>
      </c>
      <c r="E256" s="162" t="str">
        <f t="shared" si="58"/>
        <v/>
      </c>
      <c r="F256" s="156" t="str">
        <f t="shared" si="48"/>
        <v/>
      </c>
      <c r="G256" s="171" t="str">
        <f t="shared" si="49"/>
        <v/>
      </c>
      <c r="W256" s="2" t="str">
        <f t="shared" si="53"/>
        <v/>
      </c>
      <c r="X256" s="8" t="str">
        <f t="shared" si="54"/>
        <v/>
      </c>
      <c r="Y256" s="9" t="str">
        <f t="shared" si="57"/>
        <v/>
      </c>
      <c r="Z256" s="2" t="str">
        <f t="shared" si="55"/>
        <v/>
      </c>
      <c r="AA256" s="9" t="str">
        <f t="shared" si="56"/>
        <v/>
      </c>
    </row>
    <row r="257" spans="1:27" x14ac:dyDescent="0.25">
      <c r="A257" s="68" t="str">
        <f t="shared" si="45"/>
        <v/>
      </c>
      <c r="B257" s="68" t="str">
        <f t="shared" si="46"/>
        <v/>
      </c>
      <c r="C257" s="156" t="str">
        <f t="shared" si="51"/>
        <v/>
      </c>
      <c r="D257" s="156" t="str">
        <f t="shared" si="50"/>
        <v/>
      </c>
      <c r="E257" s="162" t="str">
        <f t="shared" si="58"/>
        <v/>
      </c>
      <c r="F257" s="156" t="str">
        <f t="shared" si="48"/>
        <v/>
      </c>
      <c r="G257" s="171" t="str">
        <f t="shared" si="49"/>
        <v/>
      </c>
      <c r="W257" s="2" t="str">
        <f t="shared" si="53"/>
        <v/>
      </c>
      <c r="X257" s="8" t="str">
        <f t="shared" si="54"/>
        <v/>
      </c>
      <c r="Y257" s="9" t="str">
        <f t="shared" si="57"/>
        <v/>
      </c>
      <c r="Z257" s="2" t="str">
        <f t="shared" si="55"/>
        <v/>
      </c>
      <c r="AA257" s="9" t="str">
        <f t="shared" si="56"/>
        <v/>
      </c>
    </row>
    <row r="258" spans="1:27" x14ac:dyDescent="0.25">
      <c r="A258" s="68" t="str">
        <f t="shared" si="45"/>
        <v/>
      </c>
      <c r="B258" s="68" t="str">
        <f t="shared" si="46"/>
        <v/>
      </c>
      <c r="C258" s="156" t="str">
        <f t="shared" si="51"/>
        <v/>
      </c>
      <c r="D258" s="156" t="str">
        <f t="shared" si="50"/>
        <v/>
      </c>
      <c r="E258" s="162" t="str">
        <f t="shared" si="58"/>
        <v/>
      </c>
      <c r="F258" s="156" t="str">
        <f t="shared" si="48"/>
        <v/>
      </c>
      <c r="G258" s="171" t="str">
        <f t="shared" si="49"/>
        <v/>
      </c>
      <c r="W258" s="2" t="str">
        <f t="shared" si="53"/>
        <v/>
      </c>
      <c r="X258" s="8" t="str">
        <f t="shared" si="54"/>
        <v/>
      </c>
      <c r="Y258" s="9" t="str">
        <f t="shared" ref="Y258:Y321" si="59">IF(X258="","",D251)</f>
        <v/>
      </c>
      <c r="Z258" s="2" t="str">
        <f t="shared" si="55"/>
        <v/>
      </c>
      <c r="AA258" s="9" t="str">
        <f t="shared" si="56"/>
        <v/>
      </c>
    </row>
    <row r="259" spans="1:27" x14ac:dyDescent="0.25">
      <c r="A259" s="68" t="str">
        <f t="shared" si="45"/>
        <v/>
      </c>
      <c r="B259" s="68" t="str">
        <f t="shared" si="46"/>
        <v/>
      </c>
      <c r="C259" s="156" t="str">
        <f t="shared" si="51"/>
        <v/>
      </c>
      <c r="D259" s="156" t="str">
        <f t="shared" si="50"/>
        <v/>
      </c>
      <c r="E259" s="162" t="str">
        <f t="shared" si="58"/>
        <v/>
      </c>
      <c r="F259" s="156" t="str">
        <f t="shared" si="48"/>
        <v/>
      </c>
      <c r="G259" s="171" t="str">
        <f t="shared" si="49"/>
        <v/>
      </c>
      <c r="W259" s="2" t="str">
        <f t="shared" si="53"/>
        <v/>
      </c>
      <c r="X259" s="8" t="str">
        <f t="shared" si="54"/>
        <v/>
      </c>
      <c r="Y259" s="9" t="str">
        <f t="shared" si="59"/>
        <v/>
      </c>
      <c r="Z259" s="2" t="str">
        <f t="shared" si="55"/>
        <v/>
      </c>
      <c r="AA259" s="9" t="str">
        <f t="shared" si="56"/>
        <v/>
      </c>
    </row>
    <row r="260" spans="1:27" x14ac:dyDescent="0.25">
      <c r="A260" s="68" t="str">
        <f t="shared" si="45"/>
        <v/>
      </c>
      <c r="B260" s="68" t="str">
        <f t="shared" si="46"/>
        <v/>
      </c>
      <c r="C260" s="156" t="str">
        <f t="shared" si="51"/>
        <v/>
      </c>
      <c r="D260" s="156" t="str">
        <f t="shared" si="50"/>
        <v/>
      </c>
      <c r="E260" s="162" t="str">
        <f t="shared" si="58"/>
        <v/>
      </c>
      <c r="F260" s="156" t="str">
        <f t="shared" si="48"/>
        <v/>
      </c>
      <c r="G260" s="171" t="str">
        <f t="shared" si="49"/>
        <v/>
      </c>
      <c r="W260" s="2" t="str">
        <f t="shared" si="53"/>
        <v/>
      </c>
      <c r="X260" s="8" t="str">
        <f t="shared" si="54"/>
        <v/>
      </c>
      <c r="Y260" s="9" t="str">
        <f t="shared" si="59"/>
        <v/>
      </c>
      <c r="Z260" s="2" t="str">
        <f t="shared" si="55"/>
        <v/>
      </c>
      <c r="AA260" s="9" t="str">
        <f t="shared" si="56"/>
        <v/>
      </c>
    </row>
    <row r="261" spans="1:27" x14ac:dyDescent="0.25">
      <c r="A261" s="68" t="str">
        <f t="shared" si="45"/>
        <v/>
      </c>
      <c r="B261" s="68" t="str">
        <f t="shared" si="46"/>
        <v/>
      </c>
      <c r="C261" s="156" t="str">
        <f t="shared" si="51"/>
        <v/>
      </c>
      <c r="D261" s="156" t="str">
        <f t="shared" si="50"/>
        <v/>
      </c>
      <c r="E261" s="162" t="str">
        <f t="shared" si="58"/>
        <v/>
      </c>
      <c r="F261" s="156" t="str">
        <f t="shared" si="48"/>
        <v/>
      </c>
      <c r="G261" s="171" t="str">
        <f t="shared" si="49"/>
        <v/>
      </c>
      <c r="W261" s="2" t="str">
        <f t="shared" si="53"/>
        <v/>
      </c>
      <c r="X261" s="8" t="str">
        <f t="shared" si="54"/>
        <v/>
      </c>
      <c r="Y261" s="9" t="str">
        <f t="shared" si="59"/>
        <v/>
      </c>
      <c r="Z261" s="2" t="str">
        <f t="shared" si="55"/>
        <v/>
      </c>
      <c r="AA261" s="9" t="str">
        <f t="shared" si="56"/>
        <v/>
      </c>
    </row>
    <row r="262" spans="1:27" x14ac:dyDescent="0.25">
      <c r="A262" s="68" t="str">
        <f t="shared" si="45"/>
        <v/>
      </c>
      <c r="B262" s="68" t="str">
        <f t="shared" si="46"/>
        <v/>
      </c>
      <c r="C262" s="156" t="str">
        <f t="shared" si="51"/>
        <v/>
      </c>
      <c r="D262" s="156" t="str">
        <f t="shared" si="50"/>
        <v/>
      </c>
      <c r="E262" s="162" t="str">
        <f t="shared" si="58"/>
        <v/>
      </c>
      <c r="F262" s="156" t="str">
        <f t="shared" si="48"/>
        <v/>
      </c>
      <c r="G262" s="171" t="str">
        <f t="shared" si="49"/>
        <v/>
      </c>
      <c r="W262" s="2" t="str">
        <f t="shared" si="53"/>
        <v/>
      </c>
      <c r="X262" s="8" t="str">
        <f t="shared" si="54"/>
        <v/>
      </c>
      <c r="Y262" s="9" t="str">
        <f t="shared" si="59"/>
        <v/>
      </c>
      <c r="Z262" s="2" t="str">
        <f t="shared" si="55"/>
        <v/>
      </c>
      <c r="AA262" s="9" t="str">
        <f t="shared" si="56"/>
        <v/>
      </c>
    </row>
    <row r="263" spans="1:27" x14ac:dyDescent="0.25">
      <c r="A263" s="68" t="str">
        <f t="shared" si="45"/>
        <v/>
      </c>
      <c r="B263" s="68" t="str">
        <f t="shared" si="46"/>
        <v/>
      </c>
      <c r="C263" s="156" t="str">
        <f t="shared" si="51"/>
        <v/>
      </c>
      <c r="D263" s="156" t="str">
        <f t="shared" si="50"/>
        <v/>
      </c>
      <c r="E263" s="162" t="str">
        <f t="shared" si="58"/>
        <v/>
      </c>
      <c r="F263" s="156" t="str">
        <f t="shared" si="48"/>
        <v/>
      </c>
      <c r="G263" s="171" t="str">
        <f t="shared" si="49"/>
        <v/>
      </c>
      <c r="W263" s="2" t="str">
        <f t="shared" si="53"/>
        <v/>
      </c>
      <c r="X263" s="8" t="str">
        <f t="shared" si="54"/>
        <v/>
      </c>
      <c r="Y263" s="9" t="str">
        <f t="shared" si="59"/>
        <v/>
      </c>
      <c r="Z263" s="2" t="str">
        <f t="shared" si="55"/>
        <v/>
      </c>
      <c r="AA263" s="9" t="str">
        <f t="shared" si="56"/>
        <v/>
      </c>
    </row>
    <row r="264" spans="1:27" x14ac:dyDescent="0.25">
      <c r="A264" s="68"/>
      <c r="B264" s="68"/>
      <c r="C264" s="156"/>
      <c r="D264" s="156"/>
      <c r="E264" s="162"/>
      <c r="F264" s="156"/>
      <c r="G264" s="171"/>
      <c r="W264" s="2" t="str">
        <f t="shared" si="53"/>
        <v/>
      </c>
      <c r="X264" s="8" t="str">
        <f t="shared" si="54"/>
        <v/>
      </c>
      <c r="Y264" s="9" t="str">
        <f t="shared" si="59"/>
        <v/>
      </c>
      <c r="Z264" s="2" t="str">
        <f t="shared" si="55"/>
        <v/>
      </c>
      <c r="AA264" s="9" t="str">
        <f t="shared" si="56"/>
        <v/>
      </c>
    </row>
    <row r="265" spans="1:27" x14ac:dyDescent="0.25">
      <c r="A265" s="73"/>
      <c r="C265" s="172"/>
      <c r="D265" s="172"/>
      <c r="E265" s="172"/>
      <c r="F265" s="172"/>
      <c r="G265" s="172"/>
      <c r="W265" s="2" t="str">
        <f t="shared" si="53"/>
        <v/>
      </c>
      <c r="X265" s="8" t="str">
        <f t="shared" si="54"/>
        <v/>
      </c>
      <c r="Y265" s="9" t="str">
        <f t="shared" si="59"/>
        <v/>
      </c>
      <c r="Z265" s="2" t="str">
        <f t="shared" si="55"/>
        <v/>
      </c>
      <c r="AA265" s="9" t="str">
        <f t="shared" si="56"/>
        <v/>
      </c>
    </row>
    <row r="266" spans="1:27" x14ac:dyDescent="0.25">
      <c r="A266" s="73"/>
      <c r="C266" s="172"/>
      <c r="D266" s="172"/>
      <c r="E266" s="172"/>
      <c r="F266" s="172"/>
      <c r="G266" s="172"/>
      <c r="W266" s="2" t="str">
        <f t="shared" si="53"/>
        <v/>
      </c>
      <c r="X266" s="8" t="str">
        <f t="shared" si="54"/>
        <v/>
      </c>
      <c r="Y266" s="9" t="str">
        <f t="shared" si="59"/>
        <v/>
      </c>
      <c r="Z266" s="2" t="str">
        <f t="shared" si="55"/>
        <v/>
      </c>
      <c r="AA266" s="9" t="str">
        <f t="shared" si="56"/>
        <v/>
      </c>
    </row>
    <row r="267" spans="1:27" x14ac:dyDescent="0.25">
      <c r="A267" s="73"/>
      <c r="C267" s="172"/>
      <c r="D267" s="172"/>
      <c r="E267" s="172"/>
      <c r="F267" s="172"/>
      <c r="G267" s="172"/>
      <c r="W267" s="2" t="str">
        <f t="shared" si="53"/>
        <v/>
      </c>
      <c r="X267" s="8" t="str">
        <f t="shared" si="54"/>
        <v/>
      </c>
      <c r="Y267" s="9" t="str">
        <f t="shared" si="59"/>
        <v/>
      </c>
      <c r="Z267" s="2" t="str">
        <f t="shared" si="55"/>
        <v/>
      </c>
      <c r="AA267" s="9" t="str">
        <f t="shared" si="56"/>
        <v/>
      </c>
    </row>
    <row r="268" spans="1:27" x14ac:dyDescent="0.25">
      <c r="A268" s="73"/>
      <c r="C268" s="172"/>
      <c r="D268" s="172"/>
      <c r="E268" s="172"/>
      <c r="F268" s="172"/>
      <c r="G268" s="172"/>
      <c r="W268" s="2" t="str">
        <f t="shared" si="53"/>
        <v/>
      </c>
      <c r="X268" s="8" t="str">
        <f t="shared" si="54"/>
        <v/>
      </c>
      <c r="Y268" s="9" t="str">
        <f t="shared" si="59"/>
        <v/>
      </c>
      <c r="Z268" s="2" t="str">
        <f t="shared" si="55"/>
        <v/>
      </c>
      <c r="AA268" s="9" t="str">
        <f t="shared" si="56"/>
        <v/>
      </c>
    </row>
    <row r="269" spans="1:27" x14ac:dyDescent="0.25">
      <c r="A269" s="73"/>
      <c r="C269" s="172"/>
      <c r="D269" s="172"/>
      <c r="E269" s="172"/>
      <c r="F269" s="172"/>
      <c r="G269" s="172"/>
      <c r="W269" s="2" t="str">
        <f t="shared" si="53"/>
        <v/>
      </c>
      <c r="X269" s="8" t="str">
        <f t="shared" si="54"/>
        <v/>
      </c>
      <c r="Y269" s="9" t="str">
        <f t="shared" si="59"/>
        <v/>
      </c>
      <c r="Z269" s="2" t="str">
        <f t="shared" si="55"/>
        <v/>
      </c>
      <c r="AA269" s="9" t="str">
        <f t="shared" si="56"/>
        <v/>
      </c>
    </row>
    <row r="270" spans="1:27" x14ac:dyDescent="0.25">
      <c r="A270" s="73"/>
      <c r="C270" s="172"/>
      <c r="D270" s="172"/>
      <c r="E270" s="172"/>
      <c r="F270" s="172"/>
      <c r="G270" s="172"/>
      <c r="W270" s="2" t="str">
        <f t="shared" si="53"/>
        <v/>
      </c>
      <c r="X270" s="8" t="str">
        <f t="shared" si="54"/>
        <v/>
      </c>
      <c r="Y270" s="9" t="str">
        <f t="shared" si="59"/>
        <v/>
      </c>
      <c r="Z270" s="2" t="str">
        <f t="shared" si="55"/>
        <v/>
      </c>
      <c r="AA270" s="9" t="str">
        <f t="shared" si="56"/>
        <v/>
      </c>
    </row>
    <row r="271" spans="1:27" x14ac:dyDescent="0.25">
      <c r="A271" s="73"/>
      <c r="C271" s="172"/>
      <c r="D271" s="172"/>
      <c r="E271" s="172"/>
      <c r="F271" s="172"/>
      <c r="G271" s="172"/>
      <c r="W271" s="2" t="str">
        <f t="shared" si="53"/>
        <v/>
      </c>
      <c r="X271" s="8" t="str">
        <f t="shared" si="54"/>
        <v/>
      </c>
      <c r="Y271" s="9" t="str">
        <f t="shared" si="59"/>
        <v/>
      </c>
      <c r="Z271" s="2" t="str">
        <f t="shared" si="55"/>
        <v/>
      </c>
      <c r="AA271" s="9" t="str">
        <f t="shared" si="56"/>
        <v/>
      </c>
    </row>
    <row r="272" spans="1:27" x14ac:dyDescent="0.25">
      <c r="A272" s="73"/>
      <c r="C272" s="172"/>
      <c r="D272" s="172"/>
      <c r="E272" s="172"/>
      <c r="F272" s="172"/>
      <c r="G272" s="172"/>
      <c r="W272" s="2" t="str">
        <f t="shared" si="53"/>
        <v/>
      </c>
      <c r="X272" s="8" t="str">
        <f t="shared" si="54"/>
        <v/>
      </c>
      <c r="Y272" s="9" t="str">
        <f t="shared" si="59"/>
        <v/>
      </c>
      <c r="Z272" s="2" t="str">
        <f t="shared" si="55"/>
        <v/>
      </c>
      <c r="AA272" s="9" t="str">
        <f t="shared" si="56"/>
        <v/>
      </c>
    </row>
    <row r="273" spans="1:27" x14ac:dyDescent="0.25">
      <c r="A273" s="73"/>
      <c r="C273" s="172"/>
      <c r="D273" s="172"/>
      <c r="E273" s="172"/>
      <c r="F273" s="172"/>
      <c r="G273" s="172"/>
      <c r="W273" s="2" t="str">
        <f t="shared" si="53"/>
        <v/>
      </c>
      <c r="X273" s="8" t="str">
        <f t="shared" si="54"/>
        <v/>
      </c>
      <c r="Y273" s="9" t="str">
        <f t="shared" si="59"/>
        <v/>
      </c>
      <c r="Z273" s="2" t="str">
        <f t="shared" si="55"/>
        <v/>
      </c>
      <c r="AA273" s="9" t="str">
        <f t="shared" si="56"/>
        <v/>
      </c>
    </row>
    <row r="274" spans="1:27" x14ac:dyDescent="0.25">
      <c r="A274" s="73"/>
      <c r="C274" s="172"/>
      <c r="D274" s="172"/>
      <c r="E274" s="172"/>
      <c r="F274" s="172"/>
      <c r="G274" s="172"/>
      <c r="W274" s="2" t="str">
        <f t="shared" si="53"/>
        <v/>
      </c>
      <c r="X274" s="8" t="str">
        <f t="shared" si="54"/>
        <v/>
      </c>
      <c r="Y274" s="9" t="str">
        <f t="shared" si="59"/>
        <v/>
      </c>
      <c r="Z274" s="2" t="str">
        <f t="shared" si="55"/>
        <v/>
      </c>
      <c r="AA274" s="9" t="str">
        <f t="shared" si="56"/>
        <v/>
      </c>
    </row>
    <row r="275" spans="1:27" x14ac:dyDescent="0.25">
      <c r="A275" s="73"/>
      <c r="C275" s="172"/>
      <c r="D275" s="172"/>
      <c r="E275" s="172"/>
      <c r="F275" s="172"/>
      <c r="G275" s="172"/>
      <c r="W275" s="2" t="str">
        <f t="shared" si="53"/>
        <v/>
      </c>
      <c r="X275" s="8" t="str">
        <f t="shared" si="54"/>
        <v/>
      </c>
      <c r="Y275" s="9" t="str">
        <f t="shared" si="59"/>
        <v/>
      </c>
      <c r="Z275" s="2" t="str">
        <f t="shared" si="55"/>
        <v/>
      </c>
      <c r="AA275" s="9" t="str">
        <f t="shared" si="56"/>
        <v/>
      </c>
    </row>
    <row r="276" spans="1:27" x14ac:dyDescent="0.25">
      <c r="A276" s="73"/>
      <c r="C276" s="172"/>
      <c r="D276" s="172"/>
      <c r="E276" s="172"/>
      <c r="F276" s="172"/>
      <c r="G276" s="172"/>
      <c r="W276" s="2" t="str">
        <f t="shared" si="53"/>
        <v/>
      </c>
      <c r="X276" s="8" t="str">
        <f t="shared" si="54"/>
        <v/>
      </c>
      <c r="Y276" s="9" t="str">
        <f t="shared" si="59"/>
        <v/>
      </c>
      <c r="Z276" s="2" t="str">
        <f t="shared" si="55"/>
        <v/>
      </c>
      <c r="AA276" s="9" t="str">
        <f t="shared" si="56"/>
        <v/>
      </c>
    </row>
    <row r="277" spans="1:27" x14ac:dyDescent="0.25">
      <c r="C277" s="172"/>
      <c r="D277" s="172"/>
      <c r="E277" s="172"/>
      <c r="F277" s="172"/>
      <c r="G277" s="172"/>
      <c r="W277" s="2" t="str">
        <f t="shared" si="53"/>
        <v/>
      </c>
      <c r="X277" s="8" t="str">
        <f t="shared" si="54"/>
        <v/>
      </c>
      <c r="Y277" s="9" t="str">
        <f t="shared" si="59"/>
        <v/>
      </c>
      <c r="Z277" s="2" t="str">
        <f t="shared" si="55"/>
        <v/>
      </c>
      <c r="AA277" s="9" t="str">
        <f t="shared" si="56"/>
        <v/>
      </c>
    </row>
    <row r="278" spans="1:27" x14ac:dyDescent="0.25">
      <c r="C278" s="172"/>
      <c r="D278" s="172"/>
      <c r="E278" s="172"/>
      <c r="F278" s="172"/>
      <c r="G278" s="172"/>
      <c r="W278" s="2" t="str">
        <f t="shared" si="53"/>
        <v/>
      </c>
      <c r="X278" s="8" t="str">
        <f t="shared" si="54"/>
        <v/>
      </c>
      <c r="Y278" s="9" t="str">
        <f t="shared" si="59"/>
        <v/>
      </c>
      <c r="Z278" s="2" t="str">
        <f t="shared" si="55"/>
        <v/>
      </c>
      <c r="AA278" s="9" t="str">
        <f t="shared" si="56"/>
        <v/>
      </c>
    </row>
    <row r="279" spans="1:27" x14ac:dyDescent="0.25">
      <c r="C279" s="172"/>
      <c r="D279" s="172"/>
      <c r="E279" s="172"/>
      <c r="F279" s="172"/>
      <c r="G279" s="172"/>
      <c r="W279" s="2" t="str">
        <f t="shared" si="53"/>
        <v/>
      </c>
      <c r="X279" s="8" t="str">
        <f t="shared" si="54"/>
        <v/>
      </c>
      <c r="Y279" s="9" t="str">
        <f t="shared" si="59"/>
        <v/>
      </c>
      <c r="Z279" s="2" t="str">
        <f t="shared" si="55"/>
        <v/>
      </c>
      <c r="AA279" s="9" t="str">
        <f t="shared" si="56"/>
        <v/>
      </c>
    </row>
    <row r="280" spans="1:27" x14ac:dyDescent="0.25">
      <c r="C280" s="172"/>
      <c r="D280" s="172"/>
      <c r="E280" s="172"/>
      <c r="F280" s="172"/>
      <c r="G280" s="172"/>
      <c r="W280" s="2" t="str">
        <f t="shared" si="53"/>
        <v/>
      </c>
      <c r="X280" s="8" t="str">
        <f t="shared" si="54"/>
        <v/>
      </c>
      <c r="Y280" s="9" t="str">
        <f t="shared" si="59"/>
        <v/>
      </c>
      <c r="Z280" s="2" t="str">
        <f t="shared" si="55"/>
        <v/>
      </c>
      <c r="AA280" s="9" t="str">
        <f t="shared" si="56"/>
        <v/>
      </c>
    </row>
    <row r="281" spans="1:27" x14ac:dyDescent="0.25">
      <c r="C281" s="172"/>
      <c r="D281" s="172"/>
      <c r="E281" s="172"/>
      <c r="F281" s="172"/>
      <c r="G281" s="172"/>
      <c r="W281" s="2" t="str">
        <f t="shared" si="53"/>
        <v/>
      </c>
      <c r="X281" s="8" t="str">
        <f t="shared" si="54"/>
        <v/>
      </c>
      <c r="Y281" s="9" t="str">
        <f t="shared" si="59"/>
        <v/>
      </c>
      <c r="Z281" s="2" t="str">
        <f t="shared" si="55"/>
        <v/>
      </c>
      <c r="AA281" s="9" t="str">
        <f t="shared" si="56"/>
        <v/>
      </c>
    </row>
    <row r="282" spans="1:27" x14ac:dyDescent="0.25">
      <c r="C282" s="172"/>
      <c r="D282" s="172"/>
      <c r="E282" s="172"/>
      <c r="F282" s="172"/>
      <c r="G282" s="172"/>
      <c r="W282" s="2" t="str">
        <f t="shared" si="53"/>
        <v/>
      </c>
      <c r="X282" s="8" t="str">
        <f t="shared" si="54"/>
        <v/>
      </c>
      <c r="Y282" s="9" t="str">
        <f t="shared" si="59"/>
        <v/>
      </c>
      <c r="Z282" s="2" t="str">
        <f t="shared" si="55"/>
        <v/>
      </c>
      <c r="AA282" s="9" t="str">
        <f t="shared" si="56"/>
        <v/>
      </c>
    </row>
    <row r="283" spans="1:27" x14ac:dyDescent="0.25">
      <c r="C283" s="172"/>
      <c r="D283" s="172"/>
      <c r="E283" s="172"/>
      <c r="F283" s="172"/>
      <c r="G283" s="172"/>
      <c r="W283" s="2" t="str">
        <f t="shared" si="53"/>
        <v/>
      </c>
      <c r="X283" s="8" t="str">
        <f t="shared" si="54"/>
        <v/>
      </c>
      <c r="Y283" s="9" t="str">
        <f t="shared" si="59"/>
        <v/>
      </c>
      <c r="Z283" s="2" t="str">
        <f t="shared" si="55"/>
        <v/>
      </c>
      <c r="AA283" s="9" t="str">
        <f t="shared" si="56"/>
        <v/>
      </c>
    </row>
    <row r="284" spans="1:27" x14ac:dyDescent="0.25">
      <c r="C284" s="172"/>
      <c r="D284" s="172"/>
      <c r="E284" s="172"/>
      <c r="F284" s="172"/>
      <c r="G284" s="172"/>
      <c r="W284" s="2" t="str">
        <f t="shared" si="53"/>
        <v/>
      </c>
      <c r="X284" s="8" t="str">
        <f t="shared" si="54"/>
        <v/>
      </c>
      <c r="Y284" s="9" t="str">
        <f t="shared" si="59"/>
        <v/>
      </c>
      <c r="Z284" s="2" t="str">
        <f t="shared" si="55"/>
        <v/>
      </c>
      <c r="AA284" s="9" t="str">
        <f t="shared" si="56"/>
        <v/>
      </c>
    </row>
    <row r="285" spans="1:27" x14ac:dyDescent="0.25">
      <c r="C285" s="172"/>
      <c r="D285" s="172"/>
      <c r="E285" s="172"/>
      <c r="F285" s="172"/>
      <c r="G285" s="172"/>
      <c r="W285" s="2" t="str">
        <f t="shared" si="53"/>
        <v/>
      </c>
      <c r="X285" s="8" t="str">
        <f t="shared" si="54"/>
        <v/>
      </c>
      <c r="Y285" s="9" t="str">
        <f t="shared" si="59"/>
        <v/>
      </c>
      <c r="Z285" s="2" t="str">
        <f t="shared" si="55"/>
        <v/>
      </c>
      <c r="AA285" s="9" t="str">
        <f t="shared" si="56"/>
        <v/>
      </c>
    </row>
    <row r="286" spans="1:27" x14ac:dyDescent="0.25">
      <c r="C286" s="172"/>
      <c r="D286" s="172"/>
      <c r="E286" s="172"/>
      <c r="F286" s="172"/>
      <c r="G286" s="172"/>
      <c r="W286" s="2" t="str">
        <f t="shared" si="53"/>
        <v/>
      </c>
      <c r="X286" s="8" t="str">
        <f t="shared" si="54"/>
        <v/>
      </c>
      <c r="Y286" s="9" t="str">
        <f t="shared" si="59"/>
        <v/>
      </c>
      <c r="Z286" s="2" t="str">
        <f t="shared" si="55"/>
        <v/>
      </c>
      <c r="AA286" s="9" t="str">
        <f t="shared" si="56"/>
        <v/>
      </c>
    </row>
    <row r="287" spans="1:27" x14ac:dyDescent="0.25">
      <c r="C287" s="172"/>
      <c r="D287" s="172"/>
      <c r="E287" s="172"/>
      <c r="F287" s="172"/>
      <c r="G287" s="172"/>
      <c r="W287" s="2" t="str">
        <f t="shared" si="53"/>
        <v/>
      </c>
      <c r="X287" s="8" t="str">
        <f t="shared" si="54"/>
        <v/>
      </c>
      <c r="Y287" s="9" t="str">
        <f t="shared" si="59"/>
        <v/>
      </c>
      <c r="Z287" s="2" t="str">
        <f t="shared" si="55"/>
        <v/>
      </c>
      <c r="AA287" s="9" t="str">
        <f t="shared" si="56"/>
        <v/>
      </c>
    </row>
    <row r="288" spans="1:27" x14ac:dyDescent="0.25">
      <c r="C288" s="172"/>
      <c r="D288" s="172"/>
      <c r="E288" s="172"/>
      <c r="F288" s="172"/>
      <c r="G288" s="172"/>
      <c r="W288" s="2" t="str">
        <f t="shared" ref="W288:W351" si="60">IF(W287&lt;B$17,W287+1,"")</f>
        <v/>
      </c>
      <c r="X288" s="8" t="str">
        <f t="shared" ref="X288:X351" si="61">IF(W288="","",X287+30)</f>
        <v/>
      </c>
      <c r="Y288" s="9" t="str">
        <f t="shared" si="59"/>
        <v/>
      </c>
      <c r="Z288" s="2" t="str">
        <f t="shared" ref="Z288:Z351" si="62">IF(Y288="","",X288-X$30)</f>
        <v/>
      </c>
      <c r="AA288" s="9" t="str">
        <f t="shared" ref="AA288:AA351" si="63">IF(Z288="","",IF(Z288&lt;365,Z288*Y288*Y$26,365*Y288*Y$26))</f>
        <v/>
      </c>
    </row>
    <row r="289" spans="3:27" x14ac:dyDescent="0.25">
      <c r="C289" s="172"/>
      <c r="D289" s="172"/>
      <c r="E289" s="172"/>
      <c r="F289" s="172"/>
      <c r="G289" s="172"/>
      <c r="W289" s="2" t="str">
        <f t="shared" si="60"/>
        <v/>
      </c>
      <c r="X289" s="8" t="str">
        <f t="shared" si="61"/>
        <v/>
      </c>
      <c r="Y289" s="9" t="str">
        <f t="shared" si="59"/>
        <v/>
      </c>
      <c r="Z289" s="2" t="str">
        <f t="shared" si="62"/>
        <v/>
      </c>
      <c r="AA289" s="9" t="str">
        <f t="shared" si="63"/>
        <v/>
      </c>
    </row>
    <row r="290" spans="3:27" x14ac:dyDescent="0.25">
      <c r="C290" s="172"/>
      <c r="D290" s="172"/>
      <c r="E290" s="172"/>
      <c r="F290" s="172"/>
      <c r="G290" s="172"/>
      <c r="W290" s="2" t="str">
        <f t="shared" si="60"/>
        <v/>
      </c>
      <c r="X290" s="8" t="str">
        <f t="shared" si="61"/>
        <v/>
      </c>
      <c r="Y290" s="9" t="str">
        <f t="shared" si="59"/>
        <v/>
      </c>
      <c r="Z290" s="2" t="str">
        <f t="shared" si="62"/>
        <v/>
      </c>
      <c r="AA290" s="9" t="str">
        <f t="shared" si="63"/>
        <v/>
      </c>
    </row>
    <row r="291" spans="3:27" x14ac:dyDescent="0.25">
      <c r="C291" s="172"/>
      <c r="D291" s="172"/>
      <c r="E291" s="172"/>
      <c r="F291" s="172"/>
      <c r="G291" s="172"/>
      <c r="W291" s="2" t="str">
        <f t="shared" si="60"/>
        <v/>
      </c>
      <c r="X291" s="8" t="str">
        <f t="shared" si="61"/>
        <v/>
      </c>
      <c r="Y291" s="9" t="str">
        <f t="shared" si="59"/>
        <v/>
      </c>
      <c r="Z291" s="2" t="str">
        <f t="shared" si="62"/>
        <v/>
      </c>
      <c r="AA291" s="9" t="str">
        <f t="shared" si="63"/>
        <v/>
      </c>
    </row>
    <row r="292" spans="3:27" x14ac:dyDescent="0.25">
      <c r="C292" s="172"/>
      <c r="D292" s="172"/>
      <c r="E292" s="172"/>
      <c r="F292" s="172"/>
      <c r="G292" s="172"/>
      <c r="W292" s="2" t="str">
        <f t="shared" si="60"/>
        <v/>
      </c>
      <c r="X292" s="8" t="str">
        <f t="shared" si="61"/>
        <v/>
      </c>
      <c r="Y292" s="9" t="str">
        <f t="shared" si="59"/>
        <v/>
      </c>
      <c r="Z292" s="2" t="str">
        <f t="shared" si="62"/>
        <v/>
      </c>
      <c r="AA292" s="9" t="str">
        <f t="shared" si="63"/>
        <v/>
      </c>
    </row>
    <row r="293" spans="3:27" x14ac:dyDescent="0.25">
      <c r="C293" s="172"/>
      <c r="D293" s="172"/>
      <c r="E293" s="172"/>
      <c r="F293" s="172"/>
      <c r="G293" s="172"/>
      <c r="W293" s="2" t="str">
        <f t="shared" si="60"/>
        <v/>
      </c>
      <c r="X293" s="8" t="str">
        <f t="shared" si="61"/>
        <v/>
      </c>
      <c r="Y293" s="9" t="str">
        <f t="shared" si="59"/>
        <v/>
      </c>
      <c r="Z293" s="2" t="str">
        <f t="shared" si="62"/>
        <v/>
      </c>
      <c r="AA293" s="9" t="str">
        <f t="shared" si="63"/>
        <v/>
      </c>
    </row>
    <row r="294" spans="3:27" x14ac:dyDescent="0.25">
      <c r="W294" s="2" t="str">
        <f t="shared" si="60"/>
        <v/>
      </c>
      <c r="X294" s="8" t="str">
        <f t="shared" si="61"/>
        <v/>
      </c>
      <c r="Y294" s="9" t="str">
        <f t="shared" si="59"/>
        <v/>
      </c>
      <c r="Z294" s="2" t="str">
        <f t="shared" si="62"/>
        <v/>
      </c>
      <c r="AA294" s="9" t="str">
        <f t="shared" si="63"/>
        <v/>
      </c>
    </row>
    <row r="295" spans="3:27" x14ac:dyDescent="0.25">
      <c r="W295" s="2" t="str">
        <f t="shared" si="60"/>
        <v/>
      </c>
      <c r="X295" s="8" t="str">
        <f t="shared" si="61"/>
        <v/>
      </c>
      <c r="Y295" s="9" t="str">
        <f t="shared" si="59"/>
        <v/>
      </c>
      <c r="Z295" s="2" t="str">
        <f t="shared" si="62"/>
        <v/>
      </c>
      <c r="AA295" s="9" t="str">
        <f t="shared" si="63"/>
        <v/>
      </c>
    </row>
    <row r="296" spans="3:27" x14ac:dyDescent="0.25">
      <c r="W296" s="2" t="str">
        <f t="shared" si="60"/>
        <v/>
      </c>
      <c r="X296" s="8" t="str">
        <f t="shared" si="61"/>
        <v/>
      </c>
      <c r="Y296" s="9" t="str">
        <f t="shared" si="59"/>
        <v/>
      </c>
      <c r="Z296" s="2" t="str">
        <f t="shared" si="62"/>
        <v/>
      </c>
      <c r="AA296" s="9" t="str">
        <f t="shared" si="63"/>
        <v/>
      </c>
    </row>
    <row r="297" spans="3:27" x14ac:dyDescent="0.25">
      <c r="W297" s="2" t="str">
        <f t="shared" si="60"/>
        <v/>
      </c>
      <c r="X297" s="8" t="str">
        <f t="shared" si="61"/>
        <v/>
      </c>
      <c r="Y297" s="9" t="str">
        <f t="shared" si="59"/>
        <v/>
      </c>
      <c r="Z297" s="2" t="str">
        <f t="shared" si="62"/>
        <v/>
      </c>
      <c r="AA297" s="9" t="str">
        <f t="shared" si="63"/>
        <v/>
      </c>
    </row>
    <row r="298" spans="3:27" x14ac:dyDescent="0.25">
      <c r="W298" s="2" t="str">
        <f t="shared" si="60"/>
        <v/>
      </c>
      <c r="X298" s="8" t="str">
        <f t="shared" si="61"/>
        <v/>
      </c>
      <c r="Y298" s="9" t="str">
        <f t="shared" si="59"/>
        <v/>
      </c>
      <c r="Z298" s="2" t="str">
        <f t="shared" si="62"/>
        <v/>
      </c>
      <c r="AA298" s="9" t="str">
        <f t="shared" si="63"/>
        <v/>
      </c>
    </row>
    <row r="299" spans="3:27" x14ac:dyDescent="0.25">
      <c r="W299" s="2" t="str">
        <f t="shared" si="60"/>
        <v/>
      </c>
      <c r="X299" s="8" t="str">
        <f t="shared" si="61"/>
        <v/>
      </c>
      <c r="Y299" s="9" t="str">
        <f t="shared" si="59"/>
        <v/>
      </c>
      <c r="Z299" s="2" t="str">
        <f t="shared" si="62"/>
        <v/>
      </c>
      <c r="AA299" s="9" t="str">
        <f t="shared" si="63"/>
        <v/>
      </c>
    </row>
    <row r="300" spans="3:27" x14ac:dyDescent="0.25">
      <c r="W300" s="2" t="str">
        <f t="shared" si="60"/>
        <v/>
      </c>
      <c r="X300" s="8" t="str">
        <f t="shared" si="61"/>
        <v/>
      </c>
      <c r="Y300" s="9" t="str">
        <f t="shared" si="59"/>
        <v/>
      </c>
      <c r="Z300" s="2" t="str">
        <f t="shared" si="62"/>
        <v/>
      </c>
      <c r="AA300" s="9" t="str">
        <f t="shared" si="63"/>
        <v/>
      </c>
    </row>
    <row r="301" spans="3:27" x14ac:dyDescent="0.25">
      <c r="W301" s="2" t="str">
        <f t="shared" si="60"/>
        <v/>
      </c>
      <c r="X301" s="8" t="str">
        <f t="shared" si="61"/>
        <v/>
      </c>
      <c r="Y301" s="9" t="str">
        <f t="shared" si="59"/>
        <v/>
      </c>
      <c r="Z301" s="2" t="str">
        <f t="shared" si="62"/>
        <v/>
      </c>
      <c r="AA301" s="9" t="str">
        <f t="shared" si="63"/>
        <v/>
      </c>
    </row>
    <row r="302" spans="3:27" x14ac:dyDescent="0.25">
      <c r="W302" s="2" t="str">
        <f t="shared" si="60"/>
        <v/>
      </c>
      <c r="X302" s="8" t="str">
        <f t="shared" si="61"/>
        <v/>
      </c>
      <c r="Y302" s="9" t="str">
        <f t="shared" si="59"/>
        <v/>
      </c>
      <c r="Z302" s="2" t="str">
        <f t="shared" si="62"/>
        <v/>
      </c>
      <c r="AA302" s="9" t="str">
        <f t="shared" si="63"/>
        <v/>
      </c>
    </row>
    <row r="303" spans="3:27" x14ac:dyDescent="0.25">
      <c r="W303" s="2" t="str">
        <f t="shared" si="60"/>
        <v/>
      </c>
      <c r="X303" s="8" t="str">
        <f t="shared" si="61"/>
        <v/>
      </c>
      <c r="Y303" s="9" t="str">
        <f t="shared" si="59"/>
        <v/>
      </c>
      <c r="Z303" s="2" t="str">
        <f t="shared" si="62"/>
        <v/>
      </c>
      <c r="AA303" s="9" t="str">
        <f t="shared" si="63"/>
        <v/>
      </c>
    </row>
    <row r="304" spans="3:27" x14ac:dyDescent="0.25">
      <c r="W304" s="2" t="str">
        <f t="shared" si="60"/>
        <v/>
      </c>
      <c r="X304" s="8" t="str">
        <f t="shared" si="61"/>
        <v/>
      </c>
      <c r="Y304" s="9" t="str">
        <f t="shared" si="59"/>
        <v/>
      </c>
      <c r="Z304" s="2" t="str">
        <f t="shared" si="62"/>
        <v/>
      </c>
      <c r="AA304" s="9" t="str">
        <f t="shared" si="63"/>
        <v/>
      </c>
    </row>
    <row r="305" spans="23:27" x14ac:dyDescent="0.25">
      <c r="W305" s="2" t="str">
        <f t="shared" si="60"/>
        <v/>
      </c>
      <c r="X305" s="8" t="str">
        <f t="shared" si="61"/>
        <v/>
      </c>
      <c r="Y305" s="9" t="str">
        <f t="shared" si="59"/>
        <v/>
      </c>
      <c r="Z305" s="2" t="str">
        <f t="shared" si="62"/>
        <v/>
      </c>
      <c r="AA305" s="9" t="str">
        <f t="shared" si="63"/>
        <v/>
      </c>
    </row>
    <row r="306" spans="23:27" x14ac:dyDescent="0.25">
      <c r="W306" s="2" t="str">
        <f t="shared" si="60"/>
        <v/>
      </c>
      <c r="X306" s="8" t="str">
        <f t="shared" si="61"/>
        <v/>
      </c>
      <c r="Y306" s="9" t="str">
        <f t="shared" si="59"/>
        <v/>
      </c>
      <c r="Z306" s="2" t="str">
        <f t="shared" si="62"/>
        <v/>
      </c>
      <c r="AA306" s="9" t="str">
        <f t="shared" si="63"/>
        <v/>
      </c>
    </row>
    <row r="307" spans="23:27" x14ac:dyDescent="0.25">
      <c r="W307" s="2" t="str">
        <f t="shared" si="60"/>
        <v/>
      </c>
      <c r="X307" s="8" t="str">
        <f t="shared" si="61"/>
        <v/>
      </c>
      <c r="Y307" s="9" t="str">
        <f t="shared" si="59"/>
        <v/>
      </c>
      <c r="Z307" s="2" t="str">
        <f t="shared" si="62"/>
        <v/>
      </c>
      <c r="AA307" s="9" t="str">
        <f t="shared" si="63"/>
        <v/>
      </c>
    </row>
    <row r="308" spans="23:27" x14ac:dyDescent="0.25">
      <c r="W308" s="2" t="str">
        <f t="shared" si="60"/>
        <v/>
      </c>
      <c r="X308" s="8" t="str">
        <f t="shared" si="61"/>
        <v/>
      </c>
      <c r="Y308" s="9" t="str">
        <f t="shared" si="59"/>
        <v/>
      </c>
      <c r="Z308" s="2" t="str">
        <f t="shared" si="62"/>
        <v/>
      </c>
      <c r="AA308" s="9" t="str">
        <f t="shared" si="63"/>
        <v/>
      </c>
    </row>
    <row r="309" spans="23:27" x14ac:dyDescent="0.25">
      <c r="W309" s="2" t="str">
        <f t="shared" si="60"/>
        <v/>
      </c>
      <c r="X309" s="8" t="str">
        <f t="shared" si="61"/>
        <v/>
      </c>
      <c r="Y309" s="9" t="str">
        <f t="shared" si="59"/>
        <v/>
      </c>
      <c r="Z309" s="2" t="str">
        <f t="shared" si="62"/>
        <v/>
      </c>
      <c r="AA309" s="9" t="str">
        <f t="shared" si="63"/>
        <v/>
      </c>
    </row>
    <row r="310" spans="23:27" x14ac:dyDescent="0.25">
      <c r="W310" s="2" t="str">
        <f t="shared" si="60"/>
        <v/>
      </c>
      <c r="X310" s="8" t="str">
        <f t="shared" si="61"/>
        <v/>
      </c>
      <c r="Y310" s="9" t="str">
        <f t="shared" si="59"/>
        <v/>
      </c>
      <c r="Z310" s="2" t="str">
        <f t="shared" si="62"/>
        <v/>
      </c>
      <c r="AA310" s="9" t="str">
        <f t="shared" si="63"/>
        <v/>
      </c>
    </row>
    <row r="311" spans="23:27" x14ac:dyDescent="0.25">
      <c r="W311" s="2" t="str">
        <f t="shared" si="60"/>
        <v/>
      </c>
      <c r="X311" s="8" t="str">
        <f t="shared" si="61"/>
        <v/>
      </c>
      <c r="Y311" s="9" t="str">
        <f t="shared" si="59"/>
        <v/>
      </c>
      <c r="Z311" s="2" t="str">
        <f t="shared" si="62"/>
        <v/>
      </c>
      <c r="AA311" s="9" t="str">
        <f t="shared" si="63"/>
        <v/>
      </c>
    </row>
    <row r="312" spans="23:27" x14ac:dyDescent="0.25">
      <c r="W312" s="2" t="str">
        <f t="shared" si="60"/>
        <v/>
      </c>
      <c r="X312" s="8" t="str">
        <f t="shared" si="61"/>
        <v/>
      </c>
      <c r="Y312" s="9" t="str">
        <f t="shared" si="59"/>
        <v/>
      </c>
      <c r="Z312" s="2" t="str">
        <f t="shared" si="62"/>
        <v/>
      </c>
      <c r="AA312" s="9" t="str">
        <f t="shared" si="63"/>
        <v/>
      </c>
    </row>
    <row r="313" spans="23:27" x14ac:dyDescent="0.25">
      <c r="W313" s="2" t="str">
        <f t="shared" si="60"/>
        <v/>
      </c>
      <c r="X313" s="8" t="str">
        <f t="shared" si="61"/>
        <v/>
      </c>
      <c r="Y313" s="9" t="str">
        <f t="shared" si="59"/>
        <v/>
      </c>
      <c r="Z313" s="2" t="str">
        <f t="shared" si="62"/>
        <v/>
      </c>
      <c r="AA313" s="9" t="str">
        <f t="shared" si="63"/>
        <v/>
      </c>
    </row>
    <row r="314" spans="23:27" x14ac:dyDescent="0.25">
      <c r="W314" s="2" t="str">
        <f t="shared" si="60"/>
        <v/>
      </c>
      <c r="X314" s="8" t="str">
        <f t="shared" si="61"/>
        <v/>
      </c>
      <c r="Y314" s="9" t="str">
        <f t="shared" si="59"/>
        <v/>
      </c>
      <c r="Z314" s="2" t="str">
        <f t="shared" si="62"/>
        <v/>
      </c>
      <c r="AA314" s="9" t="str">
        <f t="shared" si="63"/>
        <v/>
      </c>
    </row>
    <row r="315" spans="23:27" x14ac:dyDescent="0.25">
      <c r="W315" s="2" t="str">
        <f t="shared" si="60"/>
        <v/>
      </c>
      <c r="X315" s="8" t="str">
        <f t="shared" si="61"/>
        <v/>
      </c>
      <c r="Y315" s="9" t="str">
        <f t="shared" si="59"/>
        <v/>
      </c>
      <c r="Z315" s="2" t="str">
        <f t="shared" si="62"/>
        <v/>
      </c>
      <c r="AA315" s="9" t="str">
        <f t="shared" si="63"/>
        <v/>
      </c>
    </row>
    <row r="316" spans="23:27" x14ac:dyDescent="0.25">
      <c r="W316" s="2" t="str">
        <f t="shared" si="60"/>
        <v/>
      </c>
      <c r="X316" s="8" t="str">
        <f t="shared" si="61"/>
        <v/>
      </c>
      <c r="Y316" s="9" t="str">
        <f t="shared" si="59"/>
        <v/>
      </c>
      <c r="Z316" s="2" t="str">
        <f t="shared" si="62"/>
        <v/>
      </c>
      <c r="AA316" s="9" t="str">
        <f t="shared" si="63"/>
        <v/>
      </c>
    </row>
    <row r="317" spans="23:27" x14ac:dyDescent="0.25">
      <c r="W317" s="2" t="str">
        <f t="shared" si="60"/>
        <v/>
      </c>
      <c r="X317" s="8" t="str">
        <f t="shared" si="61"/>
        <v/>
      </c>
      <c r="Y317" s="9" t="str">
        <f t="shared" si="59"/>
        <v/>
      </c>
      <c r="Z317" s="2" t="str">
        <f t="shared" si="62"/>
        <v/>
      </c>
      <c r="AA317" s="9" t="str">
        <f t="shared" si="63"/>
        <v/>
      </c>
    </row>
    <row r="318" spans="23:27" x14ac:dyDescent="0.25">
      <c r="W318" s="2" t="str">
        <f t="shared" si="60"/>
        <v/>
      </c>
      <c r="X318" s="8" t="str">
        <f t="shared" si="61"/>
        <v/>
      </c>
      <c r="Y318" s="9" t="str">
        <f t="shared" si="59"/>
        <v/>
      </c>
      <c r="Z318" s="2" t="str">
        <f t="shared" si="62"/>
        <v/>
      </c>
      <c r="AA318" s="9" t="str">
        <f t="shared" si="63"/>
        <v/>
      </c>
    </row>
    <row r="319" spans="23:27" x14ac:dyDescent="0.25">
      <c r="W319" s="2" t="str">
        <f t="shared" si="60"/>
        <v/>
      </c>
      <c r="X319" s="8" t="str">
        <f t="shared" si="61"/>
        <v/>
      </c>
      <c r="Y319" s="9" t="str">
        <f t="shared" si="59"/>
        <v/>
      </c>
      <c r="Z319" s="2" t="str">
        <f t="shared" si="62"/>
        <v/>
      </c>
      <c r="AA319" s="9" t="str">
        <f t="shared" si="63"/>
        <v/>
      </c>
    </row>
    <row r="320" spans="23:27" x14ac:dyDescent="0.25">
      <c r="W320" s="2" t="str">
        <f t="shared" si="60"/>
        <v/>
      </c>
      <c r="X320" s="8" t="str">
        <f t="shared" si="61"/>
        <v/>
      </c>
      <c r="Y320" s="9" t="str">
        <f t="shared" si="59"/>
        <v/>
      </c>
      <c r="Z320" s="2" t="str">
        <f t="shared" si="62"/>
        <v/>
      </c>
      <c r="AA320" s="9" t="str">
        <f t="shared" si="63"/>
        <v/>
      </c>
    </row>
    <row r="321" spans="23:27" x14ac:dyDescent="0.25">
      <c r="W321" s="2" t="str">
        <f t="shared" si="60"/>
        <v/>
      </c>
      <c r="X321" s="8" t="str">
        <f t="shared" si="61"/>
        <v/>
      </c>
      <c r="Y321" s="9" t="str">
        <f t="shared" si="59"/>
        <v/>
      </c>
      <c r="Z321" s="2" t="str">
        <f t="shared" si="62"/>
        <v/>
      </c>
      <c r="AA321" s="9" t="str">
        <f t="shared" si="63"/>
        <v/>
      </c>
    </row>
    <row r="322" spans="23:27" x14ac:dyDescent="0.25">
      <c r="W322" s="2" t="str">
        <f t="shared" si="60"/>
        <v/>
      </c>
      <c r="X322" s="8" t="str">
        <f t="shared" si="61"/>
        <v/>
      </c>
      <c r="Y322" s="9" t="str">
        <f t="shared" ref="Y322:Y385" si="64">IF(X322="","",D315)</f>
        <v/>
      </c>
      <c r="Z322" s="2" t="str">
        <f t="shared" si="62"/>
        <v/>
      </c>
      <c r="AA322" s="9" t="str">
        <f t="shared" si="63"/>
        <v/>
      </c>
    </row>
    <row r="323" spans="23:27" x14ac:dyDescent="0.25">
      <c r="W323" s="2" t="str">
        <f t="shared" si="60"/>
        <v/>
      </c>
      <c r="X323" s="8" t="str">
        <f t="shared" si="61"/>
        <v/>
      </c>
      <c r="Y323" s="9" t="str">
        <f t="shared" si="64"/>
        <v/>
      </c>
      <c r="Z323" s="2" t="str">
        <f t="shared" si="62"/>
        <v/>
      </c>
      <c r="AA323" s="9" t="str">
        <f t="shared" si="63"/>
        <v/>
      </c>
    </row>
    <row r="324" spans="23:27" x14ac:dyDescent="0.25">
      <c r="W324" s="2" t="str">
        <f t="shared" si="60"/>
        <v/>
      </c>
      <c r="X324" s="8" t="str">
        <f t="shared" si="61"/>
        <v/>
      </c>
      <c r="Y324" s="9" t="str">
        <f t="shared" si="64"/>
        <v/>
      </c>
      <c r="Z324" s="2" t="str">
        <f t="shared" si="62"/>
        <v/>
      </c>
      <c r="AA324" s="9" t="str">
        <f t="shared" si="63"/>
        <v/>
      </c>
    </row>
    <row r="325" spans="23:27" x14ac:dyDescent="0.25">
      <c r="W325" s="2" t="str">
        <f t="shared" si="60"/>
        <v/>
      </c>
      <c r="X325" s="8" t="str">
        <f t="shared" si="61"/>
        <v/>
      </c>
      <c r="Y325" s="9" t="str">
        <f t="shared" si="64"/>
        <v/>
      </c>
      <c r="Z325" s="2" t="str">
        <f t="shared" si="62"/>
        <v/>
      </c>
      <c r="AA325" s="9" t="str">
        <f t="shared" si="63"/>
        <v/>
      </c>
    </row>
    <row r="326" spans="23:27" x14ac:dyDescent="0.25">
      <c r="W326" s="2" t="str">
        <f t="shared" si="60"/>
        <v/>
      </c>
      <c r="X326" s="8" t="str">
        <f t="shared" si="61"/>
        <v/>
      </c>
      <c r="Y326" s="9" t="str">
        <f t="shared" si="64"/>
        <v/>
      </c>
      <c r="Z326" s="2" t="str">
        <f t="shared" si="62"/>
        <v/>
      </c>
      <c r="AA326" s="9" t="str">
        <f t="shared" si="63"/>
        <v/>
      </c>
    </row>
    <row r="327" spans="23:27" x14ac:dyDescent="0.25">
      <c r="W327" s="2" t="str">
        <f t="shared" si="60"/>
        <v/>
      </c>
      <c r="X327" s="8" t="str">
        <f t="shared" si="61"/>
        <v/>
      </c>
      <c r="Y327" s="9" t="str">
        <f t="shared" si="64"/>
        <v/>
      </c>
      <c r="Z327" s="2" t="str">
        <f t="shared" si="62"/>
        <v/>
      </c>
      <c r="AA327" s="9" t="str">
        <f t="shared" si="63"/>
        <v/>
      </c>
    </row>
    <row r="328" spans="23:27" x14ac:dyDescent="0.25">
      <c r="W328" s="2" t="str">
        <f t="shared" si="60"/>
        <v/>
      </c>
      <c r="X328" s="8" t="str">
        <f t="shared" si="61"/>
        <v/>
      </c>
      <c r="Y328" s="9" t="str">
        <f t="shared" si="64"/>
        <v/>
      </c>
      <c r="Z328" s="2" t="str">
        <f t="shared" si="62"/>
        <v/>
      </c>
      <c r="AA328" s="9" t="str">
        <f t="shared" si="63"/>
        <v/>
      </c>
    </row>
    <row r="329" spans="23:27" x14ac:dyDescent="0.25">
      <c r="W329" s="2" t="str">
        <f t="shared" si="60"/>
        <v/>
      </c>
      <c r="X329" s="8" t="str">
        <f t="shared" si="61"/>
        <v/>
      </c>
      <c r="Y329" s="9" t="str">
        <f t="shared" si="64"/>
        <v/>
      </c>
      <c r="Z329" s="2" t="str">
        <f t="shared" si="62"/>
        <v/>
      </c>
      <c r="AA329" s="9" t="str">
        <f t="shared" si="63"/>
        <v/>
      </c>
    </row>
    <row r="330" spans="23:27" x14ac:dyDescent="0.25">
      <c r="W330" s="2" t="str">
        <f t="shared" si="60"/>
        <v/>
      </c>
      <c r="X330" s="8" t="str">
        <f t="shared" si="61"/>
        <v/>
      </c>
      <c r="Y330" s="9" t="str">
        <f t="shared" si="64"/>
        <v/>
      </c>
      <c r="Z330" s="2" t="str">
        <f t="shared" si="62"/>
        <v/>
      </c>
      <c r="AA330" s="9" t="str">
        <f t="shared" si="63"/>
        <v/>
      </c>
    </row>
    <row r="331" spans="23:27" x14ac:dyDescent="0.25">
      <c r="W331" s="2" t="str">
        <f t="shared" si="60"/>
        <v/>
      </c>
      <c r="X331" s="8" t="str">
        <f t="shared" si="61"/>
        <v/>
      </c>
      <c r="Y331" s="9" t="str">
        <f t="shared" si="64"/>
        <v/>
      </c>
      <c r="Z331" s="2" t="str">
        <f t="shared" si="62"/>
        <v/>
      </c>
      <c r="AA331" s="9" t="str">
        <f t="shared" si="63"/>
        <v/>
      </c>
    </row>
    <row r="332" spans="23:27" x14ac:dyDescent="0.25">
      <c r="W332" s="2" t="str">
        <f t="shared" si="60"/>
        <v/>
      </c>
      <c r="X332" s="8" t="str">
        <f t="shared" si="61"/>
        <v/>
      </c>
      <c r="Y332" s="9" t="str">
        <f t="shared" si="64"/>
        <v/>
      </c>
      <c r="Z332" s="2" t="str">
        <f t="shared" si="62"/>
        <v/>
      </c>
      <c r="AA332" s="9" t="str">
        <f t="shared" si="63"/>
        <v/>
      </c>
    </row>
    <row r="333" spans="23:27" x14ac:dyDescent="0.25">
      <c r="W333" s="2" t="str">
        <f t="shared" si="60"/>
        <v/>
      </c>
      <c r="X333" s="8" t="str">
        <f t="shared" si="61"/>
        <v/>
      </c>
      <c r="Y333" s="9" t="str">
        <f t="shared" si="64"/>
        <v/>
      </c>
      <c r="Z333" s="2" t="str">
        <f t="shared" si="62"/>
        <v/>
      </c>
      <c r="AA333" s="9" t="str">
        <f t="shared" si="63"/>
        <v/>
      </c>
    </row>
    <row r="334" spans="23:27" x14ac:dyDescent="0.25">
      <c r="W334" s="2" t="str">
        <f t="shared" si="60"/>
        <v/>
      </c>
      <c r="X334" s="8" t="str">
        <f t="shared" si="61"/>
        <v/>
      </c>
      <c r="Y334" s="9" t="str">
        <f t="shared" si="64"/>
        <v/>
      </c>
      <c r="Z334" s="2" t="str">
        <f t="shared" si="62"/>
        <v/>
      </c>
      <c r="AA334" s="9" t="str">
        <f t="shared" si="63"/>
        <v/>
      </c>
    </row>
    <row r="335" spans="23:27" x14ac:dyDescent="0.25">
      <c r="W335" s="2" t="str">
        <f t="shared" si="60"/>
        <v/>
      </c>
      <c r="X335" s="8" t="str">
        <f t="shared" si="61"/>
        <v/>
      </c>
      <c r="Y335" s="9" t="str">
        <f t="shared" si="64"/>
        <v/>
      </c>
      <c r="Z335" s="2" t="str">
        <f t="shared" si="62"/>
        <v/>
      </c>
      <c r="AA335" s="9" t="str">
        <f t="shared" si="63"/>
        <v/>
      </c>
    </row>
    <row r="336" spans="23:27" x14ac:dyDescent="0.25">
      <c r="W336" s="2" t="str">
        <f t="shared" si="60"/>
        <v/>
      </c>
      <c r="X336" s="8" t="str">
        <f t="shared" si="61"/>
        <v/>
      </c>
      <c r="Y336" s="9" t="str">
        <f t="shared" si="64"/>
        <v/>
      </c>
      <c r="Z336" s="2" t="str">
        <f t="shared" si="62"/>
        <v/>
      </c>
      <c r="AA336" s="9" t="str">
        <f t="shared" si="63"/>
        <v/>
      </c>
    </row>
    <row r="337" spans="23:27" x14ac:dyDescent="0.25">
      <c r="W337" s="2" t="str">
        <f t="shared" si="60"/>
        <v/>
      </c>
      <c r="X337" s="8" t="str">
        <f t="shared" si="61"/>
        <v/>
      </c>
      <c r="Y337" s="9" t="str">
        <f t="shared" si="64"/>
        <v/>
      </c>
      <c r="Z337" s="2" t="str">
        <f t="shared" si="62"/>
        <v/>
      </c>
      <c r="AA337" s="9" t="str">
        <f t="shared" si="63"/>
        <v/>
      </c>
    </row>
    <row r="338" spans="23:27" x14ac:dyDescent="0.25">
      <c r="W338" s="2" t="str">
        <f t="shared" si="60"/>
        <v/>
      </c>
      <c r="X338" s="8" t="str">
        <f t="shared" si="61"/>
        <v/>
      </c>
      <c r="Y338" s="9" t="str">
        <f t="shared" si="64"/>
        <v/>
      </c>
      <c r="Z338" s="2" t="str">
        <f t="shared" si="62"/>
        <v/>
      </c>
      <c r="AA338" s="9" t="str">
        <f t="shared" si="63"/>
        <v/>
      </c>
    </row>
    <row r="339" spans="23:27" x14ac:dyDescent="0.25">
      <c r="W339" s="2" t="str">
        <f t="shared" si="60"/>
        <v/>
      </c>
      <c r="X339" s="8" t="str">
        <f t="shared" si="61"/>
        <v/>
      </c>
      <c r="Y339" s="9" t="str">
        <f t="shared" si="64"/>
        <v/>
      </c>
      <c r="Z339" s="2" t="str">
        <f t="shared" si="62"/>
        <v/>
      </c>
      <c r="AA339" s="9" t="str">
        <f t="shared" si="63"/>
        <v/>
      </c>
    </row>
    <row r="340" spans="23:27" x14ac:dyDescent="0.25">
      <c r="W340" s="2" t="str">
        <f t="shared" si="60"/>
        <v/>
      </c>
      <c r="X340" s="8" t="str">
        <f t="shared" si="61"/>
        <v/>
      </c>
      <c r="Y340" s="9" t="str">
        <f t="shared" si="64"/>
        <v/>
      </c>
      <c r="Z340" s="2" t="str">
        <f t="shared" si="62"/>
        <v/>
      </c>
      <c r="AA340" s="9" t="str">
        <f t="shared" si="63"/>
        <v/>
      </c>
    </row>
    <row r="341" spans="23:27" x14ac:dyDescent="0.25">
      <c r="W341" s="2" t="str">
        <f t="shared" si="60"/>
        <v/>
      </c>
      <c r="X341" s="8" t="str">
        <f t="shared" si="61"/>
        <v/>
      </c>
      <c r="Y341" s="9" t="str">
        <f t="shared" si="64"/>
        <v/>
      </c>
      <c r="Z341" s="2" t="str">
        <f t="shared" si="62"/>
        <v/>
      </c>
      <c r="AA341" s="9" t="str">
        <f t="shared" si="63"/>
        <v/>
      </c>
    </row>
    <row r="342" spans="23:27" x14ac:dyDescent="0.25">
      <c r="W342" s="2" t="str">
        <f t="shared" si="60"/>
        <v/>
      </c>
      <c r="X342" s="8" t="str">
        <f t="shared" si="61"/>
        <v/>
      </c>
      <c r="Y342" s="9" t="str">
        <f t="shared" si="64"/>
        <v/>
      </c>
      <c r="Z342" s="2" t="str">
        <f t="shared" si="62"/>
        <v/>
      </c>
      <c r="AA342" s="9" t="str">
        <f t="shared" si="63"/>
        <v/>
      </c>
    </row>
    <row r="343" spans="23:27" x14ac:dyDescent="0.25">
      <c r="W343" s="2" t="str">
        <f t="shared" si="60"/>
        <v/>
      </c>
      <c r="X343" s="8" t="str">
        <f t="shared" si="61"/>
        <v/>
      </c>
      <c r="Y343" s="9" t="str">
        <f t="shared" si="64"/>
        <v/>
      </c>
      <c r="Z343" s="2" t="str">
        <f t="shared" si="62"/>
        <v/>
      </c>
      <c r="AA343" s="9" t="str">
        <f t="shared" si="63"/>
        <v/>
      </c>
    </row>
    <row r="344" spans="23:27" x14ac:dyDescent="0.25">
      <c r="W344" s="2" t="str">
        <f t="shared" si="60"/>
        <v/>
      </c>
      <c r="X344" s="8" t="str">
        <f t="shared" si="61"/>
        <v/>
      </c>
      <c r="Y344" s="9" t="str">
        <f t="shared" si="64"/>
        <v/>
      </c>
      <c r="Z344" s="2" t="str">
        <f t="shared" si="62"/>
        <v/>
      </c>
      <c r="AA344" s="9" t="str">
        <f t="shared" si="63"/>
        <v/>
      </c>
    </row>
    <row r="345" spans="23:27" x14ac:dyDescent="0.25">
      <c r="W345" s="2" t="str">
        <f t="shared" si="60"/>
        <v/>
      </c>
      <c r="X345" s="8" t="str">
        <f t="shared" si="61"/>
        <v/>
      </c>
      <c r="Y345" s="9" t="str">
        <f t="shared" si="64"/>
        <v/>
      </c>
      <c r="Z345" s="2" t="str">
        <f t="shared" si="62"/>
        <v/>
      </c>
      <c r="AA345" s="9" t="str">
        <f t="shared" si="63"/>
        <v/>
      </c>
    </row>
    <row r="346" spans="23:27" x14ac:dyDescent="0.25">
      <c r="W346" s="2" t="str">
        <f t="shared" si="60"/>
        <v/>
      </c>
      <c r="X346" s="8" t="str">
        <f t="shared" si="61"/>
        <v/>
      </c>
      <c r="Y346" s="9" t="str">
        <f t="shared" si="64"/>
        <v/>
      </c>
      <c r="Z346" s="2" t="str">
        <f t="shared" si="62"/>
        <v/>
      </c>
      <c r="AA346" s="9" t="str">
        <f t="shared" si="63"/>
        <v/>
      </c>
    </row>
    <row r="347" spans="23:27" x14ac:dyDescent="0.25">
      <c r="W347" s="2" t="str">
        <f t="shared" si="60"/>
        <v/>
      </c>
      <c r="X347" s="8" t="str">
        <f t="shared" si="61"/>
        <v/>
      </c>
      <c r="Y347" s="9" t="str">
        <f t="shared" si="64"/>
        <v/>
      </c>
      <c r="Z347" s="2" t="str">
        <f t="shared" si="62"/>
        <v/>
      </c>
      <c r="AA347" s="9" t="str">
        <f t="shared" si="63"/>
        <v/>
      </c>
    </row>
    <row r="348" spans="23:27" x14ac:dyDescent="0.25">
      <c r="W348" s="2" t="str">
        <f t="shared" si="60"/>
        <v/>
      </c>
      <c r="X348" s="8" t="str">
        <f t="shared" si="61"/>
        <v/>
      </c>
      <c r="Y348" s="9" t="str">
        <f t="shared" si="64"/>
        <v/>
      </c>
      <c r="Z348" s="2" t="str">
        <f t="shared" si="62"/>
        <v/>
      </c>
      <c r="AA348" s="9" t="str">
        <f t="shared" si="63"/>
        <v/>
      </c>
    </row>
    <row r="349" spans="23:27" x14ac:dyDescent="0.25">
      <c r="W349" s="2" t="str">
        <f t="shared" si="60"/>
        <v/>
      </c>
      <c r="X349" s="8" t="str">
        <f t="shared" si="61"/>
        <v/>
      </c>
      <c r="Y349" s="9" t="str">
        <f t="shared" si="64"/>
        <v/>
      </c>
      <c r="Z349" s="2" t="str">
        <f t="shared" si="62"/>
        <v/>
      </c>
      <c r="AA349" s="9" t="str">
        <f t="shared" si="63"/>
        <v/>
      </c>
    </row>
    <row r="350" spans="23:27" x14ac:dyDescent="0.25">
      <c r="W350" s="2" t="str">
        <f t="shared" si="60"/>
        <v/>
      </c>
      <c r="X350" s="8" t="str">
        <f t="shared" si="61"/>
        <v/>
      </c>
      <c r="Y350" s="9" t="str">
        <f t="shared" si="64"/>
        <v/>
      </c>
      <c r="Z350" s="2" t="str">
        <f t="shared" si="62"/>
        <v/>
      </c>
      <c r="AA350" s="9" t="str">
        <f t="shared" si="63"/>
        <v/>
      </c>
    </row>
    <row r="351" spans="23:27" x14ac:dyDescent="0.25">
      <c r="W351" s="2" t="str">
        <f t="shared" si="60"/>
        <v/>
      </c>
      <c r="X351" s="8" t="str">
        <f t="shared" si="61"/>
        <v/>
      </c>
      <c r="Y351" s="9" t="str">
        <f t="shared" si="64"/>
        <v/>
      </c>
      <c r="Z351" s="2" t="str">
        <f t="shared" si="62"/>
        <v/>
      </c>
      <c r="AA351" s="9" t="str">
        <f t="shared" si="63"/>
        <v/>
      </c>
    </row>
    <row r="352" spans="23:27" x14ac:dyDescent="0.25">
      <c r="W352" s="2" t="str">
        <f t="shared" ref="W352:W415" si="65">IF(W351&lt;B$17,W351+1,"")</f>
        <v/>
      </c>
      <c r="X352" s="8" t="str">
        <f t="shared" ref="X352:X415" si="66">IF(W352="","",X351+30)</f>
        <v/>
      </c>
      <c r="Y352" s="9" t="str">
        <f t="shared" si="64"/>
        <v/>
      </c>
      <c r="Z352" s="2" t="str">
        <f t="shared" ref="Z352:Z415" si="67">IF(Y352="","",X352-X$30)</f>
        <v/>
      </c>
      <c r="AA352" s="9" t="str">
        <f t="shared" ref="AA352:AA415" si="68">IF(Z352="","",IF(Z352&lt;365,Z352*Y352*Y$26,365*Y352*Y$26))</f>
        <v/>
      </c>
    </row>
    <row r="353" spans="23:27" x14ac:dyDescent="0.25">
      <c r="W353" s="2" t="str">
        <f t="shared" si="65"/>
        <v/>
      </c>
      <c r="X353" s="8" t="str">
        <f t="shared" si="66"/>
        <v/>
      </c>
      <c r="Y353" s="9" t="str">
        <f t="shared" si="64"/>
        <v/>
      </c>
      <c r="Z353" s="2" t="str">
        <f t="shared" si="67"/>
        <v/>
      </c>
      <c r="AA353" s="9" t="str">
        <f t="shared" si="68"/>
        <v/>
      </c>
    </row>
    <row r="354" spans="23:27" x14ac:dyDescent="0.25">
      <c r="W354" s="2" t="str">
        <f t="shared" si="65"/>
        <v/>
      </c>
      <c r="X354" s="8" t="str">
        <f t="shared" si="66"/>
        <v/>
      </c>
      <c r="Y354" s="9" t="str">
        <f t="shared" si="64"/>
        <v/>
      </c>
      <c r="Z354" s="2" t="str">
        <f t="shared" si="67"/>
        <v/>
      </c>
      <c r="AA354" s="9" t="str">
        <f t="shared" si="68"/>
        <v/>
      </c>
    </row>
    <row r="355" spans="23:27" x14ac:dyDescent="0.25">
      <c r="W355" s="2" t="str">
        <f t="shared" si="65"/>
        <v/>
      </c>
      <c r="X355" s="8" t="str">
        <f t="shared" si="66"/>
        <v/>
      </c>
      <c r="Y355" s="9" t="str">
        <f t="shared" si="64"/>
        <v/>
      </c>
      <c r="Z355" s="2" t="str">
        <f t="shared" si="67"/>
        <v/>
      </c>
      <c r="AA355" s="9" t="str">
        <f t="shared" si="68"/>
        <v/>
      </c>
    </row>
    <row r="356" spans="23:27" x14ac:dyDescent="0.25">
      <c r="W356" s="2" t="str">
        <f t="shared" si="65"/>
        <v/>
      </c>
      <c r="X356" s="8" t="str">
        <f t="shared" si="66"/>
        <v/>
      </c>
      <c r="Y356" s="9" t="str">
        <f t="shared" si="64"/>
        <v/>
      </c>
      <c r="Z356" s="2" t="str">
        <f t="shared" si="67"/>
        <v/>
      </c>
      <c r="AA356" s="9" t="str">
        <f t="shared" si="68"/>
        <v/>
      </c>
    </row>
    <row r="357" spans="23:27" x14ac:dyDescent="0.25">
      <c r="W357" s="2" t="str">
        <f t="shared" si="65"/>
        <v/>
      </c>
      <c r="X357" s="8" t="str">
        <f t="shared" si="66"/>
        <v/>
      </c>
      <c r="Y357" s="9" t="str">
        <f t="shared" si="64"/>
        <v/>
      </c>
      <c r="Z357" s="2" t="str">
        <f t="shared" si="67"/>
        <v/>
      </c>
      <c r="AA357" s="9" t="str">
        <f t="shared" si="68"/>
        <v/>
      </c>
    </row>
    <row r="358" spans="23:27" x14ac:dyDescent="0.25">
      <c r="W358" s="2" t="str">
        <f t="shared" si="65"/>
        <v/>
      </c>
      <c r="X358" s="8" t="str">
        <f t="shared" si="66"/>
        <v/>
      </c>
      <c r="Y358" s="9" t="str">
        <f t="shared" si="64"/>
        <v/>
      </c>
      <c r="Z358" s="2" t="str">
        <f t="shared" si="67"/>
        <v/>
      </c>
      <c r="AA358" s="9" t="str">
        <f t="shared" si="68"/>
        <v/>
      </c>
    </row>
    <row r="359" spans="23:27" x14ac:dyDescent="0.25">
      <c r="W359" s="2" t="str">
        <f t="shared" si="65"/>
        <v/>
      </c>
      <c r="X359" s="8" t="str">
        <f t="shared" si="66"/>
        <v/>
      </c>
      <c r="Y359" s="9" t="str">
        <f t="shared" si="64"/>
        <v/>
      </c>
      <c r="Z359" s="2" t="str">
        <f t="shared" si="67"/>
        <v/>
      </c>
      <c r="AA359" s="9" t="str">
        <f t="shared" si="68"/>
        <v/>
      </c>
    </row>
    <row r="360" spans="23:27" x14ac:dyDescent="0.25">
      <c r="W360" s="2" t="str">
        <f t="shared" si="65"/>
        <v/>
      </c>
      <c r="X360" s="8" t="str">
        <f t="shared" si="66"/>
        <v/>
      </c>
      <c r="Y360" s="9" t="str">
        <f t="shared" si="64"/>
        <v/>
      </c>
      <c r="Z360" s="2" t="str">
        <f t="shared" si="67"/>
        <v/>
      </c>
      <c r="AA360" s="9" t="str">
        <f t="shared" si="68"/>
        <v/>
      </c>
    </row>
    <row r="361" spans="23:27" x14ac:dyDescent="0.25">
      <c r="W361" s="2" t="str">
        <f t="shared" si="65"/>
        <v/>
      </c>
      <c r="X361" s="8" t="str">
        <f t="shared" si="66"/>
        <v/>
      </c>
      <c r="Y361" s="9" t="str">
        <f t="shared" si="64"/>
        <v/>
      </c>
      <c r="Z361" s="2" t="str">
        <f t="shared" si="67"/>
        <v/>
      </c>
      <c r="AA361" s="9" t="str">
        <f t="shared" si="68"/>
        <v/>
      </c>
    </row>
    <row r="362" spans="23:27" x14ac:dyDescent="0.25">
      <c r="W362" s="2" t="str">
        <f t="shared" si="65"/>
        <v/>
      </c>
      <c r="X362" s="8" t="str">
        <f t="shared" si="66"/>
        <v/>
      </c>
      <c r="Y362" s="9" t="str">
        <f t="shared" si="64"/>
        <v/>
      </c>
      <c r="Z362" s="2" t="str">
        <f t="shared" si="67"/>
        <v/>
      </c>
      <c r="AA362" s="9" t="str">
        <f t="shared" si="68"/>
        <v/>
      </c>
    </row>
    <row r="363" spans="23:27" x14ac:dyDescent="0.25">
      <c r="W363" s="2" t="str">
        <f t="shared" si="65"/>
        <v/>
      </c>
      <c r="X363" s="8" t="str">
        <f t="shared" si="66"/>
        <v/>
      </c>
      <c r="Y363" s="9" t="str">
        <f t="shared" si="64"/>
        <v/>
      </c>
      <c r="Z363" s="2" t="str">
        <f t="shared" si="67"/>
        <v/>
      </c>
      <c r="AA363" s="9" t="str">
        <f t="shared" si="68"/>
        <v/>
      </c>
    </row>
    <row r="364" spans="23:27" x14ac:dyDescent="0.25">
      <c r="W364" s="2" t="str">
        <f t="shared" si="65"/>
        <v/>
      </c>
      <c r="X364" s="8" t="str">
        <f t="shared" si="66"/>
        <v/>
      </c>
      <c r="Y364" s="9" t="str">
        <f t="shared" si="64"/>
        <v/>
      </c>
      <c r="Z364" s="2" t="str">
        <f t="shared" si="67"/>
        <v/>
      </c>
      <c r="AA364" s="9" t="str">
        <f t="shared" si="68"/>
        <v/>
      </c>
    </row>
    <row r="365" spans="23:27" x14ac:dyDescent="0.25">
      <c r="W365" s="2" t="str">
        <f t="shared" si="65"/>
        <v/>
      </c>
      <c r="X365" s="8" t="str">
        <f t="shared" si="66"/>
        <v/>
      </c>
      <c r="Y365" s="9" t="str">
        <f t="shared" si="64"/>
        <v/>
      </c>
      <c r="Z365" s="2" t="str">
        <f t="shared" si="67"/>
        <v/>
      </c>
      <c r="AA365" s="9" t="str">
        <f t="shared" si="68"/>
        <v/>
      </c>
    </row>
    <row r="366" spans="23:27" x14ac:dyDescent="0.25">
      <c r="W366" s="2" t="str">
        <f t="shared" si="65"/>
        <v/>
      </c>
      <c r="X366" s="8" t="str">
        <f t="shared" si="66"/>
        <v/>
      </c>
      <c r="Y366" s="9" t="str">
        <f t="shared" si="64"/>
        <v/>
      </c>
      <c r="Z366" s="2" t="str">
        <f t="shared" si="67"/>
        <v/>
      </c>
      <c r="AA366" s="9" t="str">
        <f t="shared" si="68"/>
        <v/>
      </c>
    </row>
    <row r="367" spans="23:27" x14ac:dyDescent="0.25">
      <c r="W367" s="2" t="str">
        <f t="shared" si="65"/>
        <v/>
      </c>
      <c r="X367" s="8" t="str">
        <f t="shared" si="66"/>
        <v/>
      </c>
      <c r="Y367" s="9" t="str">
        <f t="shared" si="64"/>
        <v/>
      </c>
      <c r="Z367" s="2" t="str">
        <f t="shared" si="67"/>
        <v/>
      </c>
      <c r="AA367" s="9" t="str">
        <f t="shared" si="68"/>
        <v/>
      </c>
    </row>
    <row r="368" spans="23:27" x14ac:dyDescent="0.25">
      <c r="W368" s="2" t="str">
        <f t="shared" si="65"/>
        <v/>
      </c>
      <c r="X368" s="8" t="str">
        <f t="shared" si="66"/>
        <v/>
      </c>
      <c r="Y368" s="9" t="str">
        <f t="shared" si="64"/>
        <v/>
      </c>
      <c r="Z368" s="2" t="str">
        <f t="shared" si="67"/>
        <v/>
      </c>
      <c r="AA368" s="9" t="str">
        <f t="shared" si="68"/>
        <v/>
      </c>
    </row>
    <row r="369" spans="23:27" x14ac:dyDescent="0.25">
      <c r="W369" s="2" t="str">
        <f t="shared" si="65"/>
        <v/>
      </c>
      <c r="X369" s="8" t="str">
        <f t="shared" si="66"/>
        <v/>
      </c>
      <c r="Y369" s="9" t="str">
        <f t="shared" si="64"/>
        <v/>
      </c>
      <c r="Z369" s="2" t="str">
        <f t="shared" si="67"/>
        <v/>
      </c>
      <c r="AA369" s="9" t="str">
        <f t="shared" si="68"/>
        <v/>
      </c>
    </row>
    <row r="370" spans="23:27" x14ac:dyDescent="0.25">
      <c r="W370" s="2" t="str">
        <f t="shared" si="65"/>
        <v/>
      </c>
      <c r="X370" s="8" t="str">
        <f t="shared" si="66"/>
        <v/>
      </c>
      <c r="Y370" s="9" t="str">
        <f t="shared" si="64"/>
        <v/>
      </c>
      <c r="Z370" s="2" t="str">
        <f t="shared" si="67"/>
        <v/>
      </c>
      <c r="AA370" s="9" t="str">
        <f t="shared" si="68"/>
        <v/>
      </c>
    </row>
    <row r="371" spans="23:27" x14ac:dyDescent="0.25">
      <c r="W371" s="2" t="str">
        <f t="shared" si="65"/>
        <v/>
      </c>
      <c r="X371" s="8" t="str">
        <f t="shared" si="66"/>
        <v/>
      </c>
      <c r="Y371" s="9" t="str">
        <f t="shared" si="64"/>
        <v/>
      </c>
      <c r="Z371" s="2" t="str">
        <f t="shared" si="67"/>
        <v/>
      </c>
      <c r="AA371" s="9" t="str">
        <f t="shared" si="68"/>
        <v/>
      </c>
    </row>
    <row r="372" spans="23:27" x14ac:dyDescent="0.25">
      <c r="W372" s="2" t="str">
        <f t="shared" si="65"/>
        <v/>
      </c>
      <c r="X372" s="8" t="str">
        <f t="shared" si="66"/>
        <v/>
      </c>
      <c r="Y372" s="9" t="str">
        <f t="shared" si="64"/>
        <v/>
      </c>
      <c r="Z372" s="2" t="str">
        <f t="shared" si="67"/>
        <v/>
      </c>
      <c r="AA372" s="9" t="str">
        <f t="shared" si="68"/>
        <v/>
      </c>
    </row>
    <row r="373" spans="23:27" x14ac:dyDescent="0.25">
      <c r="W373" s="2" t="str">
        <f t="shared" si="65"/>
        <v/>
      </c>
      <c r="X373" s="8" t="str">
        <f t="shared" si="66"/>
        <v/>
      </c>
      <c r="Y373" s="9" t="str">
        <f t="shared" si="64"/>
        <v/>
      </c>
      <c r="Z373" s="2" t="str">
        <f t="shared" si="67"/>
        <v/>
      </c>
      <c r="AA373" s="9" t="str">
        <f t="shared" si="68"/>
        <v/>
      </c>
    </row>
    <row r="374" spans="23:27" x14ac:dyDescent="0.25">
      <c r="W374" s="2" t="str">
        <f t="shared" si="65"/>
        <v/>
      </c>
      <c r="X374" s="8" t="str">
        <f t="shared" si="66"/>
        <v/>
      </c>
      <c r="Y374" s="9" t="str">
        <f t="shared" si="64"/>
        <v/>
      </c>
      <c r="Z374" s="2" t="str">
        <f t="shared" si="67"/>
        <v/>
      </c>
      <c r="AA374" s="9" t="str">
        <f t="shared" si="68"/>
        <v/>
      </c>
    </row>
    <row r="375" spans="23:27" x14ac:dyDescent="0.25">
      <c r="W375" s="2" t="str">
        <f t="shared" si="65"/>
        <v/>
      </c>
      <c r="X375" s="8" t="str">
        <f t="shared" si="66"/>
        <v/>
      </c>
      <c r="Y375" s="9" t="str">
        <f t="shared" si="64"/>
        <v/>
      </c>
      <c r="Z375" s="2" t="str">
        <f t="shared" si="67"/>
        <v/>
      </c>
      <c r="AA375" s="9" t="str">
        <f t="shared" si="68"/>
        <v/>
      </c>
    </row>
    <row r="376" spans="23:27" x14ac:dyDescent="0.25">
      <c r="W376" s="2" t="str">
        <f t="shared" si="65"/>
        <v/>
      </c>
      <c r="X376" s="8" t="str">
        <f t="shared" si="66"/>
        <v/>
      </c>
      <c r="Y376" s="9" t="str">
        <f t="shared" si="64"/>
        <v/>
      </c>
      <c r="Z376" s="2" t="str">
        <f t="shared" si="67"/>
        <v/>
      </c>
      <c r="AA376" s="9" t="str">
        <f t="shared" si="68"/>
        <v/>
      </c>
    </row>
    <row r="377" spans="23:27" x14ac:dyDescent="0.25">
      <c r="W377" s="2" t="str">
        <f t="shared" si="65"/>
        <v/>
      </c>
      <c r="X377" s="8" t="str">
        <f t="shared" si="66"/>
        <v/>
      </c>
      <c r="Y377" s="9" t="str">
        <f t="shared" si="64"/>
        <v/>
      </c>
      <c r="Z377" s="2" t="str">
        <f t="shared" si="67"/>
        <v/>
      </c>
      <c r="AA377" s="9" t="str">
        <f t="shared" si="68"/>
        <v/>
      </c>
    </row>
    <row r="378" spans="23:27" x14ac:dyDescent="0.25">
      <c r="W378" s="2" t="str">
        <f t="shared" si="65"/>
        <v/>
      </c>
      <c r="X378" s="8" t="str">
        <f t="shared" si="66"/>
        <v/>
      </c>
      <c r="Y378" s="9" t="str">
        <f t="shared" si="64"/>
        <v/>
      </c>
      <c r="Z378" s="2" t="str">
        <f t="shared" si="67"/>
        <v/>
      </c>
      <c r="AA378" s="9" t="str">
        <f t="shared" si="68"/>
        <v/>
      </c>
    </row>
    <row r="379" spans="23:27" x14ac:dyDescent="0.25">
      <c r="W379" s="2" t="str">
        <f t="shared" si="65"/>
        <v/>
      </c>
      <c r="X379" s="8" t="str">
        <f t="shared" si="66"/>
        <v/>
      </c>
      <c r="Y379" s="9" t="str">
        <f t="shared" si="64"/>
        <v/>
      </c>
      <c r="Z379" s="2" t="str">
        <f t="shared" si="67"/>
        <v/>
      </c>
      <c r="AA379" s="9" t="str">
        <f t="shared" si="68"/>
        <v/>
      </c>
    </row>
    <row r="380" spans="23:27" x14ac:dyDescent="0.25">
      <c r="W380" s="2" t="str">
        <f t="shared" si="65"/>
        <v/>
      </c>
      <c r="X380" s="8" t="str">
        <f t="shared" si="66"/>
        <v/>
      </c>
      <c r="Y380" s="9" t="str">
        <f t="shared" si="64"/>
        <v/>
      </c>
      <c r="Z380" s="2" t="str">
        <f t="shared" si="67"/>
        <v/>
      </c>
      <c r="AA380" s="9" t="str">
        <f t="shared" si="68"/>
        <v/>
      </c>
    </row>
    <row r="381" spans="23:27" x14ac:dyDescent="0.25">
      <c r="W381" s="2" t="str">
        <f t="shared" si="65"/>
        <v/>
      </c>
      <c r="X381" s="8" t="str">
        <f t="shared" si="66"/>
        <v/>
      </c>
      <c r="Y381" s="9" t="str">
        <f t="shared" si="64"/>
        <v/>
      </c>
      <c r="Z381" s="2" t="str">
        <f t="shared" si="67"/>
        <v/>
      </c>
      <c r="AA381" s="9" t="str">
        <f t="shared" si="68"/>
        <v/>
      </c>
    </row>
    <row r="382" spans="23:27" x14ac:dyDescent="0.25">
      <c r="W382" s="2" t="str">
        <f t="shared" si="65"/>
        <v/>
      </c>
      <c r="X382" s="8" t="str">
        <f t="shared" si="66"/>
        <v/>
      </c>
      <c r="Y382" s="9" t="str">
        <f t="shared" si="64"/>
        <v/>
      </c>
      <c r="Z382" s="2" t="str">
        <f t="shared" si="67"/>
        <v/>
      </c>
      <c r="AA382" s="9" t="str">
        <f t="shared" si="68"/>
        <v/>
      </c>
    </row>
    <row r="383" spans="23:27" x14ac:dyDescent="0.25">
      <c r="W383" s="2" t="str">
        <f t="shared" si="65"/>
        <v/>
      </c>
      <c r="X383" s="8" t="str">
        <f t="shared" si="66"/>
        <v/>
      </c>
      <c r="Y383" s="9" t="str">
        <f t="shared" si="64"/>
        <v/>
      </c>
      <c r="Z383" s="2" t="str">
        <f t="shared" si="67"/>
        <v/>
      </c>
      <c r="AA383" s="9" t="str">
        <f t="shared" si="68"/>
        <v/>
      </c>
    </row>
    <row r="384" spans="23:27" x14ac:dyDescent="0.25">
      <c r="W384" s="2" t="str">
        <f t="shared" si="65"/>
        <v/>
      </c>
      <c r="X384" s="8" t="str">
        <f t="shared" si="66"/>
        <v/>
      </c>
      <c r="Y384" s="9" t="str">
        <f t="shared" si="64"/>
        <v/>
      </c>
      <c r="Z384" s="2" t="str">
        <f t="shared" si="67"/>
        <v/>
      </c>
      <c r="AA384" s="9" t="str">
        <f t="shared" si="68"/>
        <v/>
      </c>
    </row>
    <row r="385" spans="23:27" x14ac:dyDescent="0.25">
      <c r="W385" s="2" t="str">
        <f t="shared" si="65"/>
        <v/>
      </c>
      <c r="X385" s="8" t="str">
        <f t="shared" si="66"/>
        <v/>
      </c>
      <c r="Y385" s="9" t="str">
        <f t="shared" si="64"/>
        <v/>
      </c>
      <c r="Z385" s="2" t="str">
        <f t="shared" si="67"/>
        <v/>
      </c>
      <c r="AA385" s="9" t="str">
        <f t="shared" si="68"/>
        <v/>
      </c>
    </row>
    <row r="386" spans="23:27" x14ac:dyDescent="0.25">
      <c r="W386" s="2" t="str">
        <f t="shared" si="65"/>
        <v/>
      </c>
      <c r="X386" s="8" t="str">
        <f t="shared" si="66"/>
        <v/>
      </c>
      <c r="Y386" s="9" t="str">
        <f t="shared" ref="Y386:Y449" si="69">IF(X386="","",D379)</f>
        <v/>
      </c>
      <c r="Z386" s="2" t="str">
        <f t="shared" si="67"/>
        <v/>
      </c>
      <c r="AA386" s="9" t="str">
        <f t="shared" si="68"/>
        <v/>
      </c>
    </row>
    <row r="387" spans="23:27" x14ac:dyDescent="0.25">
      <c r="W387" s="2" t="str">
        <f t="shared" si="65"/>
        <v/>
      </c>
      <c r="X387" s="8" t="str">
        <f t="shared" si="66"/>
        <v/>
      </c>
      <c r="Y387" s="9" t="str">
        <f t="shared" si="69"/>
        <v/>
      </c>
      <c r="Z387" s="2" t="str">
        <f t="shared" si="67"/>
        <v/>
      </c>
      <c r="AA387" s="9" t="str">
        <f t="shared" si="68"/>
        <v/>
      </c>
    </row>
    <row r="388" spans="23:27" x14ac:dyDescent="0.25">
      <c r="W388" s="2" t="str">
        <f t="shared" si="65"/>
        <v/>
      </c>
      <c r="X388" s="8" t="str">
        <f t="shared" si="66"/>
        <v/>
      </c>
      <c r="Y388" s="9" t="str">
        <f t="shared" si="69"/>
        <v/>
      </c>
      <c r="Z388" s="2" t="str">
        <f t="shared" si="67"/>
        <v/>
      </c>
      <c r="AA388" s="9" t="str">
        <f t="shared" si="68"/>
        <v/>
      </c>
    </row>
    <row r="389" spans="23:27" x14ac:dyDescent="0.25">
      <c r="W389" s="2" t="str">
        <f t="shared" si="65"/>
        <v/>
      </c>
      <c r="X389" s="8" t="str">
        <f t="shared" si="66"/>
        <v/>
      </c>
      <c r="Y389" s="9" t="str">
        <f t="shared" si="69"/>
        <v/>
      </c>
      <c r="Z389" s="2" t="str">
        <f t="shared" si="67"/>
        <v/>
      </c>
      <c r="AA389" s="9" t="str">
        <f t="shared" si="68"/>
        <v/>
      </c>
    </row>
    <row r="390" spans="23:27" x14ac:dyDescent="0.25">
      <c r="W390" s="2" t="str">
        <f t="shared" si="65"/>
        <v/>
      </c>
      <c r="X390" s="8" t="str">
        <f t="shared" si="66"/>
        <v/>
      </c>
      <c r="Y390" s="9" t="str">
        <f t="shared" si="69"/>
        <v/>
      </c>
      <c r="Z390" s="2" t="str">
        <f t="shared" si="67"/>
        <v/>
      </c>
      <c r="AA390" s="9" t="str">
        <f t="shared" si="68"/>
        <v/>
      </c>
    </row>
    <row r="391" spans="23:27" x14ac:dyDescent="0.25">
      <c r="W391" s="2" t="str">
        <f t="shared" si="65"/>
        <v/>
      </c>
      <c r="X391" s="8" t="str">
        <f t="shared" si="66"/>
        <v/>
      </c>
      <c r="Y391" s="9" t="str">
        <f t="shared" si="69"/>
        <v/>
      </c>
      <c r="Z391" s="2" t="str">
        <f t="shared" si="67"/>
        <v/>
      </c>
      <c r="AA391" s="9" t="str">
        <f t="shared" si="68"/>
        <v/>
      </c>
    </row>
    <row r="392" spans="23:27" x14ac:dyDescent="0.25">
      <c r="W392" s="2" t="str">
        <f t="shared" si="65"/>
        <v/>
      </c>
      <c r="X392" s="8" t="str">
        <f t="shared" si="66"/>
        <v/>
      </c>
      <c r="Y392" s="9" t="str">
        <f t="shared" si="69"/>
        <v/>
      </c>
      <c r="Z392" s="2" t="str">
        <f t="shared" si="67"/>
        <v/>
      </c>
      <c r="AA392" s="9" t="str">
        <f t="shared" si="68"/>
        <v/>
      </c>
    </row>
    <row r="393" spans="23:27" x14ac:dyDescent="0.25">
      <c r="W393" s="2" t="str">
        <f t="shared" si="65"/>
        <v/>
      </c>
      <c r="X393" s="8" t="str">
        <f t="shared" si="66"/>
        <v/>
      </c>
      <c r="Y393" s="9" t="str">
        <f t="shared" si="69"/>
        <v/>
      </c>
      <c r="Z393" s="2" t="str">
        <f t="shared" si="67"/>
        <v/>
      </c>
      <c r="AA393" s="9" t="str">
        <f t="shared" si="68"/>
        <v/>
      </c>
    </row>
    <row r="394" spans="23:27" x14ac:dyDescent="0.25">
      <c r="W394" s="2" t="str">
        <f t="shared" si="65"/>
        <v/>
      </c>
      <c r="X394" s="8" t="str">
        <f t="shared" si="66"/>
        <v/>
      </c>
      <c r="Y394" s="9" t="str">
        <f t="shared" si="69"/>
        <v/>
      </c>
      <c r="Z394" s="2" t="str">
        <f t="shared" si="67"/>
        <v/>
      </c>
      <c r="AA394" s="9" t="str">
        <f t="shared" si="68"/>
        <v/>
      </c>
    </row>
    <row r="395" spans="23:27" x14ac:dyDescent="0.25">
      <c r="W395" s="2" t="str">
        <f t="shared" si="65"/>
        <v/>
      </c>
      <c r="X395" s="8" t="str">
        <f t="shared" si="66"/>
        <v/>
      </c>
      <c r="Y395" s="9" t="str">
        <f t="shared" si="69"/>
        <v/>
      </c>
      <c r="Z395" s="2" t="str">
        <f t="shared" si="67"/>
        <v/>
      </c>
      <c r="AA395" s="9" t="str">
        <f t="shared" si="68"/>
        <v/>
      </c>
    </row>
    <row r="396" spans="23:27" x14ac:dyDescent="0.25">
      <c r="W396" s="2" t="str">
        <f t="shared" si="65"/>
        <v/>
      </c>
      <c r="X396" s="8" t="str">
        <f t="shared" si="66"/>
        <v/>
      </c>
      <c r="Y396" s="9" t="str">
        <f t="shared" si="69"/>
        <v/>
      </c>
      <c r="Z396" s="2" t="str">
        <f t="shared" si="67"/>
        <v/>
      </c>
      <c r="AA396" s="9" t="str">
        <f t="shared" si="68"/>
        <v/>
      </c>
    </row>
    <row r="397" spans="23:27" x14ac:dyDescent="0.25">
      <c r="W397" s="2" t="str">
        <f t="shared" si="65"/>
        <v/>
      </c>
      <c r="X397" s="8" t="str">
        <f t="shared" si="66"/>
        <v/>
      </c>
      <c r="Y397" s="9" t="str">
        <f t="shared" si="69"/>
        <v/>
      </c>
      <c r="Z397" s="2" t="str">
        <f t="shared" si="67"/>
        <v/>
      </c>
      <c r="AA397" s="9" t="str">
        <f t="shared" si="68"/>
        <v/>
      </c>
    </row>
    <row r="398" spans="23:27" x14ac:dyDescent="0.25">
      <c r="W398" s="2" t="str">
        <f t="shared" si="65"/>
        <v/>
      </c>
      <c r="X398" s="8" t="str">
        <f t="shared" si="66"/>
        <v/>
      </c>
      <c r="Y398" s="9" t="str">
        <f t="shared" si="69"/>
        <v/>
      </c>
      <c r="Z398" s="2" t="str">
        <f t="shared" si="67"/>
        <v/>
      </c>
      <c r="AA398" s="9" t="str">
        <f t="shared" si="68"/>
        <v/>
      </c>
    </row>
    <row r="399" spans="23:27" x14ac:dyDescent="0.25">
      <c r="W399" s="2" t="str">
        <f t="shared" si="65"/>
        <v/>
      </c>
      <c r="X399" s="8" t="str">
        <f t="shared" si="66"/>
        <v/>
      </c>
      <c r="Y399" s="9" t="str">
        <f t="shared" si="69"/>
        <v/>
      </c>
      <c r="Z399" s="2" t="str">
        <f t="shared" si="67"/>
        <v/>
      </c>
      <c r="AA399" s="9" t="str">
        <f t="shared" si="68"/>
        <v/>
      </c>
    </row>
    <row r="400" spans="23:27" x14ac:dyDescent="0.25">
      <c r="W400" s="2" t="str">
        <f t="shared" si="65"/>
        <v/>
      </c>
      <c r="X400" s="8" t="str">
        <f t="shared" si="66"/>
        <v/>
      </c>
      <c r="Y400" s="9" t="str">
        <f t="shared" si="69"/>
        <v/>
      </c>
      <c r="Z400" s="2" t="str">
        <f t="shared" si="67"/>
        <v/>
      </c>
      <c r="AA400" s="9" t="str">
        <f t="shared" si="68"/>
        <v/>
      </c>
    </row>
    <row r="401" spans="23:27" x14ac:dyDescent="0.25">
      <c r="W401" s="2" t="str">
        <f t="shared" si="65"/>
        <v/>
      </c>
      <c r="X401" s="8" t="str">
        <f t="shared" si="66"/>
        <v/>
      </c>
      <c r="Y401" s="9" t="str">
        <f t="shared" si="69"/>
        <v/>
      </c>
      <c r="Z401" s="2" t="str">
        <f t="shared" si="67"/>
        <v/>
      </c>
      <c r="AA401" s="9" t="str">
        <f t="shared" si="68"/>
        <v/>
      </c>
    </row>
    <row r="402" spans="23:27" x14ac:dyDescent="0.25">
      <c r="W402" s="2" t="str">
        <f t="shared" si="65"/>
        <v/>
      </c>
      <c r="X402" s="8" t="str">
        <f t="shared" si="66"/>
        <v/>
      </c>
      <c r="Y402" s="9" t="str">
        <f t="shared" si="69"/>
        <v/>
      </c>
      <c r="Z402" s="2" t="str">
        <f t="shared" si="67"/>
        <v/>
      </c>
      <c r="AA402" s="9" t="str">
        <f t="shared" si="68"/>
        <v/>
      </c>
    </row>
    <row r="403" spans="23:27" x14ac:dyDescent="0.25">
      <c r="W403" s="2" t="str">
        <f t="shared" si="65"/>
        <v/>
      </c>
      <c r="X403" s="8" t="str">
        <f t="shared" si="66"/>
        <v/>
      </c>
      <c r="Y403" s="9" t="str">
        <f t="shared" si="69"/>
        <v/>
      </c>
      <c r="Z403" s="2" t="str">
        <f t="shared" si="67"/>
        <v/>
      </c>
      <c r="AA403" s="9" t="str">
        <f t="shared" si="68"/>
        <v/>
      </c>
    </row>
    <row r="404" spans="23:27" x14ac:dyDescent="0.25">
      <c r="W404" s="2" t="str">
        <f t="shared" si="65"/>
        <v/>
      </c>
      <c r="X404" s="8" t="str">
        <f t="shared" si="66"/>
        <v/>
      </c>
      <c r="Y404" s="9" t="str">
        <f t="shared" si="69"/>
        <v/>
      </c>
      <c r="Z404" s="2" t="str">
        <f t="shared" si="67"/>
        <v/>
      </c>
      <c r="AA404" s="9" t="str">
        <f t="shared" si="68"/>
        <v/>
      </c>
    </row>
    <row r="405" spans="23:27" x14ac:dyDescent="0.25">
      <c r="W405" s="2" t="str">
        <f t="shared" si="65"/>
        <v/>
      </c>
      <c r="X405" s="8" t="str">
        <f t="shared" si="66"/>
        <v/>
      </c>
      <c r="Y405" s="9" t="str">
        <f t="shared" si="69"/>
        <v/>
      </c>
      <c r="Z405" s="2" t="str">
        <f t="shared" si="67"/>
        <v/>
      </c>
      <c r="AA405" s="9" t="str">
        <f t="shared" si="68"/>
        <v/>
      </c>
    </row>
    <row r="406" spans="23:27" x14ac:dyDescent="0.25">
      <c r="W406" s="2" t="str">
        <f t="shared" si="65"/>
        <v/>
      </c>
      <c r="X406" s="8" t="str">
        <f t="shared" si="66"/>
        <v/>
      </c>
      <c r="Y406" s="9" t="str">
        <f t="shared" si="69"/>
        <v/>
      </c>
      <c r="Z406" s="2" t="str">
        <f t="shared" si="67"/>
        <v/>
      </c>
      <c r="AA406" s="9" t="str">
        <f t="shared" si="68"/>
        <v/>
      </c>
    </row>
    <row r="407" spans="23:27" x14ac:dyDescent="0.25">
      <c r="W407" s="2" t="str">
        <f t="shared" si="65"/>
        <v/>
      </c>
      <c r="X407" s="8" t="str">
        <f t="shared" si="66"/>
        <v/>
      </c>
      <c r="Y407" s="9" t="str">
        <f t="shared" si="69"/>
        <v/>
      </c>
      <c r="Z407" s="2" t="str">
        <f t="shared" si="67"/>
        <v/>
      </c>
      <c r="AA407" s="9" t="str">
        <f t="shared" si="68"/>
        <v/>
      </c>
    </row>
    <row r="408" spans="23:27" x14ac:dyDescent="0.25">
      <c r="W408" s="2" t="str">
        <f t="shared" si="65"/>
        <v/>
      </c>
      <c r="X408" s="8" t="str">
        <f t="shared" si="66"/>
        <v/>
      </c>
      <c r="Y408" s="9" t="str">
        <f t="shared" si="69"/>
        <v/>
      </c>
      <c r="Z408" s="2" t="str">
        <f t="shared" si="67"/>
        <v/>
      </c>
      <c r="AA408" s="9" t="str">
        <f t="shared" si="68"/>
        <v/>
      </c>
    </row>
    <row r="409" spans="23:27" x14ac:dyDescent="0.25">
      <c r="W409" s="2" t="str">
        <f t="shared" si="65"/>
        <v/>
      </c>
      <c r="X409" s="8" t="str">
        <f t="shared" si="66"/>
        <v/>
      </c>
      <c r="Y409" s="9" t="str">
        <f t="shared" si="69"/>
        <v/>
      </c>
      <c r="Z409" s="2" t="str">
        <f t="shared" si="67"/>
        <v/>
      </c>
      <c r="AA409" s="9" t="str">
        <f t="shared" si="68"/>
        <v/>
      </c>
    </row>
    <row r="410" spans="23:27" x14ac:dyDescent="0.25">
      <c r="W410" s="2" t="str">
        <f t="shared" si="65"/>
        <v/>
      </c>
      <c r="X410" s="8" t="str">
        <f t="shared" si="66"/>
        <v/>
      </c>
      <c r="Y410" s="9" t="str">
        <f t="shared" si="69"/>
        <v/>
      </c>
      <c r="Z410" s="2" t="str">
        <f t="shared" si="67"/>
        <v/>
      </c>
      <c r="AA410" s="9" t="str">
        <f t="shared" si="68"/>
        <v/>
      </c>
    </row>
    <row r="411" spans="23:27" x14ac:dyDescent="0.25">
      <c r="W411" s="2" t="str">
        <f t="shared" si="65"/>
        <v/>
      </c>
      <c r="X411" s="8" t="str">
        <f t="shared" si="66"/>
        <v/>
      </c>
      <c r="Y411" s="9" t="str">
        <f t="shared" si="69"/>
        <v/>
      </c>
      <c r="Z411" s="2" t="str">
        <f t="shared" si="67"/>
        <v/>
      </c>
      <c r="AA411" s="9" t="str">
        <f t="shared" si="68"/>
        <v/>
      </c>
    </row>
    <row r="412" spans="23:27" x14ac:dyDescent="0.25">
      <c r="W412" s="2" t="str">
        <f t="shared" si="65"/>
        <v/>
      </c>
      <c r="X412" s="8" t="str">
        <f t="shared" si="66"/>
        <v/>
      </c>
      <c r="Y412" s="9" t="str">
        <f t="shared" si="69"/>
        <v/>
      </c>
      <c r="Z412" s="2" t="str">
        <f t="shared" si="67"/>
        <v/>
      </c>
      <c r="AA412" s="9" t="str">
        <f t="shared" si="68"/>
        <v/>
      </c>
    </row>
    <row r="413" spans="23:27" x14ac:dyDescent="0.25">
      <c r="W413" s="2" t="str">
        <f t="shared" si="65"/>
        <v/>
      </c>
      <c r="X413" s="8" t="str">
        <f t="shared" si="66"/>
        <v/>
      </c>
      <c r="Y413" s="9" t="str">
        <f t="shared" si="69"/>
        <v/>
      </c>
      <c r="Z413" s="2" t="str">
        <f t="shared" si="67"/>
        <v/>
      </c>
      <c r="AA413" s="9" t="str">
        <f t="shared" si="68"/>
        <v/>
      </c>
    </row>
    <row r="414" spans="23:27" x14ac:dyDescent="0.25">
      <c r="W414" s="2" t="str">
        <f t="shared" si="65"/>
        <v/>
      </c>
      <c r="X414" s="8" t="str">
        <f t="shared" si="66"/>
        <v/>
      </c>
      <c r="Y414" s="9" t="str">
        <f t="shared" si="69"/>
        <v/>
      </c>
      <c r="Z414" s="2" t="str">
        <f t="shared" si="67"/>
        <v/>
      </c>
      <c r="AA414" s="9" t="str">
        <f t="shared" si="68"/>
        <v/>
      </c>
    </row>
    <row r="415" spans="23:27" x14ac:dyDescent="0.25">
      <c r="W415" s="2" t="str">
        <f t="shared" si="65"/>
        <v/>
      </c>
      <c r="X415" s="8" t="str">
        <f t="shared" si="66"/>
        <v/>
      </c>
      <c r="Y415" s="9" t="str">
        <f t="shared" si="69"/>
        <v/>
      </c>
      <c r="Z415" s="2" t="str">
        <f t="shared" si="67"/>
        <v/>
      </c>
      <c r="AA415" s="9" t="str">
        <f t="shared" si="68"/>
        <v/>
      </c>
    </row>
    <row r="416" spans="23:27" x14ac:dyDescent="0.25">
      <c r="W416" s="2" t="str">
        <f t="shared" ref="W416:W479" si="70">IF(W415&lt;B$17,W415+1,"")</f>
        <v/>
      </c>
      <c r="X416" s="8" t="str">
        <f t="shared" ref="X416:X479" si="71">IF(W416="","",X415+30)</f>
        <v/>
      </c>
      <c r="Y416" s="9" t="str">
        <f t="shared" si="69"/>
        <v/>
      </c>
      <c r="Z416" s="2" t="str">
        <f t="shared" ref="Z416:Z479" si="72">IF(Y416="","",X416-X$30)</f>
        <v/>
      </c>
      <c r="AA416" s="9" t="str">
        <f t="shared" ref="AA416:AA479" si="73">IF(Z416="","",IF(Z416&lt;365,Z416*Y416*Y$26,365*Y416*Y$26))</f>
        <v/>
      </c>
    </row>
    <row r="417" spans="23:27" x14ac:dyDescent="0.25">
      <c r="W417" s="2" t="str">
        <f t="shared" si="70"/>
        <v/>
      </c>
      <c r="X417" s="8" t="str">
        <f t="shared" si="71"/>
        <v/>
      </c>
      <c r="Y417" s="9" t="str">
        <f t="shared" si="69"/>
        <v/>
      </c>
      <c r="Z417" s="2" t="str">
        <f t="shared" si="72"/>
        <v/>
      </c>
      <c r="AA417" s="9" t="str">
        <f t="shared" si="73"/>
        <v/>
      </c>
    </row>
    <row r="418" spans="23:27" x14ac:dyDescent="0.25">
      <c r="W418" s="2" t="str">
        <f t="shared" si="70"/>
        <v/>
      </c>
      <c r="X418" s="8" t="str">
        <f t="shared" si="71"/>
        <v/>
      </c>
      <c r="Y418" s="9" t="str">
        <f t="shared" si="69"/>
        <v/>
      </c>
      <c r="Z418" s="2" t="str">
        <f t="shared" si="72"/>
        <v/>
      </c>
      <c r="AA418" s="9" t="str">
        <f t="shared" si="73"/>
        <v/>
      </c>
    </row>
    <row r="419" spans="23:27" x14ac:dyDescent="0.25">
      <c r="W419" s="2" t="str">
        <f t="shared" si="70"/>
        <v/>
      </c>
      <c r="X419" s="8" t="str">
        <f t="shared" si="71"/>
        <v/>
      </c>
      <c r="Y419" s="9" t="str">
        <f t="shared" si="69"/>
        <v/>
      </c>
      <c r="Z419" s="2" t="str">
        <f t="shared" si="72"/>
        <v/>
      </c>
      <c r="AA419" s="9" t="str">
        <f t="shared" si="73"/>
        <v/>
      </c>
    </row>
    <row r="420" spans="23:27" x14ac:dyDescent="0.25">
      <c r="W420" s="2" t="str">
        <f t="shared" si="70"/>
        <v/>
      </c>
      <c r="X420" s="8" t="str">
        <f t="shared" si="71"/>
        <v/>
      </c>
      <c r="Y420" s="9" t="str">
        <f t="shared" si="69"/>
        <v/>
      </c>
      <c r="Z420" s="2" t="str">
        <f t="shared" si="72"/>
        <v/>
      </c>
      <c r="AA420" s="9" t="str">
        <f t="shared" si="73"/>
        <v/>
      </c>
    </row>
    <row r="421" spans="23:27" x14ac:dyDescent="0.25">
      <c r="W421" s="2" t="str">
        <f t="shared" si="70"/>
        <v/>
      </c>
      <c r="X421" s="8" t="str">
        <f t="shared" si="71"/>
        <v/>
      </c>
      <c r="Y421" s="9" t="str">
        <f t="shared" si="69"/>
        <v/>
      </c>
      <c r="Z421" s="2" t="str">
        <f t="shared" si="72"/>
        <v/>
      </c>
      <c r="AA421" s="9" t="str">
        <f t="shared" si="73"/>
        <v/>
      </c>
    </row>
    <row r="422" spans="23:27" x14ac:dyDescent="0.25">
      <c r="W422" s="2" t="str">
        <f t="shared" si="70"/>
        <v/>
      </c>
      <c r="X422" s="8" t="str">
        <f t="shared" si="71"/>
        <v/>
      </c>
      <c r="Y422" s="9" t="str">
        <f t="shared" si="69"/>
        <v/>
      </c>
      <c r="Z422" s="2" t="str">
        <f t="shared" si="72"/>
        <v/>
      </c>
      <c r="AA422" s="9" t="str">
        <f t="shared" si="73"/>
        <v/>
      </c>
    </row>
    <row r="423" spans="23:27" x14ac:dyDescent="0.25">
      <c r="W423" s="2" t="str">
        <f t="shared" si="70"/>
        <v/>
      </c>
      <c r="X423" s="8" t="str">
        <f t="shared" si="71"/>
        <v/>
      </c>
      <c r="Y423" s="9" t="str">
        <f t="shared" si="69"/>
        <v/>
      </c>
      <c r="Z423" s="2" t="str">
        <f t="shared" si="72"/>
        <v/>
      </c>
      <c r="AA423" s="9" t="str">
        <f t="shared" si="73"/>
        <v/>
      </c>
    </row>
    <row r="424" spans="23:27" x14ac:dyDescent="0.25">
      <c r="W424" s="2" t="str">
        <f t="shared" si="70"/>
        <v/>
      </c>
      <c r="X424" s="8" t="str">
        <f t="shared" si="71"/>
        <v/>
      </c>
      <c r="Y424" s="9" t="str">
        <f t="shared" si="69"/>
        <v/>
      </c>
      <c r="Z424" s="2" t="str">
        <f t="shared" si="72"/>
        <v/>
      </c>
      <c r="AA424" s="9" t="str">
        <f t="shared" si="73"/>
        <v/>
      </c>
    </row>
    <row r="425" spans="23:27" x14ac:dyDescent="0.25">
      <c r="W425" s="2" t="str">
        <f t="shared" si="70"/>
        <v/>
      </c>
      <c r="X425" s="8" t="str">
        <f t="shared" si="71"/>
        <v/>
      </c>
      <c r="Y425" s="9" t="str">
        <f t="shared" si="69"/>
        <v/>
      </c>
      <c r="Z425" s="2" t="str">
        <f t="shared" si="72"/>
        <v/>
      </c>
      <c r="AA425" s="9" t="str">
        <f t="shared" si="73"/>
        <v/>
      </c>
    </row>
    <row r="426" spans="23:27" x14ac:dyDescent="0.25">
      <c r="W426" s="2" t="str">
        <f t="shared" si="70"/>
        <v/>
      </c>
      <c r="X426" s="8" t="str">
        <f t="shared" si="71"/>
        <v/>
      </c>
      <c r="Y426" s="9" t="str">
        <f t="shared" si="69"/>
        <v/>
      </c>
      <c r="Z426" s="2" t="str">
        <f t="shared" si="72"/>
        <v/>
      </c>
      <c r="AA426" s="9" t="str">
        <f t="shared" si="73"/>
        <v/>
      </c>
    </row>
    <row r="427" spans="23:27" x14ac:dyDescent="0.25">
      <c r="W427" s="2" t="str">
        <f t="shared" si="70"/>
        <v/>
      </c>
      <c r="X427" s="8" t="str">
        <f t="shared" si="71"/>
        <v/>
      </c>
      <c r="Y427" s="9" t="str">
        <f t="shared" si="69"/>
        <v/>
      </c>
      <c r="Z427" s="2" t="str">
        <f t="shared" si="72"/>
        <v/>
      </c>
      <c r="AA427" s="9" t="str">
        <f t="shared" si="73"/>
        <v/>
      </c>
    </row>
    <row r="428" spans="23:27" x14ac:dyDescent="0.25">
      <c r="W428" s="2" t="str">
        <f t="shared" si="70"/>
        <v/>
      </c>
      <c r="X428" s="8" t="str">
        <f t="shared" si="71"/>
        <v/>
      </c>
      <c r="Y428" s="9" t="str">
        <f t="shared" si="69"/>
        <v/>
      </c>
      <c r="Z428" s="2" t="str">
        <f t="shared" si="72"/>
        <v/>
      </c>
      <c r="AA428" s="9" t="str">
        <f t="shared" si="73"/>
        <v/>
      </c>
    </row>
    <row r="429" spans="23:27" x14ac:dyDescent="0.25">
      <c r="W429" s="2" t="str">
        <f t="shared" si="70"/>
        <v/>
      </c>
      <c r="X429" s="8" t="str">
        <f t="shared" si="71"/>
        <v/>
      </c>
      <c r="Y429" s="9" t="str">
        <f t="shared" si="69"/>
        <v/>
      </c>
      <c r="Z429" s="2" t="str">
        <f t="shared" si="72"/>
        <v/>
      </c>
      <c r="AA429" s="9" t="str">
        <f t="shared" si="73"/>
        <v/>
      </c>
    </row>
    <row r="430" spans="23:27" x14ac:dyDescent="0.25">
      <c r="W430" s="2" t="str">
        <f t="shared" si="70"/>
        <v/>
      </c>
      <c r="X430" s="8" t="str">
        <f t="shared" si="71"/>
        <v/>
      </c>
      <c r="Y430" s="9" t="str">
        <f t="shared" si="69"/>
        <v/>
      </c>
      <c r="Z430" s="2" t="str">
        <f t="shared" si="72"/>
        <v/>
      </c>
      <c r="AA430" s="9" t="str">
        <f t="shared" si="73"/>
        <v/>
      </c>
    </row>
    <row r="431" spans="23:27" x14ac:dyDescent="0.25">
      <c r="W431" s="2" t="str">
        <f t="shared" si="70"/>
        <v/>
      </c>
      <c r="X431" s="8" t="str">
        <f t="shared" si="71"/>
        <v/>
      </c>
      <c r="Y431" s="9" t="str">
        <f t="shared" si="69"/>
        <v/>
      </c>
      <c r="Z431" s="2" t="str">
        <f t="shared" si="72"/>
        <v/>
      </c>
      <c r="AA431" s="9" t="str">
        <f t="shared" si="73"/>
        <v/>
      </c>
    </row>
    <row r="432" spans="23:27" x14ac:dyDescent="0.25">
      <c r="W432" s="2" t="str">
        <f t="shared" si="70"/>
        <v/>
      </c>
      <c r="X432" s="8" t="str">
        <f t="shared" si="71"/>
        <v/>
      </c>
      <c r="Y432" s="9" t="str">
        <f t="shared" si="69"/>
        <v/>
      </c>
      <c r="Z432" s="2" t="str">
        <f t="shared" si="72"/>
        <v/>
      </c>
      <c r="AA432" s="9" t="str">
        <f t="shared" si="73"/>
        <v/>
      </c>
    </row>
    <row r="433" spans="23:27" x14ac:dyDescent="0.25">
      <c r="W433" s="2" t="str">
        <f t="shared" si="70"/>
        <v/>
      </c>
      <c r="X433" s="8" t="str">
        <f t="shared" si="71"/>
        <v/>
      </c>
      <c r="Y433" s="9" t="str">
        <f t="shared" si="69"/>
        <v/>
      </c>
      <c r="Z433" s="2" t="str">
        <f t="shared" si="72"/>
        <v/>
      </c>
      <c r="AA433" s="9" t="str">
        <f t="shared" si="73"/>
        <v/>
      </c>
    </row>
    <row r="434" spans="23:27" x14ac:dyDescent="0.25">
      <c r="W434" s="2" t="str">
        <f t="shared" si="70"/>
        <v/>
      </c>
      <c r="X434" s="8" t="str">
        <f t="shared" si="71"/>
        <v/>
      </c>
      <c r="Y434" s="9" t="str">
        <f t="shared" si="69"/>
        <v/>
      </c>
      <c r="Z434" s="2" t="str">
        <f t="shared" si="72"/>
        <v/>
      </c>
      <c r="AA434" s="9" t="str">
        <f t="shared" si="73"/>
        <v/>
      </c>
    </row>
    <row r="435" spans="23:27" x14ac:dyDescent="0.25">
      <c r="W435" s="2" t="str">
        <f t="shared" si="70"/>
        <v/>
      </c>
      <c r="X435" s="8" t="str">
        <f t="shared" si="71"/>
        <v/>
      </c>
      <c r="Y435" s="9" t="str">
        <f t="shared" si="69"/>
        <v/>
      </c>
      <c r="Z435" s="2" t="str">
        <f t="shared" si="72"/>
        <v/>
      </c>
      <c r="AA435" s="9" t="str">
        <f t="shared" si="73"/>
        <v/>
      </c>
    </row>
    <row r="436" spans="23:27" x14ac:dyDescent="0.25">
      <c r="W436" s="2" t="str">
        <f t="shared" si="70"/>
        <v/>
      </c>
      <c r="X436" s="8" t="str">
        <f t="shared" si="71"/>
        <v/>
      </c>
      <c r="Y436" s="9" t="str">
        <f t="shared" si="69"/>
        <v/>
      </c>
      <c r="Z436" s="2" t="str">
        <f t="shared" si="72"/>
        <v/>
      </c>
      <c r="AA436" s="9" t="str">
        <f t="shared" si="73"/>
        <v/>
      </c>
    </row>
    <row r="437" spans="23:27" x14ac:dyDescent="0.25">
      <c r="W437" s="2" t="str">
        <f t="shared" si="70"/>
        <v/>
      </c>
      <c r="X437" s="8" t="str">
        <f t="shared" si="71"/>
        <v/>
      </c>
      <c r="Y437" s="9" t="str">
        <f t="shared" si="69"/>
        <v/>
      </c>
      <c r="Z437" s="2" t="str">
        <f t="shared" si="72"/>
        <v/>
      </c>
      <c r="AA437" s="9" t="str">
        <f t="shared" si="73"/>
        <v/>
      </c>
    </row>
    <row r="438" spans="23:27" x14ac:dyDescent="0.25">
      <c r="W438" s="2" t="str">
        <f t="shared" si="70"/>
        <v/>
      </c>
      <c r="X438" s="8" t="str">
        <f t="shared" si="71"/>
        <v/>
      </c>
      <c r="Y438" s="9" t="str">
        <f t="shared" si="69"/>
        <v/>
      </c>
      <c r="Z438" s="2" t="str">
        <f t="shared" si="72"/>
        <v/>
      </c>
      <c r="AA438" s="9" t="str">
        <f t="shared" si="73"/>
        <v/>
      </c>
    </row>
    <row r="439" spans="23:27" x14ac:dyDescent="0.25">
      <c r="W439" s="2" t="str">
        <f t="shared" si="70"/>
        <v/>
      </c>
      <c r="X439" s="8" t="str">
        <f t="shared" si="71"/>
        <v/>
      </c>
      <c r="Y439" s="9" t="str">
        <f t="shared" si="69"/>
        <v/>
      </c>
      <c r="Z439" s="2" t="str">
        <f t="shared" si="72"/>
        <v/>
      </c>
      <c r="AA439" s="9" t="str">
        <f t="shared" si="73"/>
        <v/>
      </c>
    </row>
    <row r="440" spans="23:27" x14ac:dyDescent="0.25">
      <c r="W440" s="2" t="str">
        <f t="shared" si="70"/>
        <v/>
      </c>
      <c r="X440" s="8" t="str">
        <f t="shared" si="71"/>
        <v/>
      </c>
      <c r="Y440" s="9" t="str">
        <f t="shared" si="69"/>
        <v/>
      </c>
      <c r="Z440" s="2" t="str">
        <f t="shared" si="72"/>
        <v/>
      </c>
      <c r="AA440" s="9" t="str">
        <f t="shared" si="73"/>
        <v/>
      </c>
    </row>
    <row r="441" spans="23:27" x14ac:dyDescent="0.25">
      <c r="W441" s="2" t="str">
        <f t="shared" si="70"/>
        <v/>
      </c>
      <c r="X441" s="8" t="str">
        <f t="shared" si="71"/>
        <v/>
      </c>
      <c r="Y441" s="9" t="str">
        <f t="shared" si="69"/>
        <v/>
      </c>
      <c r="Z441" s="2" t="str">
        <f t="shared" si="72"/>
        <v/>
      </c>
      <c r="AA441" s="9" t="str">
        <f t="shared" si="73"/>
        <v/>
      </c>
    </row>
    <row r="442" spans="23:27" x14ac:dyDescent="0.25">
      <c r="W442" s="2" t="str">
        <f t="shared" si="70"/>
        <v/>
      </c>
      <c r="X442" s="8" t="str">
        <f t="shared" si="71"/>
        <v/>
      </c>
      <c r="Y442" s="9" t="str">
        <f t="shared" si="69"/>
        <v/>
      </c>
      <c r="Z442" s="2" t="str">
        <f t="shared" si="72"/>
        <v/>
      </c>
      <c r="AA442" s="9" t="str">
        <f t="shared" si="73"/>
        <v/>
      </c>
    </row>
    <row r="443" spans="23:27" x14ac:dyDescent="0.25">
      <c r="W443" s="2" t="str">
        <f t="shared" si="70"/>
        <v/>
      </c>
      <c r="X443" s="8" t="str">
        <f t="shared" si="71"/>
        <v/>
      </c>
      <c r="Y443" s="9" t="str">
        <f t="shared" si="69"/>
        <v/>
      </c>
      <c r="Z443" s="2" t="str">
        <f t="shared" si="72"/>
        <v/>
      </c>
      <c r="AA443" s="9" t="str">
        <f t="shared" si="73"/>
        <v/>
      </c>
    </row>
    <row r="444" spans="23:27" x14ac:dyDescent="0.25">
      <c r="W444" s="2" t="str">
        <f t="shared" si="70"/>
        <v/>
      </c>
      <c r="X444" s="8" t="str">
        <f t="shared" si="71"/>
        <v/>
      </c>
      <c r="Y444" s="9" t="str">
        <f t="shared" si="69"/>
        <v/>
      </c>
      <c r="Z444" s="2" t="str">
        <f t="shared" si="72"/>
        <v/>
      </c>
      <c r="AA444" s="9" t="str">
        <f t="shared" si="73"/>
        <v/>
      </c>
    </row>
    <row r="445" spans="23:27" x14ac:dyDescent="0.25">
      <c r="W445" s="2" t="str">
        <f t="shared" si="70"/>
        <v/>
      </c>
      <c r="X445" s="8" t="str">
        <f t="shared" si="71"/>
        <v/>
      </c>
      <c r="Y445" s="9" t="str">
        <f t="shared" si="69"/>
        <v/>
      </c>
      <c r="Z445" s="2" t="str">
        <f t="shared" si="72"/>
        <v/>
      </c>
      <c r="AA445" s="9" t="str">
        <f t="shared" si="73"/>
        <v/>
      </c>
    </row>
    <row r="446" spans="23:27" x14ac:dyDescent="0.25">
      <c r="W446" s="2" t="str">
        <f t="shared" si="70"/>
        <v/>
      </c>
      <c r="X446" s="8" t="str">
        <f t="shared" si="71"/>
        <v/>
      </c>
      <c r="Y446" s="9" t="str">
        <f t="shared" si="69"/>
        <v/>
      </c>
      <c r="Z446" s="2" t="str">
        <f t="shared" si="72"/>
        <v/>
      </c>
      <c r="AA446" s="9" t="str">
        <f t="shared" si="73"/>
        <v/>
      </c>
    </row>
    <row r="447" spans="23:27" x14ac:dyDescent="0.25">
      <c r="W447" s="2" t="str">
        <f t="shared" si="70"/>
        <v/>
      </c>
      <c r="X447" s="8" t="str">
        <f t="shared" si="71"/>
        <v/>
      </c>
      <c r="Y447" s="9" t="str">
        <f t="shared" si="69"/>
        <v/>
      </c>
      <c r="Z447" s="2" t="str">
        <f t="shared" si="72"/>
        <v/>
      </c>
      <c r="AA447" s="9" t="str">
        <f t="shared" si="73"/>
        <v/>
      </c>
    </row>
    <row r="448" spans="23:27" x14ac:dyDescent="0.25">
      <c r="W448" s="2" t="str">
        <f t="shared" si="70"/>
        <v/>
      </c>
      <c r="X448" s="8" t="str">
        <f t="shared" si="71"/>
        <v/>
      </c>
      <c r="Y448" s="9" t="str">
        <f t="shared" si="69"/>
        <v/>
      </c>
      <c r="Z448" s="2" t="str">
        <f t="shared" si="72"/>
        <v/>
      </c>
      <c r="AA448" s="9" t="str">
        <f t="shared" si="73"/>
        <v/>
      </c>
    </row>
    <row r="449" spans="23:27" x14ac:dyDescent="0.25">
      <c r="W449" s="2" t="str">
        <f t="shared" si="70"/>
        <v/>
      </c>
      <c r="X449" s="8" t="str">
        <f t="shared" si="71"/>
        <v/>
      </c>
      <c r="Y449" s="9" t="str">
        <f t="shared" si="69"/>
        <v/>
      </c>
      <c r="Z449" s="2" t="str">
        <f t="shared" si="72"/>
        <v/>
      </c>
      <c r="AA449" s="9" t="str">
        <f t="shared" si="73"/>
        <v/>
      </c>
    </row>
    <row r="450" spans="23:27" x14ac:dyDescent="0.25">
      <c r="W450" s="2" t="str">
        <f t="shared" si="70"/>
        <v/>
      </c>
      <c r="X450" s="8" t="str">
        <f t="shared" si="71"/>
        <v/>
      </c>
      <c r="Y450" s="9" t="str">
        <f t="shared" ref="Y450:Y513" si="74">IF(X450="","",D443)</f>
        <v/>
      </c>
      <c r="Z450" s="2" t="str">
        <f t="shared" si="72"/>
        <v/>
      </c>
      <c r="AA450" s="9" t="str">
        <f t="shared" si="73"/>
        <v/>
      </c>
    </row>
    <row r="451" spans="23:27" x14ac:dyDescent="0.25">
      <c r="W451" s="2" t="str">
        <f t="shared" si="70"/>
        <v/>
      </c>
      <c r="X451" s="8" t="str">
        <f t="shared" si="71"/>
        <v/>
      </c>
      <c r="Y451" s="9" t="str">
        <f t="shared" si="74"/>
        <v/>
      </c>
      <c r="Z451" s="2" t="str">
        <f t="shared" si="72"/>
        <v/>
      </c>
      <c r="AA451" s="9" t="str">
        <f t="shared" si="73"/>
        <v/>
      </c>
    </row>
    <row r="452" spans="23:27" x14ac:dyDescent="0.25">
      <c r="W452" s="2" t="str">
        <f t="shared" si="70"/>
        <v/>
      </c>
      <c r="X452" s="8" t="str">
        <f t="shared" si="71"/>
        <v/>
      </c>
      <c r="Y452" s="9" t="str">
        <f t="shared" si="74"/>
        <v/>
      </c>
      <c r="Z452" s="2" t="str">
        <f t="shared" si="72"/>
        <v/>
      </c>
      <c r="AA452" s="9" t="str">
        <f t="shared" si="73"/>
        <v/>
      </c>
    </row>
    <row r="453" spans="23:27" x14ac:dyDescent="0.25">
      <c r="W453" s="2" t="str">
        <f t="shared" si="70"/>
        <v/>
      </c>
      <c r="X453" s="8" t="str">
        <f t="shared" si="71"/>
        <v/>
      </c>
      <c r="Y453" s="9" t="str">
        <f t="shared" si="74"/>
        <v/>
      </c>
      <c r="Z453" s="2" t="str">
        <f t="shared" si="72"/>
        <v/>
      </c>
      <c r="AA453" s="9" t="str">
        <f t="shared" si="73"/>
        <v/>
      </c>
    </row>
    <row r="454" spans="23:27" x14ac:dyDescent="0.25">
      <c r="W454" s="2" t="str">
        <f t="shared" si="70"/>
        <v/>
      </c>
      <c r="X454" s="8" t="str">
        <f t="shared" si="71"/>
        <v/>
      </c>
      <c r="Y454" s="9" t="str">
        <f t="shared" si="74"/>
        <v/>
      </c>
      <c r="Z454" s="2" t="str">
        <f t="shared" si="72"/>
        <v/>
      </c>
      <c r="AA454" s="9" t="str">
        <f t="shared" si="73"/>
        <v/>
      </c>
    </row>
    <row r="455" spans="23:27" x14ac:dyDescent="0.25">
      <c r="W455" s="2" t="str">
        <f t="shared" si="70"/>
        <v/>
      </c>
      <c r="X455" s="8" t="str">
        <f t="shared" si="71"/>
        <v/>
      </c>
      <c r="Y455" s="9" t="str">
        <f t="shared" si="74"/>
        <v/>
      </c>
      <c r="Z455" s="2" t="str">
        <f t="shared" si="72"/>
        <v/>
      </c>
      <c r="AA455" s="9" t="str">
        <f t="shared" si="73"/>
        <v/>
      </c>
    </row>
    <row r="456" spans="23:27" x14ac:dyDescent="0.25">
      <c r="W456" s="2" t="str">
        <f t="shared" si="70"/>
        <v/>
      </c>
      <c r="X456" s="8" t="str">
        <f t="shared" si="71"/>
        <v/>
      </c>
      <c r="Y456" s="9" t="str">
        <f t="shared" si="74"/>
        <v/>
      </c>
      <c r="Z456" s="2" t="str">
        <f t="shared" si="72"/>
        <v/>
      </c>
      <c r="AA456" s="9" t="str">
        <f t="shared" si="73"/>
        <v/>
      </c>
    </row>
    <row r="457" spans="23:27" x14ac:dyDescent="0.25">
      <c r="W457" s="2" t="str">
        <f t="shared" si="70"/>
        <v/>
      </c>
      <c r="X457" s="8" t="str">
        <f t="shared" si="71"/>
        <v/>
      </c>
      <c r="Y457" s="9" t="str">
        <f t="shared" si="74"/>
        <v/>
      </c>
      <c r="Z457" s="2" t="str">
        <f t="shared" si="72"/>
        <v/>
      </c>
      <c r="AA457" s="9" t="str">
        <f t="shared" si="73"/>
        <v/>
      </c>
    </row>
    <row r="458" spans="23:27" x14ac:dyDescent="0.25">
      <c r="W458" s="2" t="str">
        <f t="shared" si="70"/>
        <v/>
      </c>
      <c r="X458" s="8" t="str">
        <f t="shared" si="71"/>
        <v/>
      </c>
      <c r="Y458" s="9" t="str">
        <f t="shared" si="74"/>
        <v/>
      </c>
      <c r="Z458" s="2" t="str">
        <f t="shared" si="72"/>
        <v/>
      </c>
      <c r="AA458" s="9" t="str">
        <f t="shared" si="73"/>
        <v/>
      </c>
    </row>
    <row r="459" spans="23:27" x14ac:dyDescent="0.25">
      <c r="W459" s="2" t="str">
        <f t="shared" si="70"/>
        <v/>
      </c>
      <c r="X459" s="8" t="str">
        <f t="shared" si="71"/>
        <v/>
      </c>
      <c r="Y459" s="9" t="str">
        <f t="shared" si="74"/>
        <v/>
      </c>
      <c r="Z459" s="2" t="str">
        <f t="shared" si="72"/>
        <v/>
      </c>
      <c r="AA459" s="9" t="str">
        <f t="shared" si="73"/>
        <v/>
      </c>
    </row>
    <row r="460" spans="23:27" x14ac:dyDescent="0.25">
      <c r="W460" s="2" t="str">
        <f t="shared" si="70"/>
        <v/>
      </c>
      <c r="X460" s="8" t="str">
        <f t="shared" si="71"/>
        <v/>
      </c>
      <c r="Y460" s="9" t="str">
        <f t="shared" si="74"/>
        <v/>
      </c>
      <c r="Z460" s="2" t="str">
        <f t="shared" si="72"/>
        <v/>
      </c>
      <c r="AA460" s="9" t="str">
        <f t="shared" si="73"/>
        <v/>
      </c>
    </row>
    <row r="461" spans="23:27" x14ac:dyDescent="0.25">
      <c r="W461" s="2" t="str">
        <f t="shared" si="70"/>
        <v/>
      </c>
      <c r="X461" s="8" t="str">
        <f t="shared" si="71"/>
        <v/>
      </c>
      <c r="Y461" s="9" t="str">
        <f t="shared" si="74"/>
        <v/>
      </c>
      <c r="Z461" s="2" t="str">
        <f t="shared" si="72"/>
        <v/>
      </c>
      <c r="AA461" s="9" t="str">
        <f t="shared" si="73"/>
        <v/>
      </c>
    </row>
    <row r="462" spans="23:27" x14ac:dyDescent="0.25">
      <c r="W462" s="2" t="str">
        <f t="shared" si="70"/>
        <v/>
      </c>
      <c r="X462" s="8" t="str">
        <f t="shared" si="71"/>
        <v/>
      </c>
      <c r="Y462" s="9" t="str">
        <f t="shared" si="74"/>
        <v/>
      </c>
      <c r="Z462" s="2" t="str">
        <f t="shared" si="72"/>
        <v/>
      </c>
      <c r="AA462" s="9" t="str">
        <f t="shared" si="73"/>
        <v/>
      </c>
    </row>
    <row r="463" spans="23:27" x14ac:dyDescent="0.25">
      <c r="W463" s="2" t="str">
        <f t="shared" si="70"/>
        <v/>
      </c>
      <c r="X463" s="8" t="str">
        <f t="shared" si="71"/>
        <v/>
      </c>
      <c r="Y463" s="9" t="str">
        <f t="shared" si="74"/>
        <v/>
      </c>
      <c r="Z463" s="2" t="str">
        <f t="shared" si="72"/>
        <v/>
      </c>
      <c r="AA463" s="9" t="str">
        <f t="shared" si="73"/>
        <v/>
      </c>
    </row>
    <row r="464" spans="23:27" x14ac:dyDescent="0.25">
      <c r="W464" s="2" t="str">
        <f t="shared" si="70"/>
        <v/>
      </c>
      <c r="X464" s="8" t="str">
        <f t="shared" si="71"/>
        <v/>
      </c>
      <c r="Y464" s="9" t="str">
        <f t="shared" si="74"/>
        <v/>
      </c>
      <c r="Z464" s="2" t="str">
        <f t="shared" si="72"/>
        <v/>
      </c>
      <c r="AA464" s="9" t="str">
        <f t="shared" si="73"/>
        <v/>
      </c>
    </row>
    <row r="465" spans="23:27" x14ac:dyDescent="0.25">
      <c r="W465" s="2" t="str">
        <f t="shared" si="70"/>
        <v/>
      </c>
      <c r="X465" s="8" t="str">
        <f t="shared" si="71"/>
        <v/>
      </c>
      <c r="Y465" s="9" t="str">
        <f t="shared" si="74"/>
        <v/>
      </c>
      <c r="Z465" s="2" t="str">
        <f t="shared" si="72"/>
        <v/>
      </c>
      <c r="AA465" s="9" t="str">
        <f t="shared" si="73"/>
        <v/>
      </c>
    </row>
    <row r="466" spans="23:27" x14ac:dyDescent="0.25">
      <c r="W466" s="2" t="str">
        <f t="shared" si="70"/>
        <v/>
      </c>
      <c r="X466" s="8" t="str">
        <f t="shared" si="71"/>
        <v/>
      </c>
      <c r="Y466" s="9" t="str">
        <f t="shared" si="74"/>
        <v/>
      </c>
      <c r="Z466" s="2" t="str">
        <f t="shared" si="72"/>
        <v/>
      </c>
      <c r="AA466" s="9" t="str">
        <f t="shared" si="73"/>
        <v/>
      </c>
    </row>
    <row r="467" spans="23:27" x14ac:dyDescent="0.25">
      <c r="W467" s="2" t="str">
        <f t="shared" si="70"/>
        <v/>
      </c>
      <c r="X467" s="8" t="str">
        <f t="shared" si="71"/>
        <v/>
      </c>
      <c r="Y467" s="9" t="str">
        <f t="shared" si="74"/>
        <v/>
      </c>
      <c r="Z467" s="2" t="str">
        <f t="shared" si="72"/>
        <v/>
      </c>
      <c r="AA467" s="9" t="str">
        <f t="shared" si="73"/>
        <v/>
      </c>
    </row>
    <row r="468" spans="23:27" x14ac:dyDescent="0.25">
      <c r="W468" s="2" t="str">
        <f t="shared" si="70"/>
        <v/>
      </c>
      <c r="X468" s="8" t="str">
        <f t="shared" si="71"/>
        <v/>
      </c>
      <c r="Y468" s="9" t="str">
        <f t="shared" si="74"/>
        <v/>
      </c>
      <c r="Z468" s="2" t="str">
        <f t="shared" si="72"/>
        <v/>
      </c>
      <c r="AA468" s="9" t="str">
        <f t="shared" si="73"/>
        <v/>
      </c>
    </row>
    <row r="469" spans="23:27" x14ac:dyDescent="0.25">
      <c r="W469" s="2" t="str">
        <f t="shared" si="70"/>
        <v/>
      </c>
      <c r="X469" s="8" t="str">
        <f t="shared" si="71"/>
        <v/>
      </c>
      <c r="Y469" s="9" t="str">
        <f t="shared" si="74"/>
        <v/>
      </c>
      <c r="Z469" s="2" t="str">
        <f t="shared" si="72"/>
        <v/>
      </c>
      <c r="AA469" s="9" t="str">
        <f t="shared" si="73"/>
        <v/>
      </c>
    </row>
    <row r="470" spans="23:27" x14ac:dyDescent="0.25">
      <c r="W470" s="2" t="str">
        <f t="shared" si="70"/>
        <v/>
      </c>
      <c r="X470" s="8" t="str">
        <f t="shared" si="71"/>
        <v/>
      </c>
      <c r="Y470" s="9" t="str">
        <f t="shared" si="74"/>
        <v/>
      </c>
      <c r="Z470" s="2" t="str">
        <f t="shared" si="72"/>
        <v/>
      </c>
      <c r="AA470" s="9" t="str">
        <f t="shared" si="73"/>
        <v/>
      </c>
    </row>
    <row r="471" spans="23:27" x14ac:dyDescent="0.25">
      <c r="W471" s="2" t="str">
        <f t="shared" si="70"/>
        <v/>
      </c>
      <c r="X471" s="8" t="str">
        <f t="shared" si="71"/>
        <v/>
      </c>
      <c r="Y471" s="9" t="str">
        <f t="shared" si="74"/>
        <v/>
      </c>
      <c r="Z471" s="2" t="str">
        <f t="shared" si="72"/>
        <v/>
      </c>
      <c r="AA471" s="9" t="str">
        <f t="shared" si="73"/>
        <v/>
      </c>
    </row>
    <row r="472" spans="23:27" x14ac:dyDescent="0.25">
      <c r="W472" s="2" t="str">
        <f t="shared" si="70"/>
        <v/>
      </c>
      <c r="X472" s="8" t="str">
        <f t="shared" si="71"/>
        <v/>
      </c>
      <c r="Y472" s="9" t="str">
        <f t="shared" si="74"/>
        <v/>
      </c>
      <c r="Z472" s="2" t="str">
        <f t="shared" si="72"/>
        <v/>
      </c>
      <c r="AA472" s="9" t="str">
        <f t="shared" si="73"/>
        <v/>
      </c>
    </row>
    <row r="473" spans="23:27" x14ac:dyDescent="0.25">
      <c r="W473" s="2" t="str">
        <f t="shared" si="70"/>
        <v/>
      </c>
      <c r="X473" s="8" t="str">
        <f t="shared" si="71"/>
        <v/>
      </c>
      <c r="Y473" s="9" t="str">
        <f t="shared" si="74"/>
        <v/>
      </c>
      <c r="Z473" s="2" t="str">
        <f t="shared" si="72"/>
        <v/>
      </c>
      <c r="AA473" s="9" t="str">
        <f t="shared" si="73"/>
        <v/>
      </c>
    </row>
    <row r="474" spans="23:27" x14ac:dyDescent="0.25">
      <c r="W474" s="2" t="str">
        <f t="shared" si="70"/>
        <v/>
      </c>
      <c r="X474" s="8" t="str">
        <f t="shared" si="71"/>
        <v/>
      </c>
      <c r="Y474" s="9" t="str">
        <f t="shared" si="74"/>
        <v/>
      </c>
      <c r="Z474" s="2" t="str">
        <f t="shared" si="72"/>
        <v/>
      </c>
      <c r="AA474" s="9" t="str">
        <f t="shared" si="73"/>
        <v/>
      </c>
    </row>
    <row r="475" spans="23:27" x14ac:dyDescent="0.25">
      <c r="W475" s="2" t="str">
        <f t="shared" si="70"/>
        <v/>
      </c>
      <c r="X475" s="8" t="str">
        <f t="shared" si="71"/>
        <v/>
      </c>
      <c r="Y475" s="9" t="str">
        <f t="shared" si="74"/>
        <v/>
      </c>
      <c r="Z475" s="2" t="str">
        <f t="shared" si="72"/>
        <v/>
      </c>
      <c r="AA475" s="9" t="str">
        <f t="shared" si="73"/>
        <v/>
      </c>
    </row>
    <row r="476" spans="23:27" x14ac:dyDescent="0.25">
      <c r="W476" s="2" t="str">
        <f t="shared" si="70"/>
        <v/>
      </c>
      <c r="X476" s="8" t="str">
        <f t="shared" si="71"/>
        <v/>
      </c>
      <c r="Y476" s="9" t="str">
        <f t="shared" si="74"/>
        <v/>
      </c>
      <c r="Z476" s="2" t="str">
        <f t="shared" si="72"/>
        <v/>
      </c>
      <c r="AA476" s="9" t="str">
        <f t="shared" si="73"/>
        <v/>
      </c>
    </row>
    <row r="477" spans="23:27" x14ac:dyDescent="0.25">
      <c r="W477" s="2" t="str">
        <f t="shared" si="70"/>
        <v/>
      </c>
      <c r="X477" s="8" t="str">
        <f t="shared" si="71"/>
        <v/>
      </c>
      <c r="Y477" s="9" t="str">
        <f t="shared" si="74"/>
        <v/>
      </c>
      <c r="Z477" s="2" t="str">
        <f t="shared" si="72"/>
        <v/>
      </c>
      <c r="AA477" s="9" t="str">
        <f t="shared" si="73"/>
        <v/>
      </c>
    </row>
    <row r="478" spans="23:27" x14ac:dyDescent="0.25">
      <c r="W478" s="2" t="str">
        <f t="shared" si="70"/>
        <v/>
      </c>
      <c r="X478" s="8" t="str">
        <f t="shared" si="71"/>
        <v/>
      </c>
      <c r="Y478" s="9" t="str">
        <f t="shared" si="74"/>
        <v/>
      </c>
      <c r="Z478" s="2" t="str">
        <f t="shared" si="72"/>
        <v/>
      </c>
      <c r="AA478" s="9" t="str">
        <f t="shared" si="73"/>
        <v/>
      </c>
    </row>
    <row r="479" spans="23:27" x14ac:dyDescent="0.25">
      <c r="W479" s="2" t="str">
        <f t="shared" si="70"/>
        <v/>
      </c>
      <c r="X479" s="8" t="str">
        <f t="shared" si="71"/>
        <v/>
      </c>
      <c r="Y479" s="9" t="str">
        <f t="shared" si="74"/>
        <v/>
      </c>
      <c r="Z479" s="2" t="str">
        <f t="shared" si="72"/>
        <v/>
      </c>
      <c r="AA479" s="9" t="str">
        <f t="shared" si="73"/>
        <v/>
      </c>
    </row>
    <row r="480" spans="23:27" x14ac:dyDescent="0.25">
      <c r="W480" s="2" t="str">
        <f t="shared" ref="W480:W543" si="75">IF(W479&lt;B$17,W479+1,"")</f>
        <v/>
      </c>
      <c r="X480" s="8" t="str">
        <f t="shared" ref="X480:X543" si="76">IF(W480="","",X479+30)</f>
        <v/>
      </c>
      <c r="Y480" s="9" t="str">
        <f t="shared" si="74"/>
        <v/>
      </c>
      <c r="Z480" s="2" t="str">
        <f t="shared" ref="Z480:Z543" si="77">IF(Y480="","",X480-X$30)</f>
        <v/>
      </c>
      <c r="AA480" s="9" t="str">
        <f t="shared" ref="AA480:AA503" si="78">IF(Z480="","",IF(Z480&lt;365,Z480*Y480*Y$26,365*Y480*Y$26))</f>
        <v/>
      </c>
    </row>
    <row r="481" spans="23:27" x14ac:dyDescent="0.25">
      <c r="W481" s="2" t="str">
        <f t="shared" si="75"/>
        <v/>
      </c>
      <c r="X481" s="8" t="str">
        <f t="shared" si="76"/>
        <v/>
      </c>
      <c r="Y481" s="9" t="str">
        <f t="shared" si="74"/>
        <v/>
      </c>
      <c r="Z481" s="2" t="str">
        <f t="shared" si="77"/>
        <v/>
      </c>
      <c r="AA481" s="9" t="str">
        <f t="shared" si="78"/>
        <v/>
      </c>
    </row>
    <row r="482" spans="23:27" x14ac:dyDescent="0.25">
      <c r="W482" s="2" t="str">
        <f t="shared" si="75"/>
        <v/>
      </c>
      <c r="X482" s="8" t="str">
        <f t="shared" si="76"/>
        <v/>
      </c>
      <c r="Y482" s="9" t="str">
        <f t="shared" si="74"/>
        <v/>
      </c>
      <c r="Z482" s="2" t="str">
        <f t="shared" si="77"/>
        <v/>
      </c>
      <c r="AA482" s="9" t="str">
        <f t="shared" si="78"/>
        <v/>
      </c>
    </row>
    <row r="483" spans="23:27" x14ac:dyDescent="0.25">
      <c r="W483" s="2" t="str">
        <f t="shared" si="75"/>
        <v/>
      </c>
      <c r="X483" s="8" t="str">
        <f t="shared" si="76"/>
        <v/>
      </c>
      <c r="Y483" s="9" t="str">
        <f t="shared" si="74"/>
        <v/>
      </c>
      <c r="Z483" s="2" t="str">
        <f t="shared" si="77"/>
        <v/>
      </c>
      <c r="AA483" s="9" t="str">
        <f t="shared" si="78"/>
        <v/>
      </c>
    </row>
    <row r="484" spans="23:27" x14ac:dyDescent="0.25">
      <c r="W484" s="2" t="str">
        <f t="shared" si="75"/>
        <v/>
      </c>
      <c r="X484" s="8" t="str">
        <f t="shared" si="76"/>
        <v/>
      </c>
      <c r="Y484" s="9" t="str">
        <f t="shared" si="74"/>
        <v/>
      </c>
      <c r="Z484" s="2" t="str">
        <f t="shared" si="77"/>
        <v/>
      </c>
      <c r="AA484" s="9" t="str">
        <f t="shared" si="78"/>
        <v/>
      </c>
    </row>
    <row r="485" spans="23:27" x14ac:dyDescent="0.25">
      <c r="W485" s="2" t="str">
        <f t="shared" si="75"/>
        <v/>
      </c>
      <c r="X485" s="8" t="str">
        <f t="shared" si="76"/>
        <v/>
      </c>
      <c r="Y485" s="9" t="str">
        <f t="shared" si="74"/>
        <v/>
      </c>
      <c r="Z485" s="2" t="str">
        <f t="shared" si="77"/>
        <v/>
      </c>
      <c r="AA485" s="9" t="str">
        <f t="shared" si="78"/>
        <v/>
      </c>
    </row>
    <row r="486" spans="23:27" x14ac:dyDescent="0.25">
      <c r="W486" s="2" t="str">
        <f t="shared" si="75"/>
        <v/>
      </c>
      <c r="X486" s="8" t="str">
        <f t="shared" si="76"/>
        <v/>
      </c>
      <c r="Y486" s="9" t="str">
        <f t="shared" si="74"/>
        <v/>
      </c>
      <c r="Z486" s="2" t="str">
        <f t="shared" si="77"/>
        <v/>
      </c>
      <c r="AA486" s="9" t="str">
        <f t="shared" si="78"/>
        <v/>
      </c>
    </row>
    <row r="487" spans="23:27" x14ac:dyDescent="0.25">
      <c r="W487" s="2" t="str">
        <f t="shared" si="75"/>
        <v/>
      </c>
      <c r="X487" s="8" t="str">
        <f t="shared" si="76"/>
        <v/>
      </c>
      <c r="Y487" s="9" t="str">
        <f t="shared" si="74"/>
        <v/>
      </c>
      <c r="Z487" s="2" t="str">
        <f t="shared" si="77"/>
        <v/>
      </c>
      <c r="AA487" s="9" t="str">
        <f t="shared" si="78"/>
        <v/>
      </c>
    </row>
    <row r="488" spans="23:27" x14ac:dyDescent="0.25">
      <c r="W488" s="2" t="str">
        <f t="shared" si="75"/>
        <v/>
      </c>
      <c r="X488" s="8" t="str">
        <f t="shared" si="76"/>
        <v/>
      </c>
      <c r="Y488" s="9" t="str">
        <f t="shared" si="74"/>
        <v/>
      </c>
      <c r="Z488" s="2" t="str">
        <f t="shared" si="77"/>
        <v/>
      </c>
      <c r="AA488" s="9" t="str">
        <f t="shared" si="78"/>
        <v/>
      </c>
    </row>
    <row r="489" spans="23:27" x14ac:dyDescent="0.25">
      <c r="W489" s="2" t="str">
        <f t="shared" si="75"/>
        <v/>
      </c>
      <c r="X489" s="8" t="str">
        <f t="shared" si="76"/>
        <v/>
      </c>
      <c r="Y489" s="9" t="str">
        <f t="shared" si="74"/>
        <v/>
      </c>
      <c r="Z489" s="2" t="str">
        <f t="shared" si="77"/>
        <v/>
      </c>
      <c r="AA489" s="9" t="str">
        <f t="shared" si="78"/>
        <v/>
      </c>
    </row>
    <row r="490" spans="23:27" x14ac:dyDescent="0.25">
      <c r="W490" s="2" t="str">
        <f t="shared" si="75"/>
        <v/>
      </c>
      <c r="X490" s="8" t="str">
        <f t="shared" si="76"/>
        <v/>
      </c>
      <c r="Y490" s="9" t="str">
        <f t="shared" si="74"/>
        <v/>
      </c>
      <c r="Z490" s="2" t="str">
        <f t="shared" si="77"/>
        <v/>
      </c>
      <c r="AA490" s="9" t="str">
        <f t="shared" si="78"/>
        <v/>
      </c>
    </row>
    <row r="491" spans="23:27" x14ac:dyDescent="0.25">
      <c r="W491" s="2" t="str">
        <f t="shared" si="75"/>
        <v/>
      </c>
      <c r="X491" s="8" t="str">
        <f t="shared" si="76"/>
        <v/>
      </c>
      <c r="Y491" s="9" t="str">
        <f t="shared" si="74"/>
        <v/>
      </c>
      <c r="Z491" s="2" t="str">
        <f t="shared" si="77"/>
        <v/>
      </c>
      <c r="AA491" s="9" t="str">
        <f t="shared" si="78"/>
        <v/>
      </c>
    </row>
    <row r="492" spans="23:27" x14ac:dyDescent="0.25">
      <c r="W492" s="2" t="str">
        <f t="shared" si="75"/>
        <v/>
      </c>
      <c r="X492" s="8" t="str">
        <f t="shared" si="76"/>
        <v/>
      </c>
      <c r="Y492" s="9" t="str">
        <f t="shared" si="74"/>
        <v/>
      </c>
      <c r="Z492" s="2" t="str">
        <f t="shared" si="77"/>
        <v/>
      </c>
      <c r="AA492" s="9" t="str">
        <f t="shared" si="78"/>
        <v/>
      </c>
    </row>
    <row r="493" spans="23:27" x14ac:dyDescent="0.25">
      <c r="W493" s="2" t="str">
        <f t="shared" si="75"/>
        <v/>
      </c>
      <c r="X493" s="8" t="str">
        <f t="shared" si="76"/>
        <v/>
      </c>
      <c r="Y493" s="9" t="str">
        <f t="shared" si="74"/>
        <v/>
      </c>
      <c r="Z493" s="2" t="str">
        <f t="shared" si="77"/>
        <v/>
      </c>
      <c r="AA493" s="9" t="str">
        <f t="shared" si="78"/>
        <v/>
      </c>
    </row>
    <row r="494" spans="23:27" x14ac:dyDescent="0.25">
      <c r="W494" s="2" t="str">
        <f t="shared" si="75"/>
        <v/>
      </c>
      <c r="X494" s="8" t="str">
        <f t="shared" si="76"/>
        <v/>
      </c>
      <c r="Y494" s="9" t="str">
        <f t="shared" si="74"/>
        <v/>
      </c>
      <c r="Z494" s="2" t="str">
        <f t="shared" si="77"/>
        <v/>
      </c>
      <c r="AA494" s="9" t="str">
        <f t="shared" si="78"/>
        <v/>
      </c>
    </row>
    <row r="495" spans="23:27" x14ac:dyDescent="0.25">
      <c r="W495" s="2" t="str">
        <f t="shared" si="75"/>
        <v/>
      </c>
      <c r="X495" s="8" t="str">
        <f t="shared" si="76"/>
        <v/>
      </c>
      <c r="Y495" s="9" t="str">
        <f t="shared" si="74"/>
        <v/>
      </c>
      <c r="Z495" s="2" t="str">
        <f t="shared" si="77"/>
        <v/>
      </c>
      <c r="AA495" s="9" t="str">
        <f t="shared" si="78"/>
        <v/>
      </c>
    </row>
    <row r="496" spans="23:27" x14ac:dyDescent="0.25">
      <c r="W496" s="2" t="str">
        <f t="shared" si="75"/>
        <v/>
      </c>
      <c r="X496" s="8" t="str">
        <f t="shared" si="76"/>
        <v/>
      </c>
      <c r="Y496" s="9" t="str">
        <f t="shared" si="74"/>
        <v/>
      </c>
      <c r="Z496" s="2" t="str">
        <f t="shared" si="77"/>
        <v/>
      </c>
      <c r="AA496" s="9" t="str">
        <f t="shared" si="78"/>
        <v/>
      </c>
    </row>
    <row r="497" spans="23:27" x14ac:dyDescent="0.25">
      <c r="W497" s="2" t="str">
        <f t="shared" si="75"/>
        <v/>
      </c>
      <c r="X497" s="8" t="str">
        <f t="shared" si="76"/>
        <v/>
      </c>
      <c r="Y497" s="9" t="str">
        <f t="shared" si="74"/>
        <v/>
      </c>
      <c r="Z497" s="2" t="str">
        <f t="shared" si="77"/>
        <v/>
      </c>
      <c r="AA497" s="9" t="str">
        <f t="shared" si="78"/>
        <v/>
      </c>
    </row>
    <row r="498" spans="23:27" x14ac:dyDescent="0.25">
      <c r="W498" s="2" t="str">
        <f t="shared" si="75"/>
        <v/>
      </c>
      <c r="X498" s="8" t="str">
        <f t="shared" si="76"/>
        <v/>
      </c>
      <c r="Y498" s="9" t="str">
        <f t="shared" si="74"/>
        <v/>
      </c>
      <c r="Z498" s="2" t="str">
        <f t="shared" si="77"/>
        <v/>
      </c>
      <c r="AA498" s="9" t="str">
        <f t="shared" si="78"/>
        <v/>
      </c>
    </row>
    <row r="499" spans="23:27" x14ac:dyDescent="0.25">
      <c r="W499" s="2" t="str">
        <f t="shared" si="75"/>
        <v/>
      </c>
      <c r="X499" s="8" t="str">
        <f t="shared" si="76"/>
        <v/>
      </c>
      <c r="Y499" s="9" t="str">
        <f t="shared" si="74"/>
        <v/>
      </c>
      <c r="Z499" s="2" t="str">
        <f t="shared" si="77"/>
        <v/>
      </c>
      <c r="AA499" s="9" t="str">
        <f t="shared" si="78"/>
        <v/>
      </c>
    </row>
    <row r="500" spans="23:27" x14ac:dyDescent="0.25">
      <c r="W500" s="2" t="str">
        <f t="shared" si="75"/>
        <v/>
      </c>
      <c r="X500" s="8" t="str">
        <f t="shared" si="76"/>
        <v/>
      </c>
      <c r="Y500" s="9" t="str">
        <f t="shared" si="74"/>
        <v/>
      </c>
      <c r="Z500" s="2" t="str">
        <f t="shared" si="77"/>
        <v/>
      </c>
      <c r="AA500" s="9" t="str">
        <f t="shared" si="78"/>
        <v/>
      </c>
    </row>
    <row r="501" spans="23:27" x14ac:dyDescent="0.25">
      <c r="W501" s="2" t="str">
        <f t="shared" si="75"/>
        <v/>
      </c>
      <c r="X501" s="8" t="str">
        <f t="shared" si="76"/>
        <v/>
      </c>
      <c r="Y501" s="9" t="str">
        <f t="shared" si="74"/>
        <v/>
      </c>
      <c r="Z501" s="2" t="str">
        <f t="shared" si="77"/>
        <v/>
      </c>
      <c r="AA501" s="9" t="str">
        <f t="shared" si="78"/>
        <v/>
      </c>
    </row>
    <row r="502" spans="23:27" x14ac:dyDescent="0.25">
      <c r="W502" s="2" t="str">
        <f t="shared" si="75"/>
        <v/>
      </c>
      <c r="X502" s="8" t="str">
        <f t="shared" si="76"/>
        <v/>
      </c>
      <c r="Y502" s="9" t="str">
        <f t="shared" si="74"/>
        <v/>
      </c>
      <c r="Z502" s="2" t="str">
        <f t="shared" si="77"/>
        <v/>
      </c>
      <c r="AA502" s="9" t="str">
        <f t="shared" si="78"/>
        <v/>
      </c>
    </row>
    <row r="503" spans="23:27" x14ac:dyDescent="0.25">
      <c r="W503" s="2" t="str">
        <f t="shared" si="75"/>
        <v/>
      </c>
      <c r="X503" s="8" t="str">
        <f t="shared" si="76"/>
        <v/>
      </c>
      <c r="Y503" s="9" t="str">
        <f t="shared" si="74"/>
        <v/>
      </c>
      <c r="Z503" s="2" t="str">
        <f t="shared" si="77"/>
        <v/>
      </c>
      <c r="AA503" s="9" t="str">
        <f t="shared" si="78"/>
        <v/>
      </c>
    </row>
    <row r="504" spans="23:27" x14ac:dyDescent="0.25">
      <c r="W504" s="2" t="str">
        <f t="shared" si="75"/>
        <v/>
      </c>
      <c r="X504" s="8" t="str">
        <f t="shared" si="76"/>
        <v/>
      </c>
      <c r="Y504" s="9" t="str">
        <f t="shared" si="74"/>
        <v/>
      </c>
      <c r="Z504" s="2" t="str">
        <f t="shared" si="77"/>
        <v/>
      </c>
      <c r="AA504" s="9" t="str">
        <f t="shared" ref="AA504:AA567" si="79">IF(Z504="","",Z504*Y504*Y$26)</f>
        <v/>
      </c>
    </row>
    <row r="505" spans="23:27" x14ac:dyDescent="0.25">
      <c r="W505" s="2" t="str">
        <f t="shared" si="75"/>
        <v/>
      </c>
      <c r="X505" s="8" t="str">
        <f t="shared" si="76"/>
        <v/>
      </c>
      <c r="Y505" s="9" t="str">
        <f t="shared" si="74"/>
        <v/>
      </c>
      <c r="Z505" s="2" t="str">
        <f t="shared" si="77"/>
        <v/>
      </c>
      <c r="AA505" s="9" t="str">
        <f t="shared" si="79"/>
        <v/>
      </c>
    </row>
    <row r="506" spans="23:27" x14ac:dyDescent="0.25">
      <c r="W506" s="2" t="str">
        <f t="shared" si="75"/>
        <v/>
      </c>
      <c r="X506" s="8" t="str">
        <f t="shared" si="76"/>
        <v/>
      </c>
      <c r="Y506" s="9" t="str">
        <f t="shared" si="74"/>
        <v/>
      </c>
      <c r="Z506" s="2" t="str">
        <f t="shared" si="77"/>
        <v/>
      </c>
      <c r="AA506" s="9" t="str">
        <f t="shared" si="79"/>
        <v/>
      </c>
    </row>
    <row r="507" spans="23:27" x14ac:dyDescent="0.25">
      <c r="W507" s="2" t="str">
        <f t="shared" si="75"/>
        <v/>
      </c>
      <c r="X507" s="8" t="str">
        <f t="shared" si="76"/>
        <v/>
      </c>
      <c r="Y507" s="9" t="str">
        <f t="shared" si="74"/>
        <v/>
      </c>
      <c r="Z507" s="2" t="str">
        <f t="shared" si="77"/>
        <v/>
      </c>
      <c r="AA507" s="9" t="str">
        <f t="shared" si="79"/>
        <v/>
      </c>
    </row>
    <row r="508" spans="23:27" x14ac:dyDescent="0.25">
      <c r="W508" s="2" t="str">
        <f t="shared" si="75"/>
        <v/>
      </c>
      <c r="X508" s="8" t="str">
        <f t="shared" si="76"/>
        <v/>
      </c>
      <c r="Y508" s="9" t="str">
        <f t="shared" si="74"/>
        <v/>
      </c>
      <c r="Z508" s="2" t="str">
        <f t="shared" si="77"/>
        <v/>
      </c>
      <c r="AA508" s="9" t="str">
        <f t="shared" si="79"/>
        <v/>
      </c>
    </row>
    <row r="509" spans="23:27" x14ac:dyDescent="0.25">
      <c r="W509" s="2" t="str">
        <f t="shared" si="75"/>
        <v/>
      </c>
      <c r="X509" s="8" t="str">
        <f t="shared" si="76"/>
        <v/>
      </c>
      <c r="Y509" s="9" t="str">
        <f t="shared" si="74"/>
        <v/>
      </c>
      <c r="Z509" s="2" t="str">
        <f t="shared" si="77"/>
        <v/>
      </c>
      <c r="AA509" s="9" t="str">
        <f t="shared" si="79"/>
        <v/>
      </c>
    </row>
    <row r="510" spans="23:27" x14ac:dyDescent="0.25">
      <c r="W510" s="2" t="str">
        <f t="shared" si="75"/>
        <v/>
      </c>
      <c r="X510" s="8" t="str">
        <f t="shared" si="76"/>
        <v/>
      </c>
      <c r="Y510" s="9" t="str">
        <f t="shared" si="74"/>
        <v/>
      </c>
      <c r="Z510" s="2" t="str">
        <f t="shared" si="77"/>
        <v/>
      </c>
      <c r="AA510" s="9" t="str">
        <f t="shared" si="79"/>
        <v/>
      </c>
    </row>
    <row r="511" spans="23:27" x14ac:dyDescent="0.25">
      <c r="W511" s="2" t="str">
        <f t="shared" si="75"/>
        <v/>
      </c>
      <c r="X511" s="8" t="str">
        <f t="shared" si="76"/>
        <v/>
      </c>
      <c r="Y511" s="9" t="str">
        <f t="shared" si="74"/>
        <v/>
      </c>
      <c r="Z511" s="2" t="str">
        <f t="shared" si="77"/>
        <v/>
      </c>
      <c r="AA511" s="9" t="str">
        <f t="shared" si="79"/>
        <v/>
      </c>
    </row>
    <row r="512" spans="23:27" x14ac:dyDescent="0.25">
      <c r="W512" s="2" t="str">
        <f t="shared" si="75"/>
        <v/>
      </c>
      <c r="X512" s="8" t="str">
        <f t="shared" si="76"/>
        <v/>
      </c>
      <c r="Y512" s="9" t="str">
        <f t="shared" si="74"/>
        <v/>
      </c>
      <c r="Z512" s="2" t="str">
        <f t="shared" si="77"/>
        <v/>
      </c>
      <c r="AA512" s="9" t="str">
        <f t="shared" si="79"/>
        <v/>
      </c>
    </row>
    <row r="513" spans="23:27" x14ac:dyDescent="0.25">
      <c r="W513" s="2" t="str">
        <f t="shared" si="75"/>
        <v/>
      </c>
      <c r="X513" s="8" t="str">
        <f t="shared" si="76"/>
        <v/>
      </c>
      <c r="Y513" s="9" t="str">
        <f t="shared" si="74"/>
        <v/>
      </c>
      <c r="Z513" s="2" t="str">
        <f t="shared" si="77"/>
        <v/>
      </c>
      <c r="AA513" s="9" t="str">
        <f t="shared" si="79"/>
        <v/>
      </c>
    </row>
    <row r="514" spans="23:27" x14ac:dyDescent="0.25">
      <c r="W514" s="2" t="str">
        <f t="shared" si="75"/>
        <v/>
      </c>
      <c r="X514" s="8" t="str">
        <f t="shared" si="76"/>
        <v/>
      </c>
      <c r="Y514" s="9" t="str">
        <f t="shared" ref="Y514:Y577" si="80">IF(X514="","",D507)</f>
        <v/>
      </c>
      <c r="Z514" s="2" t="str">
        <f t="shared" si="77"/>
        <v/>
      </c>
      <c r="AA514" s="9" t="str">
        <f t="shared" si="79"/>
        <v/>
      </c>
    </row>
    <row r="515" spans="23:27" x14ac:dyDescent="0.25">
      <c r="W515" s="2" t="str">
        <f t="shared" si="75"/>
        <v/>
      </c>
      <c r="X515" s="8" t="str">
        <f t="shared" si="76"/>
        <v/>
      </c>
      <c r="Y515" s="9" t="str">
        <f t="shared" si="80"/>
        <v/>
      </c>
      <c r="Z515" s="2" t="str">
        <f t="shared" si="77"/>
        <v/>
      </c>
      <c r="AA515" s="9" t="str">
        <f t="shared" si="79"/>
        <v/>
      </c>
    </row>
    <row r="516" spans="23:27" x14ac:dyDescent="0.25">
      <c r="W516" s="2" t="str">
        <f t="shared" si="75"/>
        <v/>
      </c>
      <c r="X516" s="8" t="str">
        <f t="shared" si="76"/>
        <v/>
      </c>
      <c r="Y516" s="9" t="str">
        <f t="shared" si="80"/>
        <v/>
      </c>
      <c r="Z516" s="2" t="str">
        <f t="shared" si="77"/>
        <v/>
      </c>
      <c r="AA516" s="9" t="str">
        <f t="shared" si="79"/>
        <v/>
      </c>
    </row>
    <row r="517" spans="23:27" x14ac:dyDescent="0.25">
      <c r="W517" s="2" t="str">
        <f t="shared" si="75"/>
        <v/>
      </c>
      <c r="X517" s="8" t="str">
        <f t="shared" si="76"/>
        <v/>
      </c>
      <c r="Y517" s="9" t="str">
        <f t="shared" si="80"/>
        <v/>
      </c>
      <c r="Z517" s="2" t="str">
        <f t="shared" si="77"/>
        <v/>
      </c>
      <c r="AA517" s="9" t="str">
        <f t="shared" si="79"/>
        <v/>
      </c>
    </row>
    <row r="518" spans="23:27" x14ac:dyDescent="0.25">
      <c r="W518" s="2" t="str">
        <f t="shared" si="75"/>
        <v/>
      </c>
      <c r="X518" s="8" t="str">
        <f t="shared" si="76"/>
        <v/>
      </c>
      <c r="Y518" s="9" t="str">
        <f t="shared" si="80"/>
        <v/>
      </c>
      <c r="Z518" s="2" t="str">
        <f t="shared" si="77"/>
        <v/>
      </c>
      <c r="AA518" s="9" t="str">
        <f t="shared" si="79"/>
        <v/>
      </c>
    </row>
    <row r="519" spans="23:27" x14ac:dyDescent="0.25">
      <c r="W519" s="2" t="str">
        <f t="shared" si="75"/>
        <v/>
      </c>
      <c r="X519" s="8" t="str">
        <f t="shared" si="76"/>
        <v/>
      </c>
      <c r="Y519" s="9" t="str">
        <f t="shared" si="80"/>
        <v/>
      </c>
      <c r="Z519" s="2" t="str">
        <f t="shared" si="77"/>
        <v/>
      </c>
      <c r="AA519" s="9" t="str">
        <f t="shared" si="79"/>
        <v/>
      </c>
    </row>
    <row r="520" spans="23:27" x14ac:dyDescent="0.25">
      <c r="W520" s="2" t="str">
        <f t="shared" si="75"/>
        <v/>
      </c>
      <c r="X520" s="8" t="str">
        <f t="shared" si="76"/>
        <v/>
      </c>
      <c r="Y520" s="9" t="str">
        <f t="shared" si="80"/>
        <v/>
      </c>
      <c r="Z520" s="2" t="str">
        <f t="shared" si="77"/>
        <v/>
      </c>
      <c r="AA520" s="9" t="str">
        <f t="shared" si="79"/>
        <v/>
      </c>
    </row>
    <row r="521" spans="23:27" x14ac:dyDescent="0.25">
      <c r="W521" s="2" t="str">
        <f t="shared" si="75"/>
        <v/>
      </c>
      <c r="X521" s="8" t="str">
        <f t="shared" si="76"/>
        <v/>
      </c>
      <c r="Y521" s="9" t="str">
        <f t="shared" si="80"/>
        <v/>
      </c>
      <c r="Z521" s="2" t="str">
        <f t="shared" si="77"/>
        <v/>
      </c>
      <c r="AA521" s="9" t="str">
        <f t="shared" si="79"/>
        <v/>
      </c>
    </row>
    <row r="522" spans="23:27" x14ac:dyDescent="0.25">
      <c r="W522" s="2" t="str">
        <f t="shared" si="75"/>
        <v/>
      </c>
      <c r="X522" s="8" t="str">
        <f t="shared" si="76"/>
        <v/>
      </c>
      <c r="Y522" s="9" t="str">
        <f t="shared" si="80"/>
        <v/>
      </c>
      <c r="Z522" s="2" t="str">
        <f t="shared" si="77"/>
        <v/>
      </c>
      <c r="AA522" s="9" t="str">
        <f t="shared" si="79"/>
        <v/>
      </c>
    </row>
    <row r="523" spans="23:27" x14ac:dyDescent="0.25">
      <c r="W523" s="2" t="str">
        <f t="shared" si="75"/>
        <v/>
      </c>
      <c r="X523" s="8" t="str">
        <f t="shared" si="76"/>
        <v/>
      </c>
      <c r="Y523" s="9" t="str">
        <f t="shared" si="80"/>
        <v/>
      </c>
      <c r="Z523" s="2" t="str">
        <f t="shared" si="77"/>
        <v/>
      </c>
      <c r="AA523" s="9" t="str">
        <f t="shared" si="79"/>
        <v/>
      </c>
    </row>
    <row r="524" spans="23:27" x14ac:dyDescent="0.25">
      <c r="W524" s="2" t="str">
        <f t="shared" si="75"/>
        <v/>
      </c>
      <c r="X524" s="8" t="str">
        <f t="shared" si="76"/>
        <v/>
      </c>
      <c r="Y524" s="9" t="str">
        <f t="shared" si="80"/>
        <v/>
      </c>
      <c r="Z524" s="2" t="str">
        <f t="shared" si="77"/>
        <v/>
      </c>
      <c r="AA524" s="9" t="str">
        <f t="shared" si="79"/>
        <v/>
      </c>
    </row>
    <row r="525" spans="23:27" x14ac:dyDescent="0.25">
      <c r="W525" s="2" t="str">
        <f t="shared" si="75"/>
        <v/>
      </c>
      <c r="X525" s="8" t="str">
        <f t="shared" si="76"/>
        <v/>
      </c>
      <c r="Y525" s="9" t="str">
        <f t="shared" si="80"/>
        <v/>
      </c>
      <c r="Z525" s="2" t="str">
        <f t="shared" si="77"/>
        <v/>
      </c>
      <c r="AA525" s="9" t="str">
        <f t="shared" si="79"/>
        <v/>
      </c>
    </row>
    <row r="526" spans="23:27" x14ac:dyDescent="0.25">
      <c r="W526" s="2" t="str">
        <f t="shared" si="75"/>
        <v/>
      </c>
      <c r="X526" s="8" t="str">
        <f t="shared" si="76"/>
        <v/>
      </c>
      <c r="Y526" s="9" t="str">
        <f t="shared" si="80"/>
        <v/>
      </c>
      <c r="Z526" s="2" t="str">
        <f t="shared" si="77"/>
        <v/>
      </c>
      <c r="AA526" s="9" t="str">
        <f t="shared" si="79"/>
        <v/>
      </c>
    </row>
    <row r="527" spans="23:27" x14ac:dyDescent="0.25">
      <c r="W527" s="2" t="str">
        <f t="shared" si="75"/>
        <v/>
      </c>
      <c r="X527" s="8" t="str">
        <f t="shared" si="76"/>
        <v/>
      </c>
      <c r="Y527" s="9" t="str">
        <f t="shared" si="80"/>
        <v/>
      </c>
      <c r="Z527" s="2" t="str">
        <f t="shared" si="77"/>
        <v/>
      </c>
      <c r="AA527" s="9" t="str">
        <f t="shared" si="79"/>
        <v/>
      </c>
    </row>
    <row r="528" spans="23:27" x14ac:dyDescent="0.25">
      <c r="W528" s="2" t="str">
        <f t="shared" si="75"/>
        <v/>
      </c>
      <c r="X528" s="8" t="str">
        <f t="shared" si="76"/>
        <v/>
      </c>
      <c r="Y528" s="9" t="str">
        <f t="shared" si="80"/>
        <v/>
      </c>
      <c r="Z528" s="2" t="str">
        <f t="shared" si="77"/>
        <v/>
      </c>
      <c r="AA528" s="9" t="str">
        <f t="shared" si="79"/>
        <v/>
      </c>
    </row>
    <row r="529" spans="23:27" x14ac:dyDescent="0.25">
      <c r="W529" s="2" t="str">
        <f t="shared" si="75"/>
        <v/>
      </c>
      <c r="X529" s="8" t="str">
        <f t="shared" si="76"/>
        <v/>
      </c>
      <c r="Y529" s="9" t="str">
        <f t="shared" si="80"/>
        <v/>
      </c>
      <c r="Z529" s="2" t="str">
        <f t="shared" si="77"/>
        <v/>
      </c>
      <c r="AA529" s="9" t="str">
        <f t="shared" si="79"/>
        <v/>
      </c>
    </row>
    <row r="530" spans="23:27" x14ac:dyDescent="0.25">
      <c r="W530" s="2" t="str">
        <f t="shared" si="75"/>
        <v/>
      </c>
      <c r="X530" s="8" t="str">
        <f t="shared" si="76"/>
        <v/>
      </c>
      <c r="Y530" s="9" t="str">
        <f t="shared" si="80"/>
        <v/>
      </c>
      <c r="Z530" s="2" t="str">
        <f t="shared" si="77"/>
        <v/>
      </c>
      <c r="AA530" s="9" t="str">
        <f t="shared" si="79"/>
        <v/>
      </c>
    </row>
    <row r="531" spans="23:27" x14ac:dyDescent="0.25">
      <c r="W531" s="2" t="str">
        <f t="shared" si="75"/>
        <v/>
      </c>
      <c r="X531" s="8" t="str">
        <f t="shared" si="76"/>
        <v/>
      </c>
      <c r="Y531" s="9" t="str">
        <f t="shared" si="80"/>
        <v/>
      </c>
      <c r="Z531" s="2" t="str">
        <f t="shared" si="77"/>
        <v/>
      </c>
      <c r="AA531" s="9" t="str">
        <f t="shared" si="79"/>
        <v/>
      </c>
    </row>
    <row r="532" spans="23:27" x14ac:dyDescent="0.25">
      <c r="W532" s="2" t="str">
        <f t="shared" si="75"/>
        <v/>
      </c>
      <c r="X532" s="8" t="str">
        <f t="shared" si="76"/>
        <v/>
      </c>
      <c r="Y532" s="9" t="str">
        <f t="shared" si="80"/>
        <v/>
      </c>
      <c r="Z532" s="2" t="str">
        <f t="shared" si="77"/>
        <v/>
      </c>
      <c r="AA532" s="9" t="str">
        <f t="shared" si="79"/>
        <v/>
      </c>
    </row>
    <row r="533" spans="23:27" x14ac:dyDescent="0.25">
      <c r="W533" s="2" t="str">
        <f t="shared" si="75"/>
        <v/>
      </c>
      <c r="X533" s="8" t="str">
        <f t="shared" si="76"/>
        <v/>
      </c>
      <c r="Y533" s="9" t="str">
        <f t="shared" si="80"/>
        <v/>
      </c>
      <c r="Z533" s="2" t="str">
        <f t="shared" si="77"/>
        <v/>
      </c>
      <c r="AA533" s="9" t="str">
        <f t="shared" si="79"/>
        <v/>
      </c>
    </row>
    <row r="534" spans="23:27" x14ac:dyDescent="0.25">
      <c r="W534" s="2" t="str">
        <f t="shared" si="75"/>
        <v/>
      </c>
      <c r="X534" s="8" t="str">
        <f t="shared" si="76"/>
        <v/>
      </c>
      <c r="Y534" s="9" t="str">
        <f t="shared" si="80"/>
        <v/>
      </c>
      <c r="Z534" s="2" t="str">
        <f t="shared" si="77"/>
        <v/>
      </c>
      <c r="AA534" s="9" t="str">
        <f t="shared" si="79"/>
        <v/>
      </c>
    </row>
    <row r="535" spans="23:27" x14ac:dyDescent="0.25">
      <c r="W535" s="2" t="str">
        <f t="shared" si="75"/>
        <v/>
      </c>
      <c r="X535" s="8" t="str">
        <f t="shared" si="76"/>
        <v/>
      </c>
      <c r="Y535" s="9" t="str">
        <f t="shared" si="80"/>
        <v/>
      </c>
      <c r="Z535" s="2" t="str">
        <f t="shared" si="77"/>
        <v/>
      </c>
      <c r="AA535" s="9" t="str">
        <f t="shared" si="79"/>
        <v/>
      </c>
    </row>
    <row r="536" spans="23:27" x14ac:dyDescent="0.25">
      <c r="W536" s="2" t="str">
        <f t="shared" si="75"/>
        <v/>
      </c>
      <c r="X536" s="8" t="str">
        <f t="shared" si="76"/>
        <v/>
      </c>
      <c r="Y536" s="9" t="str">
        <f t="shared" si="80"/>
        <v/>
      </c>
      <c r="Z536" s="2" t="str">
        <f t="shared" si="77"/>
        <v/>
      </c>
      <c r="AA536" s="9" t="str">
        <f t="shared" si="79"/>
        <v/>
      </c>
    </row>
    <row r="537" spans="23:27" x14ac:dyDescent="0.25">
      <c r="W537" s="2" t="str">
        <f t="shared" si="75"/>
        <v/>
      </c>
      <c r="X537" s="8" t="str">
        <f t="shared" si="76"/>
        <v/>
      </c>
      <c r="Y537" s="9" t="str">
        <f t="shared" si="80"/>
        <v/>
      </c>
      <c r="Z537" s="2" t="str">
        <f t="shared" si="77"/>
        <v/>
      </c>
      <c r="AA537" s="9" t="str">
        <f t="shared" si="79"/>
        <v/>
      </c>
    </row>
    <row r="538" spans="23:27" x14ac:dyDescent="0.25">
      <c r="W538" s="2" t="str">
        <f t="shared" si="75"/>
        <v/>
      </c>
      <c r="X538" s="8" t="str">
        <f t="shared" si="76"/>
        <v/>
      </c>
      <c r="Y538" s="9" t="str">
        <f t="shared" si="80"/>
        <v/>
      </c>
      <c r="Z538" s="2" t="str">
        <f t="shared" si="77"/>
        <v/>
      </c>
      <c r="AA538" s="9" t="str">
        <f t="shared" si="79"/>
        <v/>
      </c>
    </row>
    <row r="539" spans="23:27" x14ac:dyDescent="0.25">
      <c r="W539" s="2" t="str">
        <f t="shared" si="75"/>
        <v/>
      </c>
      <c r="X539" s="8" t="str">
        <f t="shared" si="76"/>
        <v/>
      </c>
      <c r="Y539" s="9" t="str">
        <f t="shared" si="80"/>
        <v/>
      </c>
      <c r="Z539" s="2" t="str">
        <f t="shared" si="77"/>
        <v/>
      </c>
      <c r="AA539" s="9" t="str">
        <f t="shared" si="79"/>
        <v/>
      </c>
    </row>
    <row r="540" spans="23:27" x14ac:dyDescent="0.25">
      <c r="W540" s="2" t="str">
        <f t="shared" si="75"/>
        <v/>
      </c>
      <c r="X540" s="8" t="str">
        <f t="shared" si="76"/>
        <v/>
      </c>
      <c r="Y540" s="9" t="str">
        <f t="shared" si="80"/>
        <v/>
      </c>
      <c r="Z540" s="2" t="str">
        <f t="shared" si="77"/>
        <v/>
      </c>
      <c r="AA540" s="9" t="str">
        <f t="shared" si="79"/>
        <v/>
      </c>
    </row>
    <row r="541" spans="23:27" x14ac:dyDescent="0.25">
      <c r="W541" s="2" t="str">
        <f t="shared" si="75"/>
        <v/>
      </c>
      <c r="X541" s="8" t="str">
        <f t="shared" si="76"/>
        <v/>
      </c>
      <c r="Y541" s="9" t="str">
        <f t="shared" si="80"/>
        <v/>
      </c>
      <c r="Z541" s="2" t="str">
        <f t="shared" si="77"/>
        <v/>
      </c>
      <c r="AA541" s="9" t="str">
        <f t="shared" si="79"/>
        <v/>
      </c>
    </row>
    <row r="542" spans="23:27" x14ac:dyDescent="0.25">
      <c r="W542" s="2" t="str">
        <f t="shared" si="75"/>
        <v/>
      </c>
      <c r="X542" s="8" t="str">
        <f t="shared" si="76"/>
        <v/>
      </c>
      <c r="Y542" s="9" t="str">
        <f t="shared" si="80"/>
        <v/>
      </c>
      <c r="Z542" s="2" t="str">
        <f t="shared" si="77"/>
        <v/>
      </c>
      <c r="AA542" s="9" t="str">
        <f t="shared" si="79"/>
        <v/>
      </c>
    </row>
    <row r="543" spans="23:27" x14ac:dyDescent="0.25">
      <c r="W543" s="2" t="str">
        <f t="shared" si="75"/>
        <v/>
      </c>
      <c r="X543" s="8" t="str">
        <f t="shared" si="76"/>
        <v/>
      </c>
      <c r="Y543" s="9" t="str">
        <f t="shared" si="80"/>
        <v/>
      </c>
      <c r="Z543" s="2" t="str">
        <f t="shared" si="77"/>
        <v/>
      </c>
      <c r="AA543" s="9" t="str">
        <f t="shared" si="79"/>
        <v/>
      </c>
    </row>
    <row r="544" spans="23:27" x14ac:dyDescent="0.25">
      <c r="W544" s="2" t="str">
        <f t="shared" ref="W544:W607" si="81">IF(W543&lt;B$17,W543+1,"")</f>
        <v/>
      </c>
      <c r="Y544" s="9" t="str">
        <f t="shared" si="80"/>
        <v/>
      </c>
      <c r="Z544" s="2" t="str">
        <f t="shared" ref="Z544:Z607" si="82">IF(Y544="","",X544-X$30)</f>
        <v/>
      </c>
      <c r="AA544" s="9" t="str">
        <f t="shared" si="79"/>
        <v/>
      </c>
    </row>
    <row r="545" spans="23:27" x14ac:dyDescent="0.25">
      <c r="W545" s="2" t="str">
        <f t="shared" si="81"/>
        <v/>
      </c>
      <c r="Y545" s="9" t="str">
        <f t="shared" si="80"/>
        <v/>
      </c>
      <c r="Z545" s="2" t="str">
        <f t="shared" si="82"/>
        <v/>
      </c>
      <c r="AA545" s="9" t="str">
        <f t="shared" si="79"/>
        <v/>
      </c>
    </row>
    <row r="546" spans="23:27" x14ac:dyDescent="0.25">
      <c r="W546" s="2" t="str">
        <f t="shared" si="81"/>
        <v/>
      </c>
      <c r="Y546" s="9" t="str">
        <f t="shared" si="80"/>
        <v/>
      </c>
      <c r="Z546" s="2" t="str">
        <f t="shared" si="82"/>
        <v/>
      </c>
      <c r="AA546" s="9" t="str">
        <f t="shared" si="79"/>
        <v/>
      </c>
    </row>
    <row r="547" spans="23:27" x14ac:dyDescent="0.25">
      <c r="W547" s="2" t="str">
        <f t="shared" si="81"/>
        <v/>
      </c>
      <c r="Y547" s="9" t="str">
        <f t="shared" si="80"/>
        <v/>
      </c>
      <c r="Z547" s="2" t="str">
        <f t="shared" si="82"/>
        <v/>
      </c>
      <c r="AA547" s="9" t="str">
        <f t="shared" si="79"/>
        <v/>
      </c>
    </row>
    <row r="548" spans="23:27" x14ac:dyDescent="0.25">
      <c r="W548" s="2" t="str">
        <f t="shared" si="81"/>
        <v/>
      </c>
      <c r="Y548" s="9" t="str">
        <f t="shared" si="80"/>
        <v/>
      </c>
      <c r="Z548" s="2" t="str">
        <f t="shared" si="82"/>
        <v/>
      </c>
      <c r="AA548" s="9" t="str">
        <f t="shared" si="79"/>
        <v/>
      </c>
    </row>
    <row r="549" spans="23:27" x14ac:dyDescent="0.25">
      <c r="W549" s="2" t="str">
        <f t="shared" si="81"/>
        <v/>
      </c>
      <c r="Y549" s="9" t="str">
        <f t="shared" si="80"/>
        <v/>
      </c>
      <c r="Z549" s="2" t="str">
        <f t="shared" si="82"/>
        <v/>
      </c>
      <c r="AA549" s="9" t="str">
        <f t="shared" si="79"/>
        <v/>
      </c>
    </row>
    <row r="550" spans="23:27" x14ac:dyDescent="0.25">
      <c r="W550" s="2" t="str">
        <f t="shared" si="81"/>
        <v/>
      </c>
      <c r="Y550" s="9" t="str">
        <f t="shared" si="80"/>
        <v/>
      </c>
      <c r="Z550" s="2" t="str">
        <f t="shared" si="82"/>
        <v/>
      </c>
      <c r="AA550" s="9" t="str">
        <f t="shared" si="79"/>
        <v/>
      </c>
    </row>
    <row r="551" spans="23:27" x14ac:dyDescent="0.25">
      <c r="W551" s="2" t="str">
        <f t="shared" si="81"/>
        <v/>
      </c>
      <c r="Y551" s="9" t="str">
        <f t="shared" si="80"/>
        <v/>
      </c>
      <c r="Z551" s="2" t="str">
        <f t="shared" si="82"/>
        <v/>
      </c>
      <c r="AA551" s="9" t="str">
        <f t="shared" si="79"/>
        <v/>
      </c>
    </row>
    <row r="552" spans="23:27" x14ac:dyDescent="0.25">
      <c r="W552" s="2" t="str">
        <f t="shared" si="81"/>
        <v/>
      </c>
      <c r="Y552" s="9" t="str">
        <f t="shared" si="80"/>
        <v/>
      </c>
      <c r="Z552" s="2" t="str">
        <f t="shared" si="82"/>
        <v/>
      </c>
      <c r="AA552" s="9" t="str">
        <f t="shared" si="79"/>
        <v/>
      </c>
    </row>
    <row r="553" spans="23:27" x14ac:dyDescent="0.25">
      <c r="W553" s="2" t="str">
        <f t="shared" si="81"/>
        <v/>
      </c>
      <c r="Y553" s="9" t="str">
        <f t="shared" si="80"/>
        <v/>
      </c>
      <c r="Z553" s="2" t="str">
        <f t="shared" si="82"/>
        <v/>
      </c>
      <c r="AA553" s="9" t="str">
        <f t="shared" si="79"/>
        <v/>
      </c>
    </row>
    <row r="554" spans="23:27" x14ac:dyDescent="0.25">
      <c r="W554" s="2" t="str">
        <f t="shared" si="81"/>
        <v/>
      </c>
      <c r="Y554" s="9" t="str">
        <f t="shared" si="80"/>
        <v/>
      </c>
      <c r="Z554" s="2" t="str">
        <f t="shared" si="82"/>
        <v/>
      </c>
      <c r="AA554" s="9" t="str">
        <f t="shared" si="79"/>
        <v/>
      </c>
    </row>
    <row r="555" spans="23:27" x14ac:dyDescent="0.25">
      <c r="W555" s="2" t="str">
        <f t="shared" si="81"/>
        <v/>
      </c>
      <c r="Y555" s="9" t="str">
        <f t="shared" si="80"/>
        <v/>
      </c>
      <c r="Z555" s="2" t="str">
        <f t="shared" si="82"/>
        <v/>
      </c>
      <c r="AA555" s="9" t="str">
        <f t="shared" si="79"/>
        <v/>
      </c>
    </row>
    <row r="556" spans="23:27" x14ac:dyDescent="0.25">
      <c r="W556" s="2" t="str">
        <f t="shared" si="81"/>
        <v/>
      </c>
      <c r="Y556" s="9" t="str">
        <f t="shared" si="80"/>
        <v/>
      </c>
      <c r="Z556" s="2" t="str">
        <f t="shared" si="82"/>
        <v/>
      </c>
      <c r="AA556" s="9" t="str">
        <f t="shared" si="79"/>
        <v/>
      </c>
    </row>
    <row r="557" spans="23:27" x14ac:dyDescent="0.25">
      <c r="W557" s="2" t="str">
        <f t="shared" si="81"/>
        <v/>
      </c>
      <c r="Y557" s="9" t="str">
        <f t="shared" si="80"/>
        <v/>
      </c>
      <c r="Z557" s="2" t="str">
        <f t="shared" si="82"/>
        <v/>
      </c>
      <c r="AA557" s="9" t="str">
        <f t="shared" si="79"/>
        <v/>
      </c>
    </row>
    <row r="558" spans="23:27" x14ac:dyDescent="0.25">
      <c r="W558" s="2" t="str">
        <f t="shared" si="81"/>
        <v/>
      </c>
      <c r="Y558" s="9" t="str">
        <f t="shared" si="80"/>
        <v/>
      </c>
      <c r="Z558" s="2" t="str">
        <f t="shared" si="82"/>
        <v/>
      </c>
      <c r="AA558" s="9" t="str">
        <f t="shared" si="79"/>
        <v/>
      </c>
    </row>
    <row r="559" spans="23:27" x14ac:dyDescent="0.25">
      <c r="W559" s="2" t="str">
        <f t="shared" si="81"/>
        <v/>
      </c>
      <c r="Y559" s="9" t="str">
        <f t="shared" si="80"/>
        <v/>
      </c>
      <c r="Z559" s="2" t="str">
        <f t="shared" si="82"/>
        <v/>
      </c>
      <c r="AA559" s="9" t="str">
        <f t="shared" si="79"/>
        <v/>
      </c>
    </row>
    <row r="560" spans="23:27" x14ac:dyDescent="0.25">
      <c r="W560" s="2" t="str">
        <f t="shared" si="81"/>
        <v/>
      </c>
      <c r="Y560" s="9" t="str">
        <f t="shared" si="80"/>
        <v/>
      </c>
      <c r="Z560" s="2" t="str">
        <f t="shared" si="82"/>
        <v/>
      </c>
      <c r="AA560" s="9" t="str">
        <f t="shared" si="79"/>
        <v/>
      </c>
    </row>
    <row r="561" spans="23:27" x14ac:dyDescent="0.25">
      <c r="W561" s="2" t="str">
        <f t="shared" si="81"/>
        <v/>
      </c>
      <c r="Y561" s="9" t="str">
        <f t="shared" si="80"/>
        <v/>
      </c>
      <c r="Z561" s="2" t="str">
        <f t="shared" si="82"/>
        <v/>
      </c>
      <c r="AA561" s="9" t="str">
        <f t="shared" si="79"/>
        <v/>
      </c>
    </row>
    <row r="562" spans="23:27" x14ac:dyDescent="0.25">
      <c r="W562" s="2" t="str">
        <f t="shared" si="81"/>
        <v/>
      </c>
      <c r="Y562" s="9" t="str">
        <f t="shared" si="80"/>
        <v/>
      </c>
      <c r="Z562" s="2" t="str">
        <f t="shared" si="82"/>
        <v/>
      </c>
      <c r="AA562" s="9" t="str">
        <f t="shared" si="79"/>
        <v/>
      </c>
    </row>
    <row r="563" spans="23:27" x14ac:dyDescent="0.25">
      <c r="W563" s="2" t="str">
        <f t="shared" si="81"/>
        <v/>
      </c>
      <c r="Y563" s="9" t="str">
        <f t="shared" si="80"/>
        <v/>
      </c>
      <c r="Z563" s="2" t="str">
        <f t="shared" si="82"/>
        <v/>
      </c>
      <c r="AA563" s="9" t="str">
        <f t="shared" si="79"/>
        <v/>
      </c>
    </row>
    <row r="564" spans="23:27" x14ac:dyDescent="0.25">
      <c r="W564" s="2" t="str">
        <f t="shared" si="81"/>
        <v/>
      </c>
      <c r="Y564" s="9" t="str">
        <f t="shared" si="80"/>
        <v/>
      </c>
      <c r="Z564" s="2" t="str">
        <f t="shared" si="82"/>
        <v/>
      </c>
      <c r="AA564" s="9" t="str">
        <f t="shared" si="79"/>
        <v/>
      </c>
    </row>
    <row r="565" spans="23:27" x14ac:dyDescent="0.25">
      <c r="W565" s="2" t="str">
        <f t="shared" si="81"/>
        <v/>
      </c>
      <c r="Y565" s="9" t="str">
        <f t="shared" si="80"/>
        <v/>
      </c>
      <c r="Z565" s="2" t="str">
        <f t="shared" si="82"/>
        <v/>
      </c>
      <c r="AA565" s="9" t="str">
        <f t="shared" si="79"/>
        <v/>
      </c>
    </row>
    <row r="566" spans="23:27" x14ac:dyDescent="0.25">
      <c r="W566" s="2" t="str">
        <f t="shared" si="81"/>
        <v/>
      </c>
      <c r="Y566" s="9" t="str">
        <f t="shared" si="80"/>
        <v/>
      </c>
      <c r="Z566" s="2" t="str">
        <f t="shared" si="82"/>
        <v/>
      </c>
      <c r="AA566" s="9" t="str">
        <f t="shared" si="79"/>
        <v/>
      </c>
    </row>
    <row r="567" spans="23:27" x14ac:dyDescent="0.25">
      <c r="W567" s="2" t="str">
        <f t="shared" si="81"/>
        <v/>
      </c>
      <c r="Y567" s="9" t="str">
        <f t="shared" si="80"/>
        <v/>
      </c>
      <c r="Z567" s="2" t="str">
        <f t="shared" si="82"/>
        <v/>
      </c>
      <c r="AA567" s="9" t="str">
        <f t="shared" si="79"/>
        <v/>
      </c>
    </row>
    <row r="568" spans="23:27" x14ac:dyDescent="0.25">
      <c r="W568" s="2" t="str">
        <f t="shared" si="81"/>
        <v/>
      </c>
      <c r="Y568" s="9" t="str">
        <f t="shared" si="80"/>
        <v/>
      </c>
      <c r="Z568" s="2" t="str">
        <f t="shared" si="82"/>
        <v/>
      </c>
      <c r="AA568" s="9" t="str">
        <f t="shared" ref="AA568:AA607" si="83">IF(Z568="","",Z568*Y568*Y$26)</f>
        <v/>
      </c>
    </row>
    <row r="569" spans="23:27" x14ac:dyDescent="0.25">
      <c r="W569" s="2" t="str">
        <f t="shared" si="81"/>
        <v/>
      </c>
      <c r="Y569" s="9" t="str">
        <f t="shared" si="80"/>
        <v/>
      </c>
      <c r="Z569" s="2" t="str">
        <f t="shared" si="82"/>
        <v/>
      </c>
      <c r="AA569" s="9" t="str">
        <f t="shared" si="83"/>
        <v/>
      </c>
    </row>
    <row r="570" spans="23:27" x14ac:dyDescent="0.25">
      <c r="W570" s="2" t="str">
        <f t="shared" si="81"/>
        <v/>
      </c>
      <c r="Y570" s="9" t="str">
        <f t="shared" si="80"/>
        <v/>
      </c>
      <c r="Z570" s="2" t="str">
        <f t="shared" si="82"/>
        <v/>
      </c>
      <c r="AA570" s="9" t="str">
        <f t="shared" si="83"/>
        <v/>
      </c>
    </row>
    <row r="571" spans="23:27" x14ac:dyDescent="0.25">
      <c r="W571" s="2" t="str">
        <f t="shared" si="81"/>
        <v/>
      </c>
      <c r="Y571" s="9" t="str">
        <f t="shared" si="80"/>
        <v/>
      </c>
      <c r="Z571" s="2" t="str">
        <f t="shared" si="82"/>
        <v/>
      </c>
      <c r="AA571" s="9" t="str">
        <f t="shared" si="83"/>
        <v/>
      </c>
    </row>
    <row r="572" spans="23:27" x14ac:dyDescent="0.25">
      <c r="W572" s="2" t="str">
        <f t="shared" si="81"/>
        <v/>
      </c>
      <c r="Y572" s="9" t="str">
        <f t="shared" si="80"/>
        <v/>
      </c>
      <c r="Z572" s="2" t="str">
        <f t="shared" si="82"/>
        <v/>
      </c>
      <c r="AA572" s="9" t="str">
        <f t="shared" si="83"/>
        <v/>
      </c>
    </row>
    <row r="573" spans="23:27" x14ac:dyDescent="0.25">
      <c r="W573" s="2" t="str">
        <f t="shared" si="81"/>
        <v/>
      </c>
      <c r="Y573" s="9" t="str">
        <f t="shared" si="80"/>
        <v/>
      </c>
      <c r="Z573" s="2" t="str">
        <f t="shared" si="82"/>
        <v/>
      </c>
      <c r="AA573" s="9" t="str">
        <f t="shared" si="83"/>
        <v/>
      </c>
    </row>
    <row r="574" spans="23:27" x14ac:dyDescent="0.25">
      <c r="W574" s="2" t="str">
        <f t="shared" si="81"/>
        <v/>
      </c>
      <c r="Y574" s="9" t="str">
        <f t="shared" si="80"/>
        <v/>
      </c>
      <c r="Z574" s="2" t="str">
        <f t="shared" si="82"/>
        <v/>
      </c>
      <c r="AA574" s="9" t="str">
        <f t="shared" si="83"/>
        <v/>
      </c>
    </row>
    <row r="575" spans="23:27" x14ac:dyDescent="0.25">
      <c r="W575" s="2" t="str">
        <f t="shared" si="81"/>
        <v/>
      </c>
      <c r="Y575" s="9" t="str">
        <f t="shared" si="80"/>
        <v/>
      </c>
      <c r="Z575" s="2" t="str">
        <f t="shared" si="82"/>
        <v/>
      </c>
      <c r="AA575" s="9" t="str">
        <f t="shared" si="83"/>
        <v/>
      </c>
    </row>
    <row r="576" spans="23:27" x14ac:dyDescent="0.25">
      <c r="W576" s="2" t="str">
        <f t="shared" si="81"/>
        <v/>
      </c>
      <c r="Y576" s="9" t="str">
        <f t="shared" si="80"/>
        <v/>
      </c>
      <c r="Z576" s="2" t="str">
        <f t="shared" si="82"/>
        <v/>
      </c>
      <c r="AA576" s="9" t="str">
        <f t="shared" si="83"/>
        <v/>
      </c>
    </row>
    <row r="577" spans="23:27" x14ac:dyDescent="0.25">
      <c r="W577" s="2" t="str">
        <f t="shared" si="81"/>
        <v/>
      </c>
      <c r="Y577" s="9" t="str">
        <f t="shared" si="80"/>
        <v/>
      </c>
      <c r="Z577" s="2" t="str">
        <f t="shared" si="82"/>
        <v/>
      </c>
      <c r="AA577" s="9" t="str">
        <f t="shared" si="83"/>
        <v/>
      </c>
    </row>
    <row r="578" spans="23:27" x14ac:dyDescent="0.25">
      <c r="W578" s="2" t="str">
        <f t="shared" si="81"/>
        <v/>
      </c>
      <c r="Y578" s="9" t="str">
        <f t="shared" ref="Y578:Y610" si="84">IF(X578="","",D571)</f>
        <v/>
      </c>
      <c r="Z578" s="2" t="str">
        <f t="shared" si="82"/>
        <v/>
      </c>
      <c r="AA578" s="9" t="str">
        <f t="shared" si="83"/>
        <v/>
      </c>
    </row>
    <row r="579" spans="23:27" x14ac:dyDescent="0.25">
      <c r="W579" s="2" t="str">
        <f t="shared" si="81"/>
        <v/>
      </c>
      <c r="Y579" s="9" t="str">
        <f t="shared" si="84"/>
        <v/>
      </c>
      <c r="Z579" s="2" t="str">
        <f t="shared" si="82"/>
        <v/>
      </c>
      <c r="AA579" s="9" t="str">
        <f t="shared" si="83"/>
        <v/>
      </c>
    </row>
    <row r="580" spans="23:27" x14ac:dyDescent="0.25">
      <c r="W580" s="2" t="str">
        <f t="shared" si="81"/>
        <v/>
      </c>
      <c r="Y580" s="9" t="str">
        <f t="shared" si="84"/>
        <v/>
      </c>
      <c r="Z580" s="2" t="str">
        <f t="shared" si="82"/>
        <v/>
      </c>
      <c r="AA580" s="9" t="str">
        <f t="shared" si="83"/>
        <v/>
      </c>
    </row>
    <row r="581" spans="23:27" x14ac:dyDescent="0.25">
      <c r="W581" s="2" t="str">
        <f t="shared" si="81"/>
        <v/>
      </c>
      <c r="Y581" s="9" t="str">
        <f t="shared" si="84"/>
        <v/>
      </c>
      <c r="Z581" s="2" t="str">
        <f t="shared" si="82"/>
        <v/>
      </c>
      <c r="AA581" s="9" t="str">
        <f t="shared" si="83"/>
        <v/>
      </c>
    </row>
    <row r="582" spans="23:27" x14ac:dyDescent="0.25">
      <c r="W582" s="2" t="str">
        <f t="shared" si="81"/>
        <v/>
      </c>
      <c r="Y582" s="9" t="str">
        <f t="shared" si="84"/>
        <v/>
      </c>
      <c r="Z582" s="2" t="str">
        <f t="shared" si="82"/>
        <v/>
      </c>
      <c r="AA582" s="9" t="str">
        <f t="shared" si="83"/>
        <v/>
      </c>
    </row>
    <row r="583" spans="23:27" x14ac:dyDescent="0.25">
      <c r="W583" s="2" t="str">
        <f t="shared" si="81"/>
        <v/>
      </c>
      <c r="Y583" s="9" t="str">
        <f t="shared" si="84"/>
        <v/>
      </c>
      <c r="Z583" s="2" t="str">
        <f t="shared" si="82"/>
        <v/>
      </c>
      <c r="AA583" s="9" t="str">
        <f t="shared" si="83"/>
        <v/>
      </c>
    </row>
    <row r="584" spans="23:27" x14ac:dyDescent="0.25">
      <c r="W584" s="2" t="str">
        <f t="shared" si="81"/>
        <v/>
      </c>
      <c r="Y584" s="9" t="str">
        <f t="shared" si="84"/>
        <v/>
      </c>
      <c r="Z584" s="2" t="str">
        <f t="shared" si="82"/>
        <v/>
      </c>
      <c r="AA584" s="9" t="str">
        <f t="shared" si="83"/>
        <v/>
      </c>
    </row>
    <row r="585" spans="23:27" x14ac:dyDescent="0.25">
      <c r="W585" s="2" t="str">
        <f t="shared" si="81"/>
        <v/>
      </c>
      <c r="Y585" s="9" t="str">
        <f t="shared" si="84"/>
        <v/>
      </c>
      <c r="Z585" s="2" t="str">
        <f t="shared" si="82"/>
        <v/>
      </c>
      <c r="AA585" s="9" t="str">
        <f t="shared" si="83"/>
        <v/>
      </c>
    </row>
    <row r="586" spans="23:27" x14ac:dyDescent="0.25">
      <c r="W586" s="2" t="str">
        <f t="shared" si="81"/>
        <v/>
      </c>
      <c r="Y586" s="9" t="str">
        <f t="shared" si="84"/>
        <v/>
      </c>
      <c r="Z586" s="2" t="str">
        <f t="shared" si="82"/>
        <v/>
      </c>
      <c r="AA586" s="9" t="str">
        <f t="shared" si="83"/>
        <v/>
      </c>
    </row>
    <row r="587" spans="23:27" x14ac:dyDescent="0.25">
      <c r="W587" s="2" t="str">
        <f t="shared" si="81"/>
        <v/>
      </c>
      <c r="Y587" s="9" t="str">
        <f t="shared" si="84"/>
        <v/>
      </c>
      <c r="Z587" s="2" t="str">
        <f t="shared" si="82"/>
        <v/>
      </c>
      <c r="AA587" s="9" t="str">
        <f t="shared" si="83"/>
        <v/>
      </c>
    </row>
    <row r="588" spans="23:27" x14ac:dyDescent="0.25">
      <c r="W588" s="2" t="str">
        <f t="shared" si="81"/>
        <v/>
      </c>
      <c r="Y588" s="9" t="str">
        <f t="shared" si="84"/>
        <v/>
      </c>
      <c r="Z588" s="2" t="str">
        <f t="shared" si="82"/>
        <v/>
      </c>
      <c r="AA588" s="9" t="str">
        <f t="shared" si="83"/>
        <v/>
      </c>
    </row>
    <row r="589" spans="23:27" x14ac:dyDescent="0.25">
      <c r="W589" s="2" t="str">
        <f t="shared" si="81"/>
        <v/>
      </c>
      <c r="Y589" s="9" t="str">
        <f t="shared" si="84"/>
        <v/>
      </c>
      <c r="Z589" s="2" t="str">
        <f t="shared" si="82"/>
        <v/>
      </c>
      <c r="AA589" s="9" t="str">
        <f t="shared" si="83"/>
        <v/>
      </c>
    </row>
    <row r="590" spans="23:27" x14ac:dyDescent="0.25">
      <c r="W590" s="2" t="str">
        <f t="shared" si="81"/>
        <v/>
      </c>
      <c r="Y590" s="9" t="str">
        <f t="shared" si="84"/>
        <v/>
      </c>
      <c r="Z590" s="2" t="str">
        <f t="shared" si="82"/>
        <v/>
      </c>
      <c r="AA590" s="9" t="str">
        <f t="shared" si="83"/>
        <v/>
      </c>
    </row>
    <row r="591" spans="23:27" x14ac:dyDescent="0.25">
      <c r="W591" s="2" t="str">
        <f t="shared" si="81"/>
        <v/>
      </c>
      <c r="Y591" s="9" t="str">
        <f t="shared" si="84"/>
        <v/>
      </c>
      <c r="Z591" s="2" t="str">
        <f t="shared" si="82"/>
        <v/>
      </c>
      <c r="AA591" s="9" t="str">
        <f t="shared" si="83"/>
        <v/>
      </c>
    </row>
    <row r="592" spans="23:27" x14ac:dyDescent="0.25">
      <c r="W592" s="2" t="str">
        <f t="shared" si="81"/>
        <v/>
      </c>
      <c r="Y592" s="9" t="str">
        <f t="shared" si="84"/>
        <v/>
      </c>
      <c r="Z592" s="2" t="str">
        <f t="shared" si="82"/>
        <v/>
      </c>
      <c r="AA592" s="9" t="str">
        <f t="shared" si="83"/>
        <v/>
      </c>
    </row>
    <row r="593" spans="23:27" x14ac:dyDescent="0.25">
      <c r="W593" s="2" t="str">
        <f t="shared" si="81"/>
        <v/>
      </c>
      <c r="Y593" s="9" t="str">
        <f t="shared" si="84"/>
        <v/>
      </c>
      <c r="Z593" s="2" t="str">
        <f t="shared" si="82"/>
        <v/>
      </c>
      <c r="AA593" s="9" t="str">
        <f t="shared" si="83"/>
        <v/>
      </c>
    </row>
    <row r="594" spans="23:27" x14ac:dyDescent="0.25">
      <c r="W594" s="2" t="str">
        <f t="shared" si="81"/>
        <v/>
      </c>
      <c r="Y594" s="9" t="str">
        <f t="shared" si="84"/>
        <v/>
      </c>
      <c r="Z594" s="2" t="str">
        <f t="shared" si="82"/>
        <v/>
      </c>
      <c r="AA594" s="9" t="str">
        <f t="shared" si="83"/>
        <v/>
      </c>
    </row>
    <row r="595" spans="23:27" x14ac:dyDescent="0.25">
      <c r="W595" s="2" t="str">
        <f t="shared" si="81"/>
        <v/>
      </c>
      <c r="Y595" s="9" t="str">
        <f t="shared" si="84"/>
        <v/>
      </c>
      <c r="Z595" s="2" t="str">
        <f t="shared" si="82"/>
        <v/>
      </c>
      <c r="AA595" s="9" t="str">
        <f t="shared" si="83"/>
        <v/>
      </c>
    </row>
    <row r="596" spans="23:27" x14ac:dyDescent="0.25">
      <c r="W596" s="2" t="str">
        <f t="shared" si="81"/>
        <v/>
      </c>
      <c r="Y596" s="9" t="str">
        <f t="shared" si="84"/>
        <v/>
      </c>
      <c r="Z596" s="2" t="str">
        <f t="shared" si="82"/>
        <v/>
      </c>
      <c r="AA596" s="9" t="str">
        <f t="shared" si="83"/>
        <v/>
      </c>
    </row>
    <row r="597" spans="23:27" x14ac:dyDescent="0.25">
      <c r="W597" s="2" t="str">
        <f t="shared" si="81"/>
        <v/>
      </c>
      <c r="Y597" s="9" t="str">
        <f t="shared" si="84"/>
        <v/>
      </c>
      <c r="Z597" s="2" t="str">
        <f t="shared" si="82"/>
        <v/>
      </c>
      <c r="AA597" s="9" t="str">
        <f t="shared" si="83"/>
        <v/>
      </c>
    </row>
    <row r="598" spans="23:27" x14ac:dyDescent="0.25">
      <c r="W598" s="2" t="str">
        <f t="shared" si="81"/>
        <v/>
      </c>
      <c r="Y598" s="9" t="str">
        <f t="shared" si="84"/>
        <v/>
      </c>
      <c r="Z598" s="2" t="str">
        <f t="shared" si="82"/>
        <v/>
      </c>
      <c r="AA598" s="9" t="str">
        <f t="shared" si="83"/>
        <v/>
      </c>
    </row>
    <row r="599" spans="23:27" x14ac:dyDescent="0.25">
      <c r="W599" s="2" t="str">
        <f t="shared" si="81"/>
        <v/>
      </c>
      <c r="Y599" s="9" t="str">
        <f t="shared" si="84"/>
        <v/>
      </c>
      <c r="Z599" s="2" t="str">
        <f t="shared" si="82"/>
        <v/>
      </c>
      <c r="AA599" s="9" t="str">
        <f t="shared" si="83"/>
        <v/>
      </c>
    </row>
    <row r="600" spans="23:27" x14ac:dyDescent="0.25">
      <c r="W600" s="2" t="str">
        <f t="shared" si="81"/>
        <v/>
      </c>
      <c r="Y600" s="9" t="str">
        <f t="shared" si="84"/>
        <v/>
      </c>
      <c r="Z600" s="2" t="str">
        <f t="shared" si="82"/>
        <v/>
      </c>
      <c r="AA600" s="9" t="str">
        <f t="shared" si="83"/>
        <v/>
      </c>
    </row>
    <row r="601" spans="23:27" x14ac:dyDescent="0.25">
      <c r="W601" s="2" t="str">
        <f t="shared" si="81"/>
        <v/>
      </c>
      <c r="Y601" s="9" t="str">
        <f t="shared" si="84"/>
        <v/>
      </c>
      <c r="Z601" s="2" t="str">
        <f t="shared" si="82"/>
        <v/>
      </c>
      <c r="AA601" s="9" t="str">
        <f t="shared" si="83"/>
        <v/>
      </c>
    </row>
    <row r="602" spans="23:27" x14ac:dyDescent="0.25">
      <c r="W602" s="2" t="str">
        <f t="shared" si="81"/>
        <v/>
      </c>
      <c r="Y602" s="9" t="str">
        <f t="shared" si="84"/>
        <v/>
      </c>
      <c r="Z602" s="2" t="str">
        <f t="shared" si="82"/>
        <v/>
      </c>
      <c r="AA602" s="9" t="str">
        <f t="shared" si="83"/>
        <v/>
      </c>
    </row>
    <row r="603" spans="23:27" x14ac:dyDescent="0.25">
      <c r="W603" s="2" t="str">
        <f t="shared" si="81"/>
        <v/>
      </c>
      <c r="Y603" s="9" t="str">
        <f t="shared" si="84"/>
        <v/>
      </c>
      <c r="Z603" s="2" t="str">
        <f t="shared" si="82"/>
        <v/>
      </c>
      <c r="AA603" s="9" t="str">
        <f t="shared" si="83"/>
        <v/>
      </c>
    </row>
    <row r="604" spans="23:27" x14ac:dyDescent="0.25">
      <c r="W604" s="2" t="str">
        <f t="shared" si="81"/>
        <v/>
      </c>
      <c r="Y604" s="9" t="str">
        <f t="shared" si="84"/>
        <v/>
      </c>
      <c r="Z604" s="2" t="str">
        <f t="shared" si="82"/>
        <v/>
      </c>
      <c r="AA604" s="9" t="str">
        <f t="shared" si="83"/>
        <v/>
      </c>
    </row>
    <row r="605" spans="23:27" x14ac:dyDescent="0.25">
      <c r="W605" s="2" t="str">
        <f t="shared" si="81"/>
        <v/>
      </c>
      <c r="Y605" s="9" t="str">
        <f t="shared" si="84"/>
        <v/>
      </c>
      <c r="Z605" s="2" t="str">
        <f t="shared" si="82"/>
        <v/>
      </c>
      <c r="AA605" s="9" t="str">
        <f t="shared" si="83"/>
        <v/>
      </c>
    </row>
    <row r="606" spans="23:27" x14ac:dyDescent="0.25">
      <c r="W606" s="2" t="str">
        <f t="shared" si="81"/>
        <v/>
      </c>
      <c r="Y606" s="9" t="str">
        <f t="shared" si="84"/>
        <v/>
      </c>
      <c r="Z606" s="2" t="str">
        <f t="shared" si="82"/>
        <v/>
      </c>
      <c r="AA606" s="9" t="str">
        <f t="shared" si="83"/>
        <v/>
      </c>
    </row>
    <row r="607" spans="23:27" x14ac:dyDescent="0.25">
      <c r="W607" s="2" t="str">
        <f t="shared" si="81"/>
        <v/>
      </c>
      <c r="Y607" s="9" t="str">
        <f t="shared" si="84"/>
        <v/>
      </c>
      <c r="Z607" s="2" t="str">
        <f t="shared" si="82"/>
        <v/>
      </c>
      <c r="AA607" s="9" t="str">
        <f t="shared" si="83"/>
        <v/>
      </c>
    </row>
    <row r="608" spans="23:27" x14ac:dyDescent="0.25">
      <c r="W608" s="2" t="str">
        <f t="shared" ref="W608:W616" si="85">IF(W607&lt;B$17,W607+1,"")</f>
        <v/>
      </c>
      <c r="Y608" s="9" t="str">
        <f t="shared" si="84"/>
        <v/>
      </c>
      <c r="Z608" s="2" t="str">
        <f>IF(Y608="","",X608-X$30)</f>
        <v/>
      </c>
      <c r="AA608" s="9" t="str">
        <f>IF(Z608="","",Z608*Y608*Y$26)</f>
        <v/>
      </c>
    </row>
    <row r="609" spans="23:27" x14ac:dyDescent="0.25">
      <c r="W609" s="2" t="str">
        <f t="shared" si="85"/>
        <v/>
      </c>
      <c r="Y609" s="9" t="str">
        <f t="shared" si="84"/>
        <v/>
      </c>
      <c r="AA609" s="9" t="str">
        <f>IF(Z609="","",Z609*Y609*Y$26)</f>
        <v/>
      </c>
    </row>
    <row r="610" spans="23:27" x14ac:dyDescent="0.25">
      <c r="W610" s="2" t="str">
        <f t="shared" si="85"/>
        <v/>
      </c>
      <c r="Y610" s="9" t="str">
        <f t="shared" si="84"/>
        <v/>
      </c>
      <c r="AA610" s="9" t="str">
        <f>IF(Z610="","",Z610*Y610*Y$26)</f>
        <v/>
      </c>
    </row>
    <row r="611" spans="23:27" x14ac:dyDescent="0.25">
      <c r="W611" s="2" t="str">
        <f t="shared" si="85"/>
        <v/>
      </c>
      <c r="AA611" s="9" t="str">
        <f>IF(Z611="","",Z611*Y611*Y$26)</f>
        <v/>
      </c>
    </row>
    <row r="612" spans="23:27" x14ac:dyDescent="0.25">
      <c r="W612" s="2" t="str">
        <f t="shared" si="85"/>
        <v/>
      </c>
      <c r="AA612" s="9" t="str">
        <f>IF(Z612="","",Z612*Y612*Y$26)</f>
        <v/>
      </c>
    </row>
    <row r="613" spans="23:27" x14ac:dyDescent="0.25">
      <c r="W613" s="2" t="str">
        <f t="shared" si="85"/>
        <v/>
      </c>
    </row>
    <row r="614" spans="23:27" x14ac:dyDescent="0.25">
      <c r="W614" s="2" t="str">
        <f t="shared" si="85"/>
        <v/>
      </c>
    </row>
    <row r="615" spans="23:27" x14ac:dyDescent="0.25">
      <c r="W615" s="2" t="str">
        <f t="shared" si="85"/>
        <v/>
      </c>
    </row>
    <row r="616" spans="23:27" x14ac:dyDescent="0.25">
      <c r="W616" s="2" t="str">
        <f t="shared" si="85"/>
        <v/>
      </c>
    </row>
  </sheetData>
  <sheetProtection algorithmName="SHA-512" hashValue="8kbHAp1FilUB9RfxEcY/CNODMS0/7yxI5o+1lam3mW3fCovXDcoFtpxgPTUhpS2sO2NmQ2ta2e59R2fVRIuhWg==" saltValue="mtzeZoQdhj9R5QsZtRiI+A==" spinCount="100000" sheet="1" objects="1" scenarios="1"/>
  <protectedRanges>
    <protectedRange password="C474" sqref="A18:D18 F18:G18 A19 C19:D19" name="Intervalo1"/>
    <protectedRange password="C474" sqref="B19" name="Intervalo1_1"/>
  </protectedRanges>
  <mergeCells count="11">
    <mergeCell ref="A18:G18"/>
    <mergeCell ref="A20:G20"/>
    <mergeCell ref="F21:F22"/>
    <mergeCell ref="A22:B22"/>
    <mergeCell ref="X23:AC24"/>
    <mergeCell ref="D17:E17"/>
    <mergeCell ref="A1:G1"/>
    <mergeCell ref="A2:G2"/>
    <mergeCell ref="A3:G3"/>
    <mergeCell ref="E4:F6"/>
    <mergeCell ref="A14:G14"/>
  </mergeCells>
  <conditionalFormatting sqref="A23:G26">
    <cfRule type="notContainsBlanks" dxfId="21" priority="7" stopIfTrue="1">
      <formula>LEN(TRIM(A23))&gt;0</formula>
    </cfRule>
  </conditionalFormatting>
  <conditionalFormatting sqref="A24:G24">
    <cfRule type="notContainsBlanks" dxfId="20" priority="6">
      <formula>LEN(TRIM(A24))&gt;0</formula>
    </cfRule>
  </conditionalFormatting>
  <conditionalFormatting sqref="A26:G26">
    <cfRule type="notContainsBlanks" dxfId="19" priority="5">
      <formula>LEN(TRIM(A26))&gt;0</formula>
    </cfRule>
  </conditionalFormatting>
  <conditionalFormatting sqref="A27:G264">
    <cfRule type="notContainsBlanks" dxfId="18" priority="4" stopIfTrue="1">
      <formula>LEN(TRIM(A27))&gt;0</formula>
    </cfRule>
  </conditionalFormatting>
  <conditionalFormatting sqref="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">
    <cfRule type="notContainsBlanks" dxfId="17" priority="3">
      <formula>LEN(TRIM(A28))&gt;0</formula>
    </cfRule>
  </conditionalFormatting>
  <conditionalFormatting sqref="F19">
    <cfRule type="expression" dxfId="16" priority="1">
      <formula>$K$4=2</formula>
    </cfRule>
  </conditionalFormatting>
  <dataValidations count="4">
    <dataValidation type="decimal" allowBlank="1" showInputMessage="1" showErrorMessage="1" errorTitle="atenção!" error="A garantia do FAMPE deve variar de 20% a 50%, respeitado o limite do FAMPE para Inovação Tecnológica." sqref="F19" xr:uid="{6725E07E-C59C-468F-B5D1-251DCDD12714}">
      <formula1>0.2</formula1>
      <formula2>K20</formula2>
    </dataValidation>
    <dataValidation type="whole" operator="lessThanOrEqual" allowBlank="1" showInputMessage="1" showErrorMessage="1" sqref="B16" xr:uid="{CB364EFC-B799-469E-B88A-E80BA756C949}">
      <formula1>R7</formula1>
    </dataValidation>
    <dataValidation type="whole" operator="lessThanOrEqual" allowBlank="1" showInputMessage="1" showErrorMessage="1" sqref="B17" xr:uid="{17538EA3-BDF6-4C73-B84A-2E08A8061075}">
      <formula1>Q7</formula1>
    </dataValidation>
    <dataValidation type="whole" allowBlank="1" showInputMessage="1" showErrorMessage="1" sqref="B15" xr:uid="{70A300D6-1F95-4177-A58A-481AF06AFF69}">
      <formula1>S7</formula1>
      <formula2>T7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Drop Down 1">
              <controlPr defaultSize="0" autoLine="0" autoPict="0">
                <anchor moveWithCells="1">
                  <from>
                    <xdr:col>1</xdr:col>
                    <xdr:colOff>476250</xdr:colOff>
                    <xdr:row>3</xdr:row>
                    <xdr:rowOff>0</xdr:rowOff>
                  </from>
                  <to>
                    <xdr:col>6</xdr:col>
                    <xdr:colOff>762000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Drop Down 3">
              <controlPr locked="0" defaultSize="0" autoLine="0" autoPict="0">
                <anchor moveWithCells="1">
                  <from>
                    <xdr:col>6</xdr:col>
                    <xdr:colOff>123825</xdr:colOff>
                    <xdr:row>15</xdr:row>
                    <xdr:rowOff>38100</xdr:rowOff>
                  </from>
                  <to>
                    <xdr:col>6</xdr:col>
                    <xdr:colOff>1095375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Drop Down 4">
              <controlPr locked="0" defaultSize="0" autoLine="0" autoPict="0">
                <anchor moveWithCells="1">
                  <from>
                    <xdr:col>4</xdr:col>
                    <xdr:colOff>38100</xdr:colOff>
                    <xdr:row>18</xdr:row>
                    <xdr:rowOff>219075</xdr:rowOff>
                  </from>
                  <to>
                    <xdr:col>4</xdr:col>
                    <xdr:colOff>1104900</xdr:colOff>
                    <xdr:row>18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7" name="Drop Down 6">
              <controlPr defaultSize="0" autoLine="0" autoPict="0">
                <anchor moveWithCells="1">
                  <from>
                    <xdr:col>6</xdr:col>
                    <xdr:colOff>57150</xdr:colOff>
                    <xdr:row>16</xdr:row>
                    <xdr:rowOff>57150</xdr:rowOff>
                  </from>
                  <to>
                    <xdr:col>6</xdr:col>
                    <xdr:colOff>1123950</xdr:colOff>
                    <xdr:row>16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8" name="Drop Down 2">
              <controlPr locked="0" defaultSize="0" autoLine="0" autoPict="0">
                <anchor moveWithCells="1">
                  <from>
                    <xdr:col>6</xdr:col>
                    <xdr:colOff>123825</xdr:colOff>
                    <xdr:row>14</xdr:row>
                    <xdr:rowOff>38100</xdr:rowOff>
                  </from>
                  <to>
                    <xdr:col>6</xdr:col>
                    <xdr:colOff>1104900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AE73-E7B8-424A-B072-A7073D8AE025}">
  <sheetPr codeName="Planilha4">
    <pageSetUpPr fitToPage="1"/>
  </sheetPr>
  <dimension ref="A1:BG437"/>
  <sheetViews>
    <sheetView showGridLines="0" topLeftCell="B2" zoomScaleNormal="100" workbookViewId="0">
      <selection activeCell="BI19" sqref="BI19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5" width="19.28515625" style="21" customWidth="1"/>
    <col min="6" max="6" width="17.42578125" style="21" hidden="1" customWidth="1"/>
    <col min="7" max="7" width="16.7109375" style="21" customWidth="1"/>
    <col min="8" max="9" width="9.1406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2.5703125" style="2" hidden="1" customWidth="1"/>
    <col min="31" max="31" width="13.42578125" style="2" hidden="1" customWidth="1"/>
    <col min="32" max="32" width="13.855468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7" width="9.140625" style="2" hidden="1" customWidth="1"/>
    <col min="38" max="38" width="13.85546875" style="2" hidden="1" customWidth="1"/>
    <col min="39" max="39" width="18.28515625" style="2" hidden="1" customWidth="1"/>
    <col min="40" max="40" width="13.7109375" style="2" hidden="1" customWidth="1"/>
    <col min="41" max="42" width="8.85546875" style="2" hidden="1" customWidth="1"/>
    <col min="43" max="44" width="10" style="2" hidden="1" customWidth="1"/>
    <col min="45" max="46" width="9.140625" style="2" hidden="1" customWidth="1"/>
    <col min="47" max="47" width="13.140625" style="2" hidden="1" customWidth="1"/>
    <col min="48" max="48" width="10.5703125" style="2" hidden="1" customWidth="1"/>
    <col min="49" max="52" width="11.140625" style="2" hidden="1" customWidth="1"/>
    <col min="53" max="53" width="9.140625" style="2" hidden="1" customWidth="1"/>
    <col min="54" max="55" width="13.42578125" style="2" hidden="1" customWidth="1"/>
    <col min="56" max="59" width="9.140625" style="2" hidden="1" customWidth="1"/>
    <col min="60" max="75" width="9.140625" style="2" customWidth="1"/>
    <col min="76" max="16384" width="9.140625" style="2"/>
  </cols>
  <sheetData>
    <row r="1" spans="1:56" ht="72" customHeight="1" x14ac:dyDescent="0.25">
      <c r="A1" s="227" t="s">
        <v>59</v>
      </c>
      <c r="B1" s="227"/>
      <c r="C1" s="227"/>
      <c r="D1" s="227"/>
      <c r="E1" s="227"/>
      <c r="F1" s="227"/>
      <c r="G1" s="227"/>
      <c r="AA1" s="2">
        <v>2</v>
      </c>
      <c r="AB1" s="2">
        <v>2</v>
      </c>
    </row>
    <row r="2" spans="1:56" ht="36" customHeight="1" x14ac:dyDescent="0.25">
      <c r="A2" s="255" t="s">
        <v>57</v>
      </c>
      <c r="B2" s="255"/>
      <c r="C2" s="255"/>
      <c r="D2" s="255"/>
      <c r="E2" s="255"/>
      <c r="F2" s="255"/>
      <c r="G2" s="256"/>
      <c r="H2" s="11"/>
    </row>
    <row r="3" spans="1:56" ht="27.75" customHeight="1" x14ac:dyDescent="0.25">
      <c r="A3" s="240" t="s">
        <v>135</v>
      </c>
      <c r="B3" s="240"/>
      <c r="C3" s="240"/>
      <c r="D3" s="240"/>
      <c r="E3" s="240"/>
      <c r="F3" s="240"/>
      <c r="G3" s="241"/>
      <c r="AA3" s="2" t="s">
        <v>37</v>
      </c>
      <c r="AB3" s="2" t="s">
        <v>38</v>
      </c>
    </row>
    <row r="4" spans="1:56" ht="17.25" customHeight="1" x14ac:dyDescent="0.25">
      <c r="A4" s="54" t="s">
        <v>0</v>
      </c>
      <c r="B4" s="38"/>
      <c r="C4" s="55"/>
      <c r="D4" s="31"/>
      <c r="E4" s="54"/>
      <c r="F4" s="56"/>
      <c r="G4" s="32"/>
      <c r="J4" s="2">
        <v>2</v>
      </c>
      <c r="K4" s="2">
        <v>1</v>
      </c>
      <c r="N4" s="78" t="s">
        <v>0</v>
      </c>
      <c r="O4" s="78" t="s">
        <v>1</v>
      </c>
      <c r="P4" s="78" t="s">
        <v>55</v>
      </c>
      <c r="Q4" s="78"/>
      <c r="R4" s="78"/>
      <c r="S4" s="78" t="s">
        <v>5</v>
      </c>
      <c r="T4" s="78" t="s">
        <v>9</v>
      </c>
      <c r="U4" s="78" t="s">
        <v>8</v>
      </c>
      <c r="V4" s="78" t="s">
        <v>25</v>
      </c>
      <c r="AA4" s="2" t="s">
        <v>41</v>
      </c>
      <c r="AB4" s="2" t="s">
        <v>41</v>
      </c>
    </row>
    <row r="5" spans="1:56" ht="17.25" hidden="1" customHeight="1" x14ac:dyDescent="0.25">
      <c r="A5" s="31"/>
      <c r="B5" s="38"/>
      <c r="C5" s="31"/>
      <c r="D5" s="31"/>
      <c r="E5" s="31"/>
      <c r="F5" s="57"/>
      <c r="G5" s="58"/>
      <c r="N5" s="79" t="s">
        <v>95</v>
      </c>
      <c r="O5" s="81">
        <f>IF($I$11=1,'Tabela de Encargos'!C53,'Tabela de Encargos'!E53)</f>
        <v>8.8992000000000002E-2</v>
      </c>
      <c r="P5" s="81">
        <f>IF($I$11=1,'Tabela de Encargos'!D53,'Tabela de Encargos'!F53)</f>
        <v>8.2918000000000006E-2</v>
      </c>
      <c r="Q5" s="81"/>
      <c r="R5" s="81"/>
      <c r="S5" s="79">
        <f>'Tabela de Encargos'!G53</f>
        <v>36</v>
      </c>
      <c r="T5" s="79">
        <f>'Tabela de Encargos'!H53</f>
        <v>3</v>
      </c>
      <c r="U5" s="85">
        <f>'Tabela de Encargos'!I53</f>
        <v>27000</v>
      </c>
      <c r="V5" s="79"/>
      <c r="AA5" s="2" t="s">
        <v>42</v>
      </c>
      <c r="AB5" s="2" t="s">
        <v>42</v>
      </c>
    </row>
    <row r="6" spans="1:56" ht="17.25" hidden="1" customHeight="1" x14ac:dyDescent="0.3">
      <c r="A6" s="31"/>
      <c r="B6" s="59"/>
      <c r="C6" s="60" t="str">
        <f>IF(AND(J4=1,K4=1),Q5,IF(AND(J4=1,K4=2),R5,IF(AND(J4=1,K4=3),P5,"-")))</f>
        <v>-</v>
      </c>
      <c r="D6" s="57"/>
      <c r="E6" s="57"/>
      <c r="F6" s="57"/>
      <c r="G6" s="58"/>
      <c r="N6" s="79" t="s">
        <v>197</v>
      </c>
      <c r="O6" s="81">
        <f>IF($I$11=1,'Tabela de Encargos'!C54,'Tabela de Encargos'!E54)</f>
        <v>8.8992000000000002E-2</v>
      </c>
      <c r="P6" s="81">
        <f>IF($I$11=1,'Tabela de Encargos'!D54,'Tabela de Encargos'!F54)</f>
        <v>8.2918000000000006E-2</v>
      </c>
      <c r="Q6" s="81"/>
      <c r="R6" s="81"/>
      <c r="S6" s="79">
        <f>'Tabela de Encargos'!G54</f>
        <v>144</v>
      </c>
      <c r="T6" s="79">
        <f>'Tabela de Encargos'!H54</f>
        <v>36</v>
      </c>
      <c r="U6" s="85">
        <f>'Tabela de Encargos'!I54</f>
        <v>2000000</v>
      </c>
      <c r="V6" s="79"/>
    </row>
    <row r="7" spans="1:56" ht="17.25" hidden="1" customHeight="1" x14ac:dyDescent="0.3">
      <c r="A7" s="31"/>
      <c r="B7" s="61"/>
      <c r="C7" s="60">
        <f>IF(AND(J4=2,K4=1),Q6,IF(AND(J4=2,K4=2),R6,IF(AND(J4=2,K4=3),P6,"-")))</f>
        <v>0</v>
      </c>
      <c r="D7" s="57"/>
      <c r="E7" s="57"/>
      <c r="F7" s="57"/>
      <c r="G7" s="58"/>
      <c r="N7" s="79" t="s">
        <v>198</v>
      </c>
      <c r="O7" s="81">
        <f>IF($I$11=1,'Tabela de Encargos'!C55,'Tabela de Encargos'!E55)</f>
        <v>0.106346</v>
      </c>
      <c r="P7" s="81">
        <f>IF($I$11=1,'Tabela de Encargos'!D55,'Tabela de Encargos'!F55)</f>
        <v>9.7669000000000006E-2</v>
      </c>
      <c r="Q7" s="81"/>
      <c r="R7" s="81"/>
      <c r="S7" s="79">
        <f>'Tabela de Encargos'!G55</f>
        <v>144</v>
      </c>
      <c r="T7" s="79">
        <f>'Tabela de Encargos'!H55</f>
        <v>36</v>
      </c>
      <c r="U7" s="85">
        <f>'Tabela de Encargos'!I55</f>
        <v>2000000</v>
      </c>
      <c r="V7" s="79"/>
    </row>
    <row r="8" spans="1:56" ht="17.25" hidden="1" customHeight="1" x14ac:dyDescent="0.3">
      <c r="A8" s="31"/>
      <c r="B8" s="61"/>
      <c r="C8" s="60" t="str">
        <f>IF(AND(J4=3,K4=1),Q9,IF(AND(J4=3,K4=2),R9,IF(AND(J4=3,K4=3),P9,"-")))</f>
        <v>-</v>
      </c>
      <c r="D8" s="57"/>
      <c r="E8" s="57"/>
      <c r="F8" s="57"/>
      <c r="G8" s="58"/>
      <c r="N8" s="79" t="s">
        <v>136</v>
      </c>
      <c r="O8" s="81">
        <f>IF($I$11=1,'Tabela de Encargos'!C56,'Tabela de Encargos'!E56)</f>
        <v>0</v>
      </c>
      <c r="P8" s="81">
        <f>IF($I$11=1,'Tabela de Encargos'!D56,'Tabela de Encargos'!F56)</f>
        <v>0</v>
      </c>
      <c r="S8" s="79">
        <f>'Tabela de Encargos'!G56</f>
        <v>24</v>
      </c>
      <c r="T8" s="79">
        <f>'Tabela de Encargos'!H56</f>
        <v>6</v>
      </c>
      <c r="U8" s="85">
        <v>200000</v>
      </c>
      <c r="V8" s="79"/>
    </row>
    <row r="9" spans="1:56" ht="17.25" hidden="1" customHeight="1" x14ac:dyDescent="0.3">
      <c r="A9" s="31"/>
      <c r="B9" s="61"/>
      <c r="C9" s="60" t="str">
        <f>IF(AND(J4=4,K4=1),Q10,IF(AND(J4=4,K4=2),R10,IF(AND(J4=4,K4=3),P10,"-")))</f>
        <v>-</v>
      </c>
      <c r="D9" s="57"/>
      <c r="E9" s="57"/>
      <c r="F9" s="57"/>
      <c r="G9" s="58"/>
      <c r="N9" s="79" t="s">
        <v>96</v>
      </c>
      <c r="O9" s="81">
        <f>IF($I$11=1,'Tabela de Encargos'!C57,'Tabela de Encargos'!E57)</f>
        <v>0</v>
      </c>
      <c r="P9" s="81">
        <f>IF($I$11=1,'Tabela de Encargos'!D57,'Tabela de Encargos'!F57)</f>
        <v>0</v>
      </c>
      <c r="Q9" s="82"/>
      <c r="R9" s="82"/>
      <c r="S9" s="79">
        <f>'Tabela de Encargos'!G57</f>
        <v>36</v>
      </c>
      <c r="T9" s="79">
        <f>'Tabela de Encargos'!H57</f>
        <v>3</v>
      </c>
      <c r="U9" s="85">
        <f>'Tabela de Encargos'!I57</f>
        <v>21000</v>
      </c>
      <c r="V9" s="79"/>
    </row>
    <row r="10" spans="1:56" ht="17.25" hidden="1" customHeight="1" x14ac:dyDescent="0.3">
      <c r="A10" s="31"/>
      <c r="B10" s="61"/>
      <c r="C10" s="60" t="str">
        <f>IF(AND(J4=5,K4=1),Q11,IF(AND(J4=5,K4=2),R11,IF(AND(J4=5,K4=3),P11,"-")))</f>
        <v>-</v>
      </c>
      <c r="D10" s="57"/>
      <c r="E10" s="57"/>
      <c r="F10" s="57"/>
      <c r="G10" s="58"/>
      <c r="N10" s="79" t="s">
        <v>97</v>
      </c>
      <c r="O10" s="81">
        <f>IF($I$11=1,'Tabela de Encargos'!C58,'Tabela de Encargos'!E58)</f>
        <v>0</v>
      </c>
      <c r="P10" s="81">
        <f>IF($I$11=1,'Tabela de Encargos'!D58,'Tabela de Encargos'!F58)</f>
        <v>0</v>
      </c>
      <c r="Q10" s="82"/>
      <c r="R10" s="82"/>
      <c r="S10" s="79">
        <f>'Tabela de Encargos'!G58</f>
        <v>18</v>
      </c>
      <c r="T10" s="79">
        <f>'Tabela de Encargos'!H58</f>
        <v>3</v>
      </c>
      <c r="U10" s="85">
        <f>'Tabela de Encargos'!I58</f>
        <v>7000</v>
      </c>
      <c r="V10" s="79"/>
    </row>
    <row r="11" spans="1:56" ht="17.25" hidden="1" customHeight="1" x14ac:dyDescent="0.3">
      <c r="A11" s="31"/>
      <c r="B11" s="61"/>
      <c r="C11" s="62" t="str">
        <f>IF(AND(J4=6,K4=1),#REF!,IF(AND(J4=6,K4=2),#REF!,IF(AND(J4=6,K4=3),#REF!,"-")))</f>
        <v>-</v>
      </c>
      <c r="D11" s="57"/>
      <c r="E11" s="57"/>
      <c r="F11" s="57"/>
      <c r="G11" s="58"/>
      <c r="I11" s="2">
        <v>1</v>
      </c>
      <c r="J11" s="2" t="s">
        <v>98</v>
      </c>
      <c r="N11" s="79" t="s">
        <v>94</v>
      </c>
      <c r="O11" s="81">
        <f>IF($I$11=1,'Tabela de Encargos'!C59,'Tabela de Encargos'!E59)</f>
        <v>0</v>
      </c>
      <c r="P11" s="81">
        <f>IF($I$11=1,'Tabela de Encargos'!D59,'Tabela de Encargos'!F59)</f>
        <v>0</v>
      </c>
      <c r="Q11" s="82"/>
      <c r="R11" s="82"/>
      <c r="S11" s="79">
        <f>'Tabela de Encargos'!G59</f>
        <v>96</v>
      </c>
      <c r="T11" s="79">
        <f>'Tabela de Encargos'!H59</f>
        <v>6</v>
      </c>
      <c r="U11" s="85">
        <f>'Tabela de Encargos'!I59</f>
        <v>100000</v>
      </c>
      <c r="V11" s="79"/>
    </row>
    <row r="12" spans="1:56" ht="17.25" hidden="1" customHeight="1" x14ac:dyDescent="0.3">
      <c r="A12" s="31"/>
      <c r="B12" s="61"/>
      <c r="C12" s="60" t="str">
        <f>IF(AND(J4=7,K4=1),#REF!,IF(AND(J4=7,K4=2),#REF!,IF(AND(J4=7,K4=3),#REF!,"-")))</f>
        <v>-</v>
      </c>
      <c r="D12" s="57"/>
      <c r="E12" s="57"/>
      <c r="F12" s="57"/>
      <c r="G12" s="58"/>
      <c r="J12" s="2" t="s">
        <v>99</v>
      </c>
      <c r="O12" s="84">
        <f>IF($J$4=1,O5,IF($J$4=2,O6,IF($J$4=3,O7,IF($J$4=4,O8,IF($J$4=5,O9,IF($J$4=6,O10,0))))))</f>
        <v>8.8992000000000002E-2</v>
      </c>
      <c r="P12" s="84">
        <f>IF($J$4=1,P5,IF($J$4=2,P6,IF($J$4=3,P7,IF($J$4=4,P8,IF($J$4=5,P9,IF($J$4=6,P10,0))))))</f>
        <v>8.2918000000000006E-2</v>
      </c>
      <c r="Q12" s="84">
        <v>1.5900000000000001E-2</v>
      </c>
      <c r="R12" s="84">
        <v>1.5900000000000001E-2</v>
      </c>
      <c r="S12" s="2">
        <v>36</v>
      </c>
      <c r="T12" s="2">
        <v>12</v>
      </c>
      <c r="U12" s="23">
        <v>21000</v>
      </c>
    </row>
    <row r="13" spans="1:56" ht="17.25" hidden="1" customHeight="1" x14ac:dyDescent="0.3">
      <c r="A13" s="31"/>
      <c r="B13" s="61"/>
      <c r="C13" s="60" t="str">
        <f>IF(AND(J4=8,K4=1),Q12,IF(AND(J4=8,K4=2),R12,IF(AND(J4=8,K4=3),P12,"-")))</f>
        <v>-</v>
      </c>
      <c r="D13" s="57"/>
      <c r="E13" s="57"/>
      <c r="F13" s="57"/>
      <c r="G13" s="58"/>
    </row>
    <row r="14" spans="1:56" ht="21" x14ac:dyDescent="0.35">
      <c r="A14" s="266" t="s">
        <v>17</v>
      </c>
      <c r="B14" s="266"/>
      <c r="C14" s="267"/>
      <c r="D14" s="267"/>
      <c r="E14" s="267"/>
      <c r="F14" s="267"/>
      <c r="G14" s="267"/>
      <c r="AK14" s="118"/>
      <c r="AM14" s="2" t="s">
        <v>139</v>
      </c>
    </row>
    <row r="15" spans="1:56" ht="35.25" customHeight="1" x14ac:dyDescent="0.25">
      <c r="A15" s="34" t="s">
        <v>10</v>
      </c>
      <c r="B15" s="150">
        <v>1000000</v>
      </c>
      <c r="C15" s="63" t="s">
        <v>49</v>
      </c>
      <c r="D15" s="224">
        <v>0.11124100000000001</v>
      </c>
      <c r="E15" s="51"/>
      <c r="F15" s="36" t="s">
        <v>37</v>
      </c>
      <c r="G15" s="135">
        <f>IF(B15&lt;=3000,50,IF(B15&lt;=21000,IF(B15*0.03&lt;=420,B15*0.03,420),IF(B15&lt;=100000,B15*0.02,2000+B15*0.005)))</f>
        <v>7000</v>
      </c>
      <c r="H15"/>
      <c r="I15"/>
      <c r="J15" s="2">
        <v>4</v>
      </c>
      <c r="K15"/>
      <c r="L15" s="77"/>
      <c r="M15"/>
      <c r="N15" s="78" t="s">
        <v>0</v>
      </c>
      <c r="O15" s="78" t="s">
        <v>1</v>
      </c>
      <c r="P15" s="78" t="s">
        <v>55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2" t="s">
        <v>140</v>
      </c>
    </row>
    <row r="16" spans="1:56" ht="35.25" customHeight="1" x14ac:dyDescent="0.25">
      <c r="A16" s="35" t="s">
        <v>6</v>
      </c>
      <c r="B16" s="133">
        <v>12</v>
      </c>
      <c r="C16" s="64" t="s">
        <v>52</v>
      </c>
      <c r="D16" s="224">
        <v>0.10267</v>
      </c>
      <c r="E16" s="129" t="s">
        <v>149</v>
      </c>
      <c r="F16" s="36"/>
      <c r="G16" s="30"/>
      <c r="H16"/>
      <c r="I16"/>
      <c r="J16" s="2">
        <v>2</v>
      </c>
      <c r="K16"/>
      <c r="L16"/>
      <c r="M16"/>
      <c r="N16" s="79" t="s">
        <v>95</v>
      </c>
      <c r="O16" s="81">
        <f>IF($I$11=1,9.12%,9.85%)</f>
        <v>9.1199999999999989E-2</v>
      </c>
      <c r="P16" s="81">
        <f>IF($I$11=1,8.62%,9.25%)</f>
        <v>8.6199999999999999E-2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f>IF(AN17=1,1,IF(AN17=2,2,IF(AN17=3,3,IF(AN17=4,6,IF(AN17=5,12)))))</f>
        <v>1</v>
      </c>
      <c r="AL16" s="93">
        <f>B16/AK16</f>
        <v>12</v>
      </c>
      <c r="AM16" s="2" t="s">
        <v>141</v>
      </c>
      <c r="BB16" s="2" t="s">
        <v>37</v>
      </c>
      <c r="BC16" s="23">
        <f>G15</f>
        <v>7000</v>
      </c>
      <c r="BD16" s="84" t="e">
        <f>BC16/BC18</f>
        <v>#VALUE!</v>
      </c>
    </row>
    <row r="17" spans="1:56" ht="35.25" customHeight="1" x14ac:dyDescent="0.25">
      <c r="A17" s="35" t="s">
        <v>22</v>
      </c>
      <c r="B17" s="133">
        <v>84</v>
      </c>
      <c r="C17" s="34" t="s">
        <v>11</v>
      </c>
      <c r="D17" s="147">
        <f ca="1">TODAY()</f>
        <v>46240</v>
      </c>
      <c r="E17" s="271"/>
      <c r="F17" s="271"/>
      <c r="G17" s="272"/>
      <c r="H17"/>
      <c r="I17"/>
      <c r="J17" s="2" t="s">
        <v>41</v>
      </c>
      <c r="K17"/>
      <c r="L17" t="b">
        <v>0</v>
      </c>
      <c r="M17"/>
      <c r="N17" s="79" t="s">
        <v>93</v>
      </c>
      <c r="O17" s="81">
        <f>IF($I$11=1,9.12%,9.85%)</f>
        <v>9.1199999999999989E-2</v>
      </c>
      <c r="P17" s="81">
        <f>IF($I$11=1,8.62%,9.25%)</f>
        <v>8.6199999999999999E-2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f>IF(AN17=1,1,IF(AN17=2,2,IF(AN17=3,3,IF(AN17=4,6,IF(AN17=5,12)))))</f>
        <v>1</v>
      </c>
      <c r="AL17" s="93">
        <f>B17/AK16</f>
        <v>84</v>
      </c>
      <c r="AM17" s="2" t="s">
        <v>142</v>
      </c>
      <c r="AN17" s="2">
        <v>1</v>
      </c>
      <c r="AV17" s="2">
        <f>AN17</f>
        <v>1</v>
      </c>
      <c r="BB17" s="2" t="s">
        <v>14</v>
      </c>
      <c r="BC17" s="23" t="e">
        <f>BB23</f>
        <v>#VALUE!</v>
      </c>
      <c r="BD17" s="95" t="e">
        <f>BC17/BC18</f>
        <v>#VALUE!</v>
      </c>
    </row>
    <row r="18" spans="1:56" ht="23.25" customHeight="1" x14ac:dyDescent="0.25">
      <c r="A18" s="268" t="s">
        <v>65</v>
      </c>
      <c r="B18" s="268"/>
      <c r="C18" s="269"/>
      <c r="D18" s="269"/>
      <c r="E18" s="270"/>
      <c r="F18" s="270"/>
      <c r="G18" s="270"/>
      <c r="H18"/>
      <c r="I18"/>
      <c r="J18" s="2" t="s">
        <v>42</v>
      </c>
      <c r="K18"/>
      <c r="L18"/>
      <c r="M18"/>
      <c r="N18" s="79" t="s">
        <v>96</v>
      </c>
      <c r="O18" s="81">
        <f>IF($I$11=1,11.48%,12.74%)</f>
        <v>0.1148</v>
      </c>
      <c r="P18" s="81">
        <f>IF($I$11=1,10.63%,11.7%)</f>
        <v>0.10630000000000001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2" t="s">
        <v>143</v>
      </c>
      <c r="AN18" s="2" t="b">
        <v>1</v>
      </c>
      <c r="BB18" s="2" t="s">
        <v>60</v>
      </c>
      <c r="BC18" s="23" t="e">
        <f>SUM(BC16:BC17)</f>
        <v>#VALUE!</v>
      </c>
    </row>
    <row r="19" spans="1:56" ht="34.5" customHeight="1" x14ac:dyDescent="0.25">
      <c r="A19" s="34" t="s">
        <v>63</v>
      </c>
      <c r="B19" s="141">
        <f>IF(LARGE(G23:G241,1)*3&lt;2424,2424,LARGE(G23:G241,1)*3)</f>
        <v>66663.466032533426</v>
      </c>
      <c r="C19" s="42" t="s">
        <v>64</v>
      </c>
      <c r="D19" s="43">
        <f>(B15*1.5)/0.7</f>
        <v>2142857.1428571432</v>
      </c>
      <c r="E19" s="76"/>
      <c r="F19" s="89">
        <v>0.2</v>
      </c>
      <c r="G19" s="75"/>
      <c r="H19"/>
      <c r="I19"/>
      <c r="J19" t="s">
        <v>68</v>
      </c>
      <c r="K19"/>
      <c r="L19" s="2" t="b">
        <v>0</v>
      </c>
      <c r="M19"/>
      <c r="N19" s="79" t="s">
        <v>97</v>
      </c>
      <c r="O19" s="81">
        <f>IF($I$11=1,11.48%,12.74%)</f>
        <v>0.1148</v>
      </c>
      <c r="P19" s="81">
        <f>IF($I$11=1,10.63%,11.7%)</f>
        <v>0.10630000000000001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5"/>
      <c r="AN19" s="2" t="s">
        <v>144</v>
      </c>
      <c r="AV19" s="2" t="s">
        <v>15</v>
      </c>
    </row>
    <row r="20" spans="1:56" s="25" customFormat="1" ht="23.25" x14ac:dyDescent="0.2">
      <c r="A20" s="264" t="s">
        <v>31</v>
      </c>
      <c r="B20" s="264"/>
      <c r="C20" s="264"/>
      <c r="D20" s="248"/>
      <c r="E20" s="264"/>
      <c r="F20" s="264"/>
      <c r="G20" s="264"/>
      <c r="J20" s="25" t="s">
        <v>42</v>
      </c>
      <c r="N20" s="79" t="s">
        <v>94</v>
      </c>
      <c r="O20" s="81">
        <f>IF($I$11=1,9.12%,9.85%)</f>
        <v>9.1199999999999989E-2</v>
      </c>
      <c r="P20" s="81">
        <f>IF($I$11=1,8.62%,9.25%)</f>
        <v>8.6199999999999999E-2</v>
      </c>
      <c r="AM20" s="26"/>
      <c r="AV20" s="25" t="s">
        <v>145</v>
      </c>
    </row>
    <row r="21" spans="1:56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18</v>
      </c>
      <c r="G21" s="37" t="s">
        <v>56</v>
      </c>
      <c r="J21" s="2" t="b">
        <v>0</v>
      </c>
      <c r="AB21" s="232" t="s">
        <v>45</v>
      </c>
      <c r="AC21" s="232"/>
      <c r="AD21" s="232"/>
      <c r="AE21" s="232"/>
      <c r="AF21" s="232"/>
      <c r="AG21" s="232"/>
      <c r="AL21" s="116" t="b">
        <f>INT(AL16)=AL16</f>
        <v>1</v>
      </c>
    </row>
    <row r="22" spans="1:56" ht="18.75" x14ac:dyDescent="0.25">
      <c r="A22" s="235" t="s">
        <v>60</v>
      </c>
      <c r="B22" s="236"/>
      <c r="C22" s="154">
        <f>SUM(C23:C242)</f>
        <v>399399.65348153427</v>
      </c>
      <c r="D22" s="154">
        <f>SUM(D23:D242)</f>
        <v>1007000.0000000008</v>
      </c>
      <c r="E22" s="234"/>
      <c r="F22" s="47">
        <f>SUM(F23:F242)</f>
        <v>1406399.6453037348</v>
      </c>
      <c r="G22" s="154">
        <f>SUM(G23:G242)</f>
        <v>1406399.6453037348</v>
      </c>
      <c r="AB22" s="232"/>
      <c r="AC22" s="232"/>
      <c r="AD22" s="232"/>
      <c r="AE22" s="232"/>
      <c r="AF22" s="232"/>
      <c r="AG22" s="232"/>
      <c r="AL22" s="116" t="b">
        <f>INT(AL17)=AL17</f>
        <v>1</v>
      </c>
    </row>
    <row r="23" spans="1:56" x14ac:dyDescent="0.25">
      <c r="A23" s="68">
        <v>0</v>
      </c>
      <c r="B23" s="68"/>
      <c r="C23" s="96">
        <f>(D16+1)^(1/12)-1</f>
        <v>8.1777996356173777E-3</v>
      </c>
      <c r="D23" s="65"/>
      <c r="E23" s="157">
        <f>IF(AND(AA1=1,AB1=1,J16=1),B15,IF(AND(AA1=1,AB1=1,J16=2),B15+G17,IF(AND(AA1=1,AB1=2,J16=1),B15+G16,IF(AND(AA1=1,AB1=2,J16=3),B15+G16,IF(AND(AA1=2,AB1=1,J16=1),B15+G15,IF(AND(AA1=2,AB1=1,J16=2),B15+G15+G17,IF(AND(AA1=2,AB1=2,J16=2),B15+G17+G16+G15,IF(AND(AA1=2,AB1=2,J16=3),B15+G15+G16,IF(AND(AA1=2,AB1=2,J16=1),B15+G15+G16,IF(AND(AA1=1,AB1=2,J16=2),B15+G16+G17, IF(AND(AA1=1,AB1=1,J16=3),B15)))))))))))</f>
        <v>1007000</v>
      </c>
      <c r="F23" s="65"/>
      <c r="G23" s="115"/>
      <c r="AB23" s="232"/>
      <c r="AC23" s="232"/>
      <c r="AD23" s="232"/>
      <c r="AE23" s="232"/>
      <c r="AF23" s="232"/>
      <c r="AG23" s="232"/>
      <c r="BB23" s="23" t="e">
        <f>SUM(BB24:BB203)</f>
        <v>#VALUE!</v>
      </c>
    </row>
    <row r="24" spans="1:56" x14ac:dyDescent="0.25">
      <c r="A24" s="68">
        <f t="shared" ref="A24:A86" si="0">IF(A23&lt;B$17,A23+1,"")</f>
        <v>1</v>
      </c>
      <c r="B24" s="68" t="str">
        <f t="shared" ref="B24:B86" si="1">IF(A24="","",IF(A24&lt;=B$16,"carência","amortização"))</f>
        <v>carência</v>
      </c>
      <c r="C24" s="158">
        <f>IF(B24="","",IF($AN$18=TRUE,AL24,AM24))</f>
        <v>8235.0442330666992</v>
      </c>
      <c r="D24" s="158">
        <f>IF(C24="","",IF(A24&lt;=B$16,0,AU24))</f>
        <v>0</v>
      </c>
      <c r="E24" s="157">
        <f t="shared" ref="E24:E86" si="2">IF(F24="","",E23-D24)</f>
        <v>1007000</v>
      </c>
      <c r="F24" s="158">
        <f t="shared" ref="F24:F86" si="3">IF(D24="","",D24+C24)</f>
        <v>8235.0442330666992</v>
      </c>
      <c r="G24" s="160">
        <f>IF(E24="","",D24+C24)</f>
        <v>8235.0442330666992</v>
      </c>
      <c r="AB24" s="2" t="s">
        <v>38</v>
      </c>
      <c r="AC24" s="6">
        <v>3.8E-3</v>
      </c>
      <c r="AE24" s="13">
        <f>AC27*AC24</f>
        <v>3800</v>
      </c>
      <c r="AF24" s="13">
        <f>IF(L19=FALSE,0,IF(AND(AH25=TRUE,B15&lt;=30000),AE24+AE26,AE24+AE25))</f>
        <v>0</v>
      </c>
      <c r="AL24" s="23">
        <f t="shared" ref="AL24:AL87" si="4">IF(A24&lt;=$B$16,AM24,E23*$C$23)</f>
        <v>8235.0442330666992</v>
      </c>
      <c r="AM24" s="23">
        <f>IF($AN$17=1,AN24,IF($AN$17=2,AO24,IF($AN$17=3,AP24,IF($AN$17=4,AQ24,IF($AN$17=5,AR24)))))</f>
        <v>8235.0442330666992</v>
      </c>
      <c r="AN24" s="23">
        <f t="shared" ref="AN24:AN87" si="5">E23*$C$23</f>
        <v>8235.0442330666992</v>
      </c>
      <c r="AO24" s="23">
        <v>0</v>
      </c>
      <c r="AP24" s="23">
        <v>0</v>
      </c>
      <c r="AQ24" s="23">
        <v>0</v>
      </c>
      <c r="AR24" s="23">
        <v>0</v>
      </c>
      <c r="AU24" s="23">
        <f>IF($AV$17=1,AV24,IF($AV$17=2,AW24,IF($AV$17=3,AX24,IF($AV$17=4,AY24,IF($AV$17=5,AZ24)))))</f>
        <v>13986.111111111111</v>
      </c>
      <c r="AV24" s="23">
        <f t="shared" ref="AV24:AV87" si="6">$E$23/($B$17-$B$16)</f>
        <v>13986.111111111111</v>
      </c>
      <c r="AW24" s="23">
        <v>0</v>
      </c>
      <c r="AX24" s="23">
        <v>0</v>
      </c>
      <c r="AY24" s="23">
        <v>0</v>
      </c>
      <c r="AZ24" s="23">
        <v>0</v>
      </c>
      <c r="BB24" s="203">
        <f>E23*0.0025</f>
        <v>2517.5</v>
      </c>
    </row>
    <row r="25" spans="1:56" x14ac:dyDescent="0.25">
      <c r="A25" s="68">
        <f t="shared" si="0"/>
        <v>2</v>
      </c>
      <c r="B25" s="68" t="str">
        <f t="shared" si="1"/>
        <v>carência</v>
      </c>
      <c r="C25" s="158">
        <f>IF(B25="","",IF($AN$18=TRUE,AL25,AM25))</f>
        <v>8235.0442330666992</v>
      </c>
      <c r="D25" s="158">
        <f t="shared" ref="D25:D35" si="7">IF(C25="","",IF(A25&lt;=B$16,0,B$15/(B$17-B$16)))</f>
        <v>0</v>
      </c>
      <c r="E25" s="157">
        <f t="shared" si="2"/>
        <v>1007000</v>
      </c>
      <c r="F25" s="158">
        <f t="shared" si="3"/>
        <v>8235.0442330666992</v>
      </c>
      <c r="G25" s="160">
        <f>IF(E25="","",D25+C25)</f>
        <v>8235.0442330666992</v>
      </c>
      <c r="AA25" s="3"/>
      <c r="AB25" s="2" t="s">
        <v>46</v>
      </c>
      <c r="AC25" s="6">
        <v>4.1E-5</v>
      </c>
      <c r="AE25" s="5">
        <f ca="1">SUM(AG30:AG83)</f>
        <v>7482.5000000000064</v>
      </c>
      <c r="AG25" s="13"/>
      <c r="AH25" s="14" t="b">
        <v>1</v>
      </c>
      <c r="AL25" s="23">
        <f t="shared" si="4"/>
        <v>8235.0442330666992</v>
      </c>
      <c r="AM25" s="23">
        <f t="shared" ref="AM25:AM50" si="8">IF($AN$17=1,AN25,IF($AN$17=2,AO25,IF($AN$17=3,AP25,IF($AN$17=4,AQ25,IF($AN$17=5,AR25)))))</f>
        <v>8235.0442330666992</v>
      </c>
      <c r="AN25" s="23">
        <f t="shared" si="5"/>
        <v>8235.0442330666992</v>
      </c>
      <c r="AO25" s="23">
        <f>E23*((1+$C$23)^2-1)</f>
        <v>16537.433007861862</v>
      </c>
      <c r="AP25" s="23">
        <v>0</v>
      </c>
      <c r="AQ25" s="23">
        <v>0</v>
      </c>
      <c r="AR25" s="23"/>
      <c r="AU25" s="23">
        <f t="shared" ref="AU25:AU88" si="9">IF($AV$17=1,AV25,IF($AV$17=2,AW25,IF($AV$17=3,AX25,IF($AV$17=4,AY25,IF($AV$17=5,AZ25)))))</f>
        <v>13986.111111111111</v>
      </c>
      <c r="AV25" s="23">
        <f t="shared" si="6"/>
        <v>13986.111111111111</v>
      </c>
      <c r="AW25" s="23">
        <f>$E$23/($B$17-$B$16)*2</f>
        <v>27972.222222222223</v>
      </c>
      <c r="AX25" s="23">
        <v>0</v>
      </c>
      <c r="AY25" s="23">
        <v>0</v>
      </c>
      <c r="AZ25" s="23">
        <v>0</v>
      </c>
      <c r="BB25" s="203">
        <f t="shared" ref="BB25:BB88" si="10">E24*0.0025</f>
        <v>2517.5</v>
      </c>
    </row>
    <row r="26" spans="1:56" x14ac:dyDescent="0.25">
      <c r="A26" s="68">
        <f t="shared" si="0"/>
        <v>3</v>
      </c>
      <c r="B26" s="68" t="str">
        <f t="shared" si="1"/>
        <v>carência</v>
      </c>
      <c r="C26" s="158">
        <f t="shared" ref="C26:C86" si="11">IF(B26="","",IF($AN$18=TRUE,AL26,AM26))</f>
        <v>8235.0442330666992</v>
      </c>
      <c r="D26" s="158">
        <f t="shared" si="7"/>
        <v>0</v>
      </c>
      <c r="E26" s="157">
        <f t="shared" si="2"/>
        <v>1007000</v>
      </c>
      <c r="F26" s="158">
        <f t="shared" si="3"/>
        <v>8235.0442330666992</v>
      </c>
      <c r="G26" s="160">
        <f t="shared" ref="G26:G86" si="12">IF(E26="","",D26+C26)</f>
        <v>8235.0442330666992</v>
      </c>
      <c r="AB26" s="2" t="s">
        <v>51</v>
      </c>
      <c r="AC26" s="24">
        <f>0.00137/100</f>
        <v>1.3699999999999999E-5</v>
      </c>
      <c r="AE26" s="5">
        <f ca="1">SUM(AH30:AH308)</f>
        <v>2500.2499999999991</v>
      </c>
      <c r="AL26" s="23">
        <f t="shared" si="4"/>
        <v>8235.0442330666992</v>
      </c>
      <c r="AM26" s="23">
        <f t="shared" si="8"/>
        <v>8235.0442330666992</v>
      </c>
      <c r="AN26" s="23">
        <f t="shared" si="5"/>
        <v>8235.0442330666992</v>
      </c>
      <c r="AO26" s="23">
        <v>0</v>
      </c>
      <c r="AP26" s="23">
        <f>E23*((1+$C$23)^3-1)</f>
        <v>24907.717054554279</v>
      </c>
      <c r="AQ26" s="23">
        <v>0</v>
      </c>
      <c r="AR26" s="23">
        <v>0</v>
      </c>
      <c r="AU26" s="23">
        <f t="shared" si="9"/>
        <v>13986.111111111111</v>
      </c>
      <c r="AV26" s="23">
        <f t="shared" si="6"/>
        <v>13986.111111111111</v>
      </c>
      <c r="AW26" s="23">
        <v>0</v>
      </c>
      <c r="AX26" s="23">
        <f>$E$23/($B$17-$B$16)*3</f>
        <v>41958.333333333336</v>
      </c>
      <c r="AY26" s="23">
        <v>0</v>
      </c>
      <c r="AZ26" s="23">
        <v>0</v>
      </c>
      <c r="BB26" s="203">
        <f t="shared" si="10"/>
        <v>2517.5</v>
      </c>
    </row>
    <row r="27" spans="1:56" x14ac:dyDescent="0.25">
      <c r="A27" s="68">
        <f t="shared" si="0"/>
        <v>4</v>
      </c>
      <c r="B27" s="68" t="str">
        <f t="shared" si="1"/>
        <v>carência</v>
      </c>
      <c r="C27" s="158">
        <f t="shared" si="11"/>
        <v>8235.0442330666992</v>
      </c>
      <c r="D27" s="158">
        <f t="shared" si="7"/>
        <v>0</v>
      </c>
      <c r="E27" s="157">
        <f t="shared" si="2"/>
        <v>1007000</v>
      </c>
      <c r="F27" s="158">
        <f t="shared" si="3"/>
        <v>8235.0442330666992</v>
      </c>
      <c r="G27" s="160">
        <f t="shared" si="12"/>
        <v>8235.0442330666992</v>
      </c>
      <c r="AB27" s="2" t="s">
        <v>16</v>
      </c>
      <c r="AC27" s="5">
        <f>B15</f>
        <v>1000000</v>
      </c>
      <c r="AG27" s="5"/>
      <c r="AL27" s="23">
        <f t="shared" si="4"/>
        <v>8235.0442330666992</v>
      </c>
      <c r="AM27" s="23">
        <f t="shared" si="8"/>
        <v>8235.0442330666992</v>
      </c>
      <c r="AN27" s="23">
        <f t="shared" si="5"/>
        <v>8235.0442330666992</v>
      </c>
      <c r="AO27" s="23">
        <f>E25*((1+$C$23)^2-1)</f>
        <v>16537.433007861862</v>
      </c>
      <c r="AP27" s="23">
        <v>0</v>
      </c>
      <c r="AQ27" s="23">
        <v>0</v>
      </c>
      <c r="AR27" s="23">
        <v>0</v>
      </c>
      <c r="AU27" s="23">
        <f t="shared" si="9"/>
        <v>13986.111111111111</v>
      </c>
      <c r="AV27" s="23">
        <f t="shared" si="6"/>
        <v>13986.111111111111</v>
      </c>
      <c r="AW27" s="23">
        <f>$E$23/($B$17-$B$16)*2</f>
        <v>27972.222222222223</v>
      </c>
      <c r="AX27" s="23">
        <v>0</v>
      </c>
      <c r="AY27" s="23">
        <v>0</v>
      </c>
      <c r="AZ27" s="23">
        <v>0</v>
      </c>
      <c r="BB27" s="203">
        <f t="shared" si="10"/>
        <v>2517.5</v>
      </c>
    </row>
    <row r="28" spans="1:56" x14ac:dyDescent="0.25">
      <c r="A28" s="68">
        <f t="shared" si="0"/>
        <v>5</v>
      </c>
      <c r="B28" s="68" t="str">
        <f t="shared" si="1"/>
        <v>carência</v>
      </c>
      <c r="C28" s="158">
        <f t="shared" si="11"/>
        <v>8235.0442330666992</v>
      </c>
      <c r="D28" s="158">
        <f t="shared" si="7"/>
        <v>0</v>
      </c>
      <c r="E28" s="157">
        <f t="shared" si="2"/>
        <v>1007000</v>
      </c>
      <c r="F28" s="158">
        <f t="shared" si="3"/>
        <v>8235.0442330666992</v>
      </c>
      <c r="G28" s="160">
        <f t="shared" si="12"/>
        <v>8235.0442330666992</v>
      </c>
      <c r="AG28" s="2" t="s">
        <v>53</v>
      </c>
      <c r="AH28" s="2" t="s">
        <v>54</v>
      </c>
      <c r="AL28" s="23">
        <f t="shared" si="4"/>
        <v>8235.0442330666992</v>
      </c>
      <c r="AM28" s="23">
        <f t="shared" si="8"/>
        <v>8235.0442330666992</v>
      </c>
      <c r="AN28" s="23">
        <f t="shared" si="5"/>
        <v>8235.0442330666992</v>
      </c>
      <c r="AO28" s="23">
        <v>0</v>
      </c>
      <c r="AP28" s="23">
        <v>0</v>
      </c>
      <c r="AQ28" s="23">
        <v>0</v>
      </c>
      <c r="AR28" s="23">
        <v>0</v>
      </c>
      <c r="AU28" s="23">
        <f t="shared" si="9"/>
        <v>13986.111111111111</v>
      </c>
      <c r="AV28" s="23">
        <f t="shared" si="6"/>
        <v>13986.111111111111</v>
      </c>
      <c r="AW28" s="23">
        <v>0</v>
      </c>
      <c r="AX28" s="23">
        <v>0</v>
      </c>
      <c r="AY28" s="23">
        <v>0</v>
      </c>
      <c r="AZ28" s="23">
        <v>0</v>
      </c>
      <c r="BB28" s="203">
        <f t="shared" si="10"/>
        <v>2517.5</v>
      </c>
    </row>
    <row r="29" spans="1:56" x14ac:dyDescent="0.25">
      <c r="A29" s="68">
        <f t="shared" si="0"/>
        <v>6</v>
      </c>
      <c r="B29" s="68" t="str">
        <f t="shared" si="1"/>
        <v>carência</v>
      </c>
      <c r="C29" s="158">
        <f t="shared" si="11"/>
        <v>8235.0442330666992</v>
      </c>
      <c r="D29" s="158">
        <f t="shared" si="7"/>
        <v>0</v>
      </c>
      <c r="E29" s="157">
        <f t="shared" si="2"/>
        <v>1007000</v>
      </c>
      <c r="F29" s="158">
        <f t="shared" si="3"/>
        <v>8235.0442330666992</v>
      </c>
      <c r="G29" s="160">
        <f t="shared" si="12"/>
        <v>8235.0442330666992</v>
      </c>
      <c r="AA29" s="2">
        <v>0</v>
      </c>
      <c r="AB29" s="8">
        <f ca="1">D17</f>
        <v>46240</v>
      </c>
      <c r="AC29" s="9">
        <f ca="1">IF(AB29="","",AC27)</f>
        <v>1000000</v>
      </c>
      <c r="AD29" s="9">
        <f t="shared" ref="AD29:AD92" si="13">IF(AA29="","",IF(AA29&lt;=B$16,0,B$15/(B$17-B$16)))</f>
        <v>0</v>
      </c>
      <c r="AL29" s="23">
        <f t="shared" si="4"/>
        <v>8235.0442330666992</v>
      </c>
      <c r="AM29" s="23">
        <f t="shared" si="8"/>
        <v>8235.0442330666992</v>
      </c>
      <c r="AN29" s="23">
        <f t="shared" si="5"/>
        <v>8235.0442330666992</v>
      </c>
      <c r="AO29" s="23">
        <f>E27*((1+$C$23)^2-1)</f>
        <v>16537.433007861862</v>
      </c>
      <c r="AP29" s="23">
        <f>E26*((1+$C$23)^3-1)</f>
        <v>24907.717054554279</v>
      </c>
      <c r="AQ29" s="23">
        <f t="shared" ref="AQ29" si="14">E23*((1+$C$23)^6-1)</f>
        <v>50431.515905404325</v>
      </c>
      <c r="AR29" s="23">
        <v>0</v>
      </c>
      <c r="AU29" s="23">
        <f t="shared" si="9"/>
        <v>13986.111111111111</v>
      </c>
      <c r="AV29" s="23">
        <f t="shared" si="6"/>
        <v>13986.111111111111</v>
      </c>
      <c r="AW29" s="23">
        <f>$E$23/($B$17-$B$16)*2</f>
        <v>27972.222222222223</v>
      </c>
      <c r="AX29" s="23">
        <f>$E$23/($B$17-$B$16)*3</f>
        <v>41958.333333333336</v>
      </c>
      <c r="AY29" s="23">
        <f>$E$23/($B$17-$B$16)*6</f>
        <v>83916.666666666672</v>
      </c>
      <c r="AZ29" s="23">
        <v>0</v>
      </c>
      <c r="BB29" s="203">
        <f t="shared" si="10"/>
        <v>2517.5</v>
      </c>
    </row>
    <row r="30" spans="1:56" x14ac:dyDescent="0.25">
      <c r="A30" s="68">
        <f t="shared" si="0"/>
        <v>7</v>
      </c>
      <c r="B30" s="68" t="str">
        <f t="shared" si="1"/>
        <v>carência</v>
      </c>
      <c r="C30" s="158">
        <f t="shared" si="11"/>
        <v>8235.0442330666992</v>
      </c>
      <c r="D30" s="158">
        <f t="shared" si="7"/>
        <v>0</v>
      </c>
      <c r="E30" s="157">
        <f t="shared" si="2"/>
        <v>1007000</v>
      </c>
      <c r="F30" s="158">
        <f t="shared" si="3"/>
        <v>8235.0442330666992</v>
      </c>
      <c r="G30" s="160">
        <f t="shared" si="12"/>
        <v>8235.0442330666992</v>
      </c>
      <c r="AA30" s="2">
        <f t="shared" ref="AA30:AA93" si="15">IF(AA29&lt;B$17,AA29+1,"")</f>
        <v>1</v>
      </c>
      <c r="AB30" s="8">
        <f ca="1">IF(AA30="","",AB29+30)</f>
        <v>46270</v>
      </c>
      <c r="AC30" s="9">
        <f t="shared" ref="AC30:AC41" ca="1" si="16">IF(AB30="","",IF(AA30&lt;=B$16,AC29,AC29-AD30))</f>
        <v>1000000</v>
      </c>
      <c r="AD30" s="9">
        <f t="shared" si="13"/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L30" s="23">
        <f t="shared" si="4"/>
        <v>8235.0442330666992</v>
      </c>
      <c r="AM30" s="23">
        <f t="shared" si="8"/>
        <v>8235.0442330666992</v>
      </c>
      <c r="AN30" s="23">
        <f t="shared" si="5"/>
        <v>8235.0442330666992</v>
      </c>
      <c r="AO30" s="23">
        <v>0</v>
      </c>
      <c r="AP30" s="23">
        <v>0</v>
      </c>
      <c r="AQ30" s="23">
        <v>0</v>
      </c>
      <c r="AR30" s="23">
        <v>0</v>
      </c>
      <c r="AU30" s="23">
        <f t="shared" si="9"/>
        <v>13986.111111111111</v>
      </c>
      <c r="AV30" s="23">
        <f t="shared" si="6"/>
        <v>13986.111111111111</v>
      </c>
      <c r="AW30" s="23">
        <v>0</v>
      </c>
      <c r="AX30" s="23">
        <v>0</v>
      </c>
      <c r="AY30" s="23">
        <v>0</v>
      </c>
      <c r="AZ30" s="23">
        <v>0</v>
      </c>
      <c r="BB30" s="203">
        <f t="shared" si="10"/>
        <v>2517.5</v>
      </c>
    </row>
    <row r="31" spans="1:56" x14ac:dyDescent="0.25">
      <c r="A31" s="68">
        <f t="shared" si="0"/>
        <v>8</v>
      </c>
      <c r="B31" s="68" t="str">
        <f t="shared" si="1"/>
        <v>carência</v>
      </c>
      <c r="C31" s="158">
        <f t="shared" si="11"/>
        <v>8235.0442330666992</v>
      </c>
      <c r="D31" s="158">
        <f t="shared" si="7"/>
        <v>0</v>
      </c>
      <c r="E31" s="157">
        <f t="shared" si="2"/>
        <v>1007000</v>
      </c>
      <c r="F31" s="158">
        <f t="shared" si="3"/>
        <v>8235.0442330666992</v>
      </c>
      <c r="G31" s="160">
        <f t="shared" si="12"/>
        <v>8235.0442330666992</v>
      </c>
      <c r="AA31" s="2">
        <f t="shared" si="15"/>
        <v>2</v>
      </c>
      <c r="AB31" s="8">
        <f t="shared" ref="AB31:AB77" ca="1" si="17">IF(AA31="","",AB30+30)</f>
        <v>46300</v>
      </c>
      <c r="AC31" s="9">
        <f t="shared" ca="1" si="16"/>
        <v>1000000</v>
      </c>
      <c r="AD31" s="9">
        <f t="shared" si="13"/>
        <v>0</v>
      </c>
      <c r="AE31" s="2">
        <f t="shared" ref="AE31:AE77" ca="1" si="18">IF(AD31="","",AB31-AB30)</f>
        <v>30</v>
      </c>
      <c r="AF31" s="2">
        <f t="shared" ref="AF31:AF94" ca="1" si="19">IF(AE31="","",AB31-AB$29)</f>
        <v>60</v>
      </c>
      <c r="AG31" s="9">
        <f t="shared" ref="AG31:AG94" ca="1" si="20">IF(AF31="","",IF(AF31&lt;365,AF31*AC$25*AD31,365*AD31*AC$25))</f>
        <v>0</v>
      </c>
      <c r="AH31" s="9">
        <f t="shared" ref="AH31:AH94" ca="1" si="21">IF(AF31="","",IF(AF31&lt;365,AF31*AC$26*AD31,365*AD31*AC$26))</f>
        <v>0</v>
      </c>
      <c r="AL31" s="23">
        <f t="shared" si="4"/>
        <v>8235.0442330666992</v>
      </c>
      <c r="AM31" s="23">
        <f t="shared" si="8"/>
        <v>8235.0442330666992</v>
      </c>
      <c r="AN31" s="23">
        <f t="shared" si="5"/>
        <v>8235.0442330666992</v>
      </c>
      <c r="AO31" s="23">
        <f>E29*((1+$C$23)^2-1)</f>
        <v>16537.433007861862</v>
      </c>
      <c r="AP31" s="23">
        <v>0</v>
      </c>
      <c r="AQ31" s="23">
        <v>0</v>
      </c>
      <c r="AR31" s="23">
        <v>0</v>
      </c>
      <c r="AU31" s="23">
        <f t="shared" si="9"/>
        <v>13986.111111111111</v>
      </c>
      <c r="AV31" s="23">
        <f t="shared" si="6"/>
        <v>13986.111111111111</v>
      </c>
      <c r="AW31" s="23">
        <f>$E$23/($B$17-$B$16)*2</f>
        <v>27972.222222222223</v>
      </c>
      <c r="AX31" s="23">
        <v>0</v>
      </c>
      <c r="AY31" s="23">
        <v>0</v>
      </c>
      <c r="AZ31" s="23">
        <v>0</v>
      </c>
      <c r="BB31" s="203">
        <f t="shared" si="10"/>
        <v>2517.5</v>
      </c>
    </row>
    <row r="32" spans="1:56" x14ac:dyDescent="0.25">
      <c r="A32" s="68">
        <f t="shared" si="0"/>
        <v>9</v>
      </c>
      <c r="B32" s="68" t="str">
        <f t="shared" si="1"/>
        <v>carência</v>
      </c>
      <c r="C32" s="158">
        <f t="shared" si="11"/>
        <v>8235.0442330666992</v>
      </c>
      <c r="D32" s="158">
        <f t="shared" si="7"/>
        <v>0</v>
      </c>
      <c r="E32" s="157">
        <f t="shared" si="2"/>
        <v>1007000</v>
      </c>
      <c r="F32" s="158">
        <f t="shared" si="3"/>
        <v>8235.0442330666992</v>
      </c>
      <c r="G32" s="160">
        <f t="shared" si="12"/>
        <v>8235.0442330666992</v>
      </c>
      <c r="AA32" s="2">
        <f t="shared" si="15"/>
        <v>3</v>
      </c>
      <c r="AB32" s="8">
        <f t="shared" ca="1" si="17"/>
        <v>46330</v>
      </c>
      <c r="AC32" s="9">
        <f t="shared" ca="1" si="16"/>
        <v>1000000</v>
      </c>
      <c r="AD32" s="9">
        <f t="shared" si="13"/>
        <v>0</v>
      </c>
      <c r="AE32" s="2">
        <f t="shared" ca="1" si="18"/>
        <v>30</v>
      </c>
      <c r="AF32" s="2">
        <f t="shared" ca="1" si="19"/>
        <v>90</v>
      </c>
      <c r="AG32" s="9">
        <f t="shared" ca="1" si="20"/>
        <v>0</v>
      </c>
      <c r="AH32" s="9">
        <f t="shared" ca="1" si="21"/>
        <v>0</v>
      </c>
      <c r="AL32" s="23">
        <f t="shared" si="4"/>
        <v>8235.0442330666992</v>
      </c>
      <c r="AM32" s="23">
        <f t="shared" si="8"/>
        <v>8235.0442330666992</v>
      </c>
      <c r="AN32" s="23">
        <f t="shared" si="5"/>
        <v>8235.0442330666992</v>
      </c>
      <c r="AO32" s="23">
        <v>0</v>
      </c>
      <c r="AP32" s="23">
        <f>E29*((1+$C$23)^3-1)</f>
        <v>24907.717054554279</v>
      </c>
      <c r="AQ32" s="23">
        <v>0</v>
      </c>
      <c r="AR32" s="23">
        <v>0</v>
      </c>
      <c r="AU32" s="23">
        <f t="shared" si="9"/>
        <v>13986.111111111111</v>
      </c>
      <c r="AV32" s="23">
        <f t="shared" si="6"/>
        <v>13986.111111111111</v>
      </c>
      <c r="AW32" s="23">
        <v>0</v>
      </c>
      <c r="AX32" s="23">
        <f>$E$23/($B$17-$B$16)*3</f>
        <v>41958.333333333336</v>
      </c>
      <c r="AY32" s="23">
        <v>0</v>
      </c>
      <c r="AZ32" s="23">
        <v>0</v>
      </c>
      <c r="BB32" s="203">
        <f t="shared" si="10"/>
        <v>2517.5</v>
      </c>
    </row>
    <row r="33" spans="1:54" x14ac:dyDescent="0.25">
      <c r="A33" s="68">
        <f t="shared" si="0"/>
        <v>10</v>
      </c>
      <c r="B33" s="68" t="str">
        <f t="shared" si="1"/>
        <v>carência</v>
      </c>
      <c r="C33" s="158">
        <f t="shared" si="11"/>
        <v>8235.0442330666992</v>
      </c>
      <c r="D33" s="158">
        <f t="shared" si="7"/>
        <v>0</v>
      </c>
      <c r="E33" s="157">
        <f t="shared" si="2"/>
        <v>1007000</v>
      </c>
      <c r="F33" s="158">
        <f t="shared" si="3"/>
        <v>8235.0442330666992</v>
      </c>
      <c r="G33" s="160">
        <f t="shared" si="12"/>
        <v>8235.0442330666992</v>
      </c>
      <c r="AA33" s="2">
        <f t="shared" si="15"/>
        <v>4</v>
      </c>
      <c r="AB33" s="8">
        <f t="shared" ca="1" si="17"/>
        <v>46360</v>
      </c>
      <c r="AC33" s="9">
        <f t="shared" ca="1" si="16"/>
        <v>1000000</v>
      </c>
      <c r="AD33" s="9">
        <f t="shared" si="13"/>
        <v>0</v>
      </c>
      <c r="AE33" s="2">
        <f t="shared" ca="1" si="18"/>
        <v>30</v>
      </c>
      <c r="AF33" s="2">
        <f t="shared" ca="1" si="19"/>
        <v>120</v>
      </c>
      <c r="AG33" s="9">
        <f t="shared" ca="1" si="20"/>
        <v>0</v>
      </c>
      <c r="AH33" s="9">
        <f t="shared" ca="1" si="21"/>
        <v>0</v>
      </c>
      <c r="AL33" s="23">
        <f t="shared" si="4"/>
        <v>8235.0442330666992</v>
      </c>
      <c r="AM33" s="23">
        <f t="shared" si="8"/>
        <v>8235.0442330666992</v>
      </c>
      <c r="AN33" s="23">
        <f t="shared" si="5"/>
        <v>8235.0442330666992</v>
      </c>
      <c r="AO33" s="23">
        <f>E31*((1+$C$23)^2-1)</f>
        <v>16537.433007861862</v>
      </c>
      <c r="AP33" s="23">
        <v>0</v>
      </c>
      <c r="AQ33" s="23">
        <v>0</v>
      </c>
      <c r="AR33" s="23">
        <v>0</v>
      </c>
      <c r="AU33" s="23">
        <f t="shared" si="9"/>
        <v>13986.111111111111</v>
      </c>
      <c r="AV33" s="23">
        <f t="shared" si="6"/>
        <v>13986.111111111111</v>
      </c>
      <c r="AW33" s="23">
        <f>$E$23/($B$17-$B$16)*2</f>
        <v>27972.222222222223</v>
      </c>
      <c r="AX33" s="23">
        <v>0</v>
      </c>
      <c r="AY33" s="23">
        <v>0</v>
      </c>
      <c r="AZ33" s="23">
        <v>0</v>
      </c>
      <c r="BB33" s="203">
        <f t="shared" si="10"/>
        <v>2517.5</v>
      </c>
    </row>
    <row r="34" spans="1:54" x14ac:dyDescent="0.25">
      <c r="A34" s="68">
        <f t="shared" si="0"/>
        <v>11</v>
      </c>
      <c r="B34" s="68" t="str">
        <f t="shared" si="1"/>
        <v>carência</v>
      </c>
      <c r="C34" s="158">
        <f t="shared" si="11"/>
        <v>8235.0442330666992</v>
      </c>
      <c r="D34" s="158">
        <f t="shared" si="7"/>
        <v>0</v>
      </c>
      <c r="E34" s="157">
        <f t="shared" si="2"/>
        <v>1007000</v>
      </c>
      <c r="F34" s="158">
        <f t="shared" si="3"/>
        <v>8235.0442330666992</v>
      </c>
      <c r="G34" s="160">
        <f t="shared" si="12"/>
        <v>8235.0442330666992</v>
      </c>
      <c r="AA34" s="2">
        <f t="shared" si="15"/>
        <v>5</v>
      </c>
      <c r="AB34" s="8">
        <f t="shared" ca="1" si="17"/>
        <v>46390</v>
      </c>
      <c r="AC34" s="9">
        <f t="shared" ca="1" si="16"/>
        <v>1000000</v>
      </c>
      <c r="AD34" s="9">
        <f t="shared" si="13"/>
        <v>0</v>
      </c>
      <c r="AE34" s="2">
        <f t="shared" ca="1" si="18"/>
        <v>30</v>
      </c>
      <c r="AF34" s="2">
        <f t="shared" ca="1" si="19"/>
        <v>150</v>
      </c>
      <c r="AG34" s="9">
        <f t="shared" ca="1" si="20"/>
        <v>0</v>
      </c>
      <c r="AH34" s="9">
        <f t="shared" ca="1" si="21"/>
        <v>0</v>
      </c>
      <c r="AL34" s="23">
        <f t="shared" si="4"/>
        <v>8235.0442330666992</v>
      </c>
      <c r="AM34" s="23">
        <f t="shared" si="8"/>
        <v>8235.0442330666992</v>
      </c>
      <c r="AN34" s="23">
        <f t="shared" si="5"/>
        <v>8235.0442330666992</v>
      </c>
      <c r="AO34" s="23">
        <v>0</v>
      </c>
      <c r="AP34" s="23">
        <v>0</v>
      </c>
      <c r="AQ34" s="23">
        <v>0</v>
      </c>
      <c r="AR34" s="23">
        <v>0</v>
      </c>
      <c r="AU34" s="23">
        <f t="shared" si="9"/>
        <v>13986.111111111111</v>
      </c>
      <c r="AV34" s="23">
        <f t="shared" si="6"/>
        <v>13986.111111111111</v>
      </c>
      <c r="AW34" s="23">
        <v>0</v>
      </c>
      <c r="AX34" s="23">
        <v>0</v>
      </c>
      <c r="AY34" s="23">
        <v>0</v>
      </c>
      <c r="AZ34" s="23">
        <v>0</v>
      </c>
      <c r="BB34" s="203">
        <f t="shared" si="10"/>
        <v>2517.5</v>
      </c>
    </row>
    <row r="35" spans="1:54" x14ac:dyDescent="0.25">
      <c r="A35" s="68">
        <f t="shared" si="0"/>
        <v>12</v>
      </c>
      <c r="B35" s="68" t="str">
        <f t="shared" si="1"/>
        <v>carência</v>
      </c>
      <c r="C35" s="158">
        <f t="shared" si="11"/>
        <v>8235.0442330666992</v>
      </c>
      <c r="D35" s="158">
        <f t="shared" si="7"/>
        <v>0</v>
      </c>
      <c r="E35" s="157">
        <f t="shared" si="2"/>
        <v>1007000</v>
      </c>
      <c r="F35" s="158">
        <f t="shared" si="3"/>
        <v>8235.0442330666992</v>
      </c>
      <c r="G35" s="160">
        <f t="shared" si="12"/>
        <v>8235.0442330666992</v>
      </c>
      <c r="AA35" s="2">
        <f t="shared" si="15"/>
        <v>6</v>
      </c>
      <c r="AB35" s="8">
        <f t="shared" ca="1" si="17"/>
        <v>46420</v>
      </c>
      <c r="AC35" s="9">
        <f t="shared" ca="1" si="16"/>
        <v>1000000</v>
      </c>
      <c r="AD35" s="9">
        <f t="shared" si="13"/>
        <v>0</v>
      </c>
      <c r="AE35" s="2">
        <f t="shared" ca="1" si="18"/>
        <v>30</v>
      </c>
      <c r="AF35" s="2">
        <f t="shared" ca="1" si="19"/>
        <v>180</v>
      </c>
      <c r="AG35" s="9">
        <f t="shared" ca="1" si="20"/>
        <v>0</v>
      </c>
      <c r="AH35" s="9">
        <f t="shared" ca="1" si="21"/>
        <v>0</v>
      </c>
      <c r="AL35" s="23">
        <f t="shared" si="4"/>
        <v>8235.0442330666992</v>
      </c>
      <c r="AM35" s="23">
        <f t="shared" si="8"/>
        <v>8235.0442330666992</v>
      </c>
      <c r="AN35" s="23">
        <f t="shared" si="5"/>
        <v>8235.0442330666992</v>
      </c>
      <c r="AO35" s="23">
        <f>E33*((1+$C$23)^2-1)</f>
        <v>16537.433007861862</v>
      </c>
      <c r="AP35" s="23">
        <f>E32*((1+$C$23)^3-1)</f>
        <v>24907.717054554279</v>
      </c>
      <c r="AQ35" s="23">
        <f>E29*((1+$C$23)^6-1)</f>
        <v>50431.515905404325</v>
      </c>
      <c r="AR35" s="23">
        <f>E23*((1+$C$23)^12-1)</f>
        <v>103388.6900000016</v>
      </c>
      <c r="AU35" s="23">
        <f t="shared" si="9"/>
        <v>13986.111111111111</v>
      </c>
      <c r="AV35" s="23">
        <f t="shared" si="6"/>
        <v>13986.111111111111</v>
      </c>
      <c r="AW35" s="23">
        <f>$E$23/($B$17-$B$16)*2</f>
        <v>27972.222222222223</v>
      </c>
      <c r="AX35" s="23">
        <f>$E$23/($B$17-$B$16)*3</f>
        <v>41958.333333333336</v>
      </c>
      <c r="AY35" s="23">
        <f>$E$23/($B$17-$B$16)*6</f>
        <v>83916.666666666672</v>
      </c>
      <c r="AZ35" s="23">
        <f>$E$23/($B$17-$B$16)*12</f>
        <v>167833.33333333334</v>
      </c>
      <c r="BB35" s="203">
        <f t="shared" si="10"/>
        <v>2517.5</v>
      </c>
    </row>
    <row r="36" spans="1:54" x14ac:dyDescent="0.25">
      <c r="A36" s="68">
        <f t="shared" si="0"/>
        <v>13</v>
      </c>
      <c r="B36" s="68" t="str">
        <f t="shared" si="1"/>
        <v>amortização</v>
      </c>
      <c r="C36" s="158">
        <f t="shared" si="11"/>
        <v>8235.0442330666992</v>
      </c>
      <c r="D36" s="158">
        <f t="shared" ref="D36:D86" si="22">IF(C36="","",IF(A36&lt;=B$16,0,E$23/(B$17-B$16)))</f>
        <v>13986.111111111111</v>
      </c>
      <c r="E36" s="157">
        <f t="shared" si="2"/>
        <v>993013.88888888888</v>
      </c>
      <c r="F36" s="158">
        <f t="shared" si="3"/>
        <v>22221.155344177809</v>
      </c>
      <c r="G36" s="160">
        <f t="shared" si="12"/>
        <v>22221.155344177809</v>
      </c>
      <c r="AA36" s="2">
        <f t="shared" si="15"/>
        <v>7</v>
      </c>
      <c r="AB36" s="8">
        <f t="shared" ca="1" si="17"/>
        <v>46450</v>
      </c>
      <c r="AC36" s="9">
        <f t="shared" ca="1" si="16"/>
        <v>1000000</v>
      </c>
      <c r="AD36" s="9">
        <f t="shared" si="13"/>
        <v>0</v>
      </c>
      <c r="AE36" s="2">
        <f t="shared" ca="1" si="18"/>
        <v>30</v>
      </c>
      <c r="AF36" s="2">
        <f t="shared" ca="1" si="19"/>
        <v>210</v>
      </c>
      <c r="AG36" s="9">
        <f t="shared" ca="1" si="20"/>
        <v>0</v>
      </c>
      <c r="AH36" s="9">
        <f t="shared" ca="1" si="21"/>
        <v>0</v>
      </c>
      <c r="AL36" s="23">
        <f t="shared" si="4"/>
        <v>8235.0442330666992</v>
      </c>
      <c r="AM36" s="23">
        <f t="shared" si="8"/>
        <v>8235.0442330666992</v>
      </c>
      <c r="AN36" s="23">
        <f t="shared" si="5"/>
        <v>8235.0442330666992</v>
      </c>
      <c r="AO36" s="23">
        <v>0</v>
      </c>
      <c r="AP36" s="23">
        <v>0</v>
      </c>
      <c r="AQ36" s="23">
        <v>0</v>
      </c>
      <c r="AR36" s="23">
        <v>0</v>
      </c>
      <c r="AU36" s="23">
        <f t="shared" si="9"/>
        <v>13986.111111111111</v>
      </c>
      <c r="AV36" s="23">
        <f t="shared" si="6"/>
        <v>13986.111111111111</v>
      </c>
      <c r="AW36" s="23">
        <v>0</v>
      </c>
      <c r="AX36" s="23">
        <v>0</v>
      </c>
      <c r="AY36" s="23">
        <v>0</v>
      </c>
      <c r="AZ36" s="23">
        <v>0</v>
      </c>
      <c r="BB36" s="203">
        <f t="shared" si="10"/>
        <v>2517.5</v>
      </c>
    </row>
    <row r="37" spans="1:54" x14ac:dyDescent="0.25">
      <c r="A37" s="68">
        <f t="shared" si="0"/>
        <v>14</v>
      </c>
      <c r="B37" s="68" t="str">
        <f t="shared" si="1"/>
        <v>amortização</v>
      </c>
      <c r="C37" s="158">
        <f t="shared" si="11"/>
        <v>8120.6686187185505</v>
      </c>
      <c r="D37" s="158">
        <f t="shared" si="22"/>
        <v>13986.111111111111</v>
      </c>
      <c r="E37" s="157">
        <f t="shared" si="2"/>
        <v>979027.77777777775</v>
      </c>
      <c r="F37" s="158">
        <f t="shared" si="3"/>
        <v>22106.779729829661</v>
      </c>
      <c r="G37" s="160">
        <f t="shared" si="12"/>
        <v>22106.779729829661</v>
      </c>
      <c r="AA37" s="2">
        <f t="shared" si="15"/>
        <v>8</v>
      </c>
      <c r="AB37" s="8">
        <f t="shared" ca="1" si="17"/>
        <v>46480</v>
      </c>
      <c r="AC37" s="9">
        <f t="shared" ca="1" si="16"/>
        <v>1000000</v>
      </c>
      <c r="AD37" s="9">
        <f t="shared" si="13"/>
        <v>0</v>
      </c>
      <c r="AE37" s="2">
        <f t="shared" ca="1" si="18"/>
        <v>30</v>
      </c>
      <c r="AF37" s="2">
        <f t="shared" ca="1" si="19"/>
        <v>240</v>
      </c>
      <c r="AG37" s="9">
        <f t="shared" ca="1" si="20"/>
        <v>0</v>
      </c>
      <c r="AH37" s="9">
        <f t="shared" ca="1" si="21"/>
        <v>0</v>
      </c>
      <c r="AL37" s="23">
        <f t="shared" si="4"/>
        <v>8120.6686187185505</v>
      </c>
      <c r="AM37" s="23">
        <f t="shared" si="8"/>
        <v>8120.6686187185505</v>
      </c>
      <c r="AN37" s="23">
        <f t="shared" si="5"/>
        <v>8120.6686187185505</v>
      </c>
      <c r="AO37" s="23">
        <f>E35*((1+$C$23)^2-1)</f>
        <v>16537.433007861862</v>
      </c>
      <c r="AP37" s="23">
        <v>0</v>
      </c>
      <c r="AQ37" s="23">
        <v>0</v>
      </c>
      <c r="AR37" s="23">
        <v>0</v>
      </c>
      <c r="AU37" s="23">
        <f t="shared" si="9"/>
        <v>13986.111111111111</v>
      </c>
      <c r="AV37" s="23">
        <f t="shared" si="6"/>
        <v>13986.111111111111</v>
      </c>
      <c r="AW37" s="23">
        <f>$E$23/($B$17-$B$16)*2</f>
        <v>27972.222222222223</v>
      </c>
      <c r="AX37" s="23">
        <v>0</v>
      </c>
      <c r="AY37" s="23">
        <v>0</v>
      </c>
      <c r="AZ37" s="23">
        <v>0</v>
      </c>
      <c r="BB37" s="203">
        <f t="shared" si="10"/>
        <v>2482.5347222222222</v>
      </c>
    </row>
    <row r="38" spans="1:54" x14ac:dyDescent="0.25">
      <c r="A38" s="68">
        <f t="shared" si="0"/>
        <v>15</v>
      </c>
      <c r="B38" s="68" t="str">
        <f t="shared" si="1"/>
        <v>amortização</v>
      </c>
      <c r="C38" s="158">
        <f t="shared" si="11"/>
        <v>8006.2930043704018</v>
      </c>
      <c r="D38" s="158">
        <f t="shared" si="22"/>
        <v>13986.111111111111</v>
      </c>
      <c r="E38" s="157">
        <f t="shared" si="2"/>
        <v>965041.66666666663</v>
      </c>
      <c r="F38" s="158">
        <f t="shared" si="3"/>
        <v>21992.404115481513</v>
      </c>
      <c r="G38" s="160">
        <f t="shared" si="12"/>
        <v>21992.404115481513</v>
      </c>
      <c r="AA38" s="2">
        <f t="shared" si="15"/>
        <v>9</v>
      </c>
      <c r="AB38" s="8">
        <f t="shared" ca="1" si="17"/>
        <v>46510</v>
      </c>
      <c r="AC38" s="9">
        <f t="shared" ca="1" si="16"/>
        <v>1000000</v>
      </c>
      <c r="AD38" s="9">
        <f t="shared" si="13"/>
        <v>0</v>
      </c>
      <c r="AE38" s="2">
        <f t="shared" ca="1" si="18"/>
        <v>30</v>
      </c>
      <c r="AF38" s="2">
        <f t="shared" ca="1" si="19"/>
        <v>270</v>
      </c>
      <c r="AG38" s="9">
        <f t="shared" ca="1" si="20"/>
        <v>0</v>
      </c>
      <c r="AH38" s="9">
        <f t="shared" ca="1" si="21"/>
        <v>0</v>
      </c>
      <c r="AL38" s="23">
        <f t="shared" si="4"/>
        <v>8006.2930043704018</v>
      </c>
      <c r="AM38" s="23">
        <f t="shared" si="8"/>
        <v>8006.2930043704018</v>
      </c>
      <c r="AN38" s="23">
        <f t="shared" si="5"/>
        <v>8006.2930043704018</v>
      </c>
      <c r="AO38" s="23">
        <v>0</v>
      </c>
      <c r="AP38" s="23">
        <f>E35*((1+$C$23)^3-1)</f>
        <v>24907.717054554279</v>
      </c>
      <c r="AQ38" s="23">
        <v>0</v>
      </c>
      <c r="AR38" s="23">
        <v>0</v>
      </c>
      <c r="AU38" s="23">
        <f t="shared" si="9"/>
        <v>13986.111111111111</v>
      </c>
      <c r="AV38" s="23">
        <f t="shared" si="6"/>
        <v>13986.111111111111</v>
      </c>
      <c r="AW38" s="23">
        <v>0</v>
      </c>
      <c r="AX38" s="23">
        <f>$E$23/($B$17-$B$16)*3</f>
        <v>41958.333333333336</v>
      </c>
      <c r="AY38" s="23">
        <v>0</v>
      </c>
      <c r="AZ38" s="23">
        <v>0</v>
      </c>
      <c r="BB38" s="203">
        <f t="shared" si="10"/>
        <v>2447.5694444444443</v>
      </c>
    </row>
    <row r="39" spans="1:54" x14ac:dyDescent="0.25">
      <c r="A39" s="68">
        <f t="shared" si="0"/>
        <v>16</v>
      </c>
      <c r="B39" s="68" t="str">
        <f t="shared" si="1"/>
        <v>amortização</v>
      </c>
      <c r="C39" s="158">
        <f t="shared" si="11"/>
        <v>7891.9173900222531</v>
      </c>
      <c r="D39" s="158">
        <f t="shared" si="22"/>
        <v>13986.111111111111</v>
      </c>
      <c r="E39" s="157">
        <f t="shared" si="2"/>
        <v>951055.5555555555</v>
      </c>
      <c r="F39" s="158">
        <f t="shared" si="3"/>
        <v>21878.028501133365</v>
      </c>
      <c r="G39" s="160">
        <f t="shared" si="12"/>
        <v>21878.028501133365</v>
      </c>
      <c r="AA39" s="2">
        <f t="shared" si="15"/>
        <v>10</v>
      </c>
      <c r="AB39" s="8">
        <f t="shared" ca="1" si="17"/>
        <v>46540</v>
      </c>
      <c r="AC39" s="9">
        <f t="shared" ca="1" si="16"/>
        <v>1000000</v>
      </c>
      <c r="AD39" s="9">
        <f t="shared" si="13"/>
        <v>0</v>
      </c>
      <c r="AE39" s="2">
        <f t="shared" ca="1" si="18"/>
        <v>30</v>
      </c>
      <c r="AF39" s="2">
        <f t="shared" ca="1" si="19"/>
        <v>300</v>
      </c>
      <c r="AG39" s="9">
        <f t="shared" ca="1" si="20"/>
        <v>0</v>
      </c>
      <c r="AH39" s="9">
        <f t="shared" ca="1" si="21"/>
        <v>0</v>
      </c>
      <c r="AL39" s="23">
        <f t="shared" si="4"/>
        <v>7891.9173900222531</v>
      </c>
      <c r="AM39" s="23">
        <f t="shared" si="8"/>
        <v>7891.9173900222531</v>
      </c>
      <c r="AN39" s="23">
        <f t="shared" si="5"/>
        <v>7891.9173900222531</v>
      </c>
      <c r="AO39" s="23">
        <f>E37*((1+$C$23)^2-1)</f>
        <v>16078.059868754586</v>
      </c>
      <c r="AP39" s="23">
        <v>0</v>
      </c>
      <c r="AQ39" s="23">
        <v>0</v>
      </c>
      <c r="AR39" s="23">
        <v>0</v>
      </c>
      <c r="AU39" s="23">
        <f t="shared" si="9"/>
        <v>13986.111111111111</v>
      </c>
      <c r="AV39" s="23">
        <f t="shared" si="6"/>
        <v>13986.111111111111</v>
      </c>
      <c r="AW39" s="23">
        <f>$E$23/($B$17-$B$16)*2</f>
        <v>27972.222222222223</v>
      </c>
      <c r="AX39" s="23">
        <v>0</v>
      </c>
      <c r="AY39" s="23">
        <v>0</v>
      </c>
      <c r="AZ39" s="23">
        <v>0</v>
      </c>
      <c r="BB39" s="203">
        <f t="shared" si="10"/>
        <v>2412.6041666666665</v>
      </c>
    </row>
    <row r="40" spans="1:54" x14ac:dyDescent="0.25">
      <c r="A40" s="68">
        <f t="shared" si="0"/>
        <v>17</v>
      </c>
      <c r="B40" s="68" t="str">
        <f t="shared" si="1"/>
        <v>amortização</v>
      </c>
      <c r="C40" s="158">
        <f t="shared" si="11"/>
        <v>7777.5417756741044</v>
      </c>
      <c r="D40" s="158">
        <f t="shared" si="22"/>
        <v>13986.111111111111</v>
      </c>
      <c r="E40" s="157">
        <f t="shared" si="2"/>
        <v>937069.44444444438</v>
      </c>
      <c r="F40" s="158">
        <f t="shared" si="3"/>
        <v>21763.652886785218</v>
      </c>
      <c r="G40" s="160">
        <f t="shared" si="12"/>
        <v>21763.652886785218</v>
      </c>
      <c r="AA40" s="2">
        <f t="shared" si="15"/>
        <v>11</v>
      </c>
      <c r="AB40" s="8">
        <f t="shared" ca="1" si="17"/>
        <v>46570</v>
      </c>
      <c r="AC40" s="9">
        <f t="shared" ca="1" si="16"/>
        <v>1000000</v>
      </c>
      <c r="AD40" s="9">
        <f t="shared" si="13"/>
        <v>0</v>
      </c>
      <c r="AE40" s="2">
        <f t="shared" ca="1" si="18"/>
        <v>30</v>
      </c>
      <c r="AF40" s="2">
        <f t="shared" ca="1" si="19"/>
        <v>330</v>
      </c>
      <c r="AG40" s="9">
        <f t="shared" ca="1" si="20"/>
        <v>0</v>
      </c>
      <c r="AH40" s="9">
        <f t="shared" ca="1" si="21"/>
        <v>0</v>
      </c>
      <c r="AL40" s="23">
        <f t="shared" si="4"/>
        <v>7777.5417756741044</v>
      </c>
      <c r="AM40" s="23">
        <f t="shared" si="8"/>
        <v>7777.5417756741044</v>
      </c>
      <c r="AN40" s="23">
        <f t="shared" si="5"/>
        <v>7777.5417756741044</v>
      </c>
      <c r="AO40" s="23">
        <v>0</v>
      </c>
      <c r="AP40" s="23">
        <v>0</v>
      </c>
      <c r="AQ40" s="23">
        <v>0</v>
      </c>
      <c r="AR40" s="23">
        <v>0</v>
      </c>
      <c r="AU40" s="23">
        <f t="shared" si="9"/>
        <v>13986.111111111111</v>
      </c>
      <c r="AV40" s="23">
        <f t="shared" si="6"/>
        <v>13986.111111111111</v>
      </c>
      <c r="AW40" s="23">
        <v>0</v>
      </c>
      <c r="AX40" s="23">
        <v>0</v>
      </c>
      <c r="AY40" s="23">
        <v>0</v>
      </c>
      <c r="AZ40" s="23">
        <v>0</v>
      </c>
      <c r="BB40" s="203">
        <f t="shared" si="10"/>
        <v>2377.6388888888887</v>
      </c>
    </row>
    <row r="41" spans="1:54" x14ac:dyDescent="0.25">
      <c r="A41" s="68">
        <f t="shared" si="0"/>
        <v>18</v>
      </c>
      <c r="B41" s="68" t="str">
        <f t="shared" si="1"/>
        <v>amortização</v>
      </c>
      <c r="C41" s="158">
        <f t="shared" si="11"/>
        <v>7663.1661613259557</v>
      </c>
      <c r="D41" s="158">
        <f t="shared" si="22"/>
        <v>13986.111111111111</v>
      </c>
      <c r="E41" s="157">
        <f t="shared" si="2"/>
        <v>923083.33333333326</v>
      </c>
      <c r="F41" s="158">
        <f t="shared" si="3"/>
        <v>21649.277272437066</v>
      </c>
      <c r="G41" s="160">
        <f t="shared" si="12"/>
        <v>21649.277272437066</v>
      </c>
      <c r="AA41" s="2">
        <f t="shared" si="15"/>
        <v>12</v>
      </c>
      <c r="AB41" s="8">
        <f t="shared" ca="1" si="17"/>
        <v>46600</v>
      </c>
      <c r="AC41" s="9">
        <f t="shared" ca="1" si="16"/>
        <v>1000000</v>
      </c>
      <c r="AD41" s="9">
        <f t="shared" si="13"/>
        <v>0</v>
      </c>
      <c r="AE41" s="2">
        <f t="shared" ca="1" si="18"/>
        <v>30</v>
      </c>
      <c r="AF41" s="2">
        <f t="shared" ca="1" si="19"/>
        <v>360</v>
      </c>
      <c r="AG41" s="9">
        <f t="shared" ca="1" si="20"/>
        <v>0</v>
      </c>
      <c r="AH41" s="9">
        <f t="shared" ca="1" si="21"/>
        <v>0</v>
      </c>
      <c r="AL41" s="23">
        <f t="shared" si="4"/>
        <v>7663.1661613259557</v>
      </c>
      <c r="AM41" s="23">
        <f t="shared" si="8"/>
        <v>7663.1661613259557</v>
      </c>
      <c r="AN41" s="23">
        <f t="shared" si="5"/>
        <v>7663.1661613259557</v>
      </c>
      <c r="AO41" s="23">
        <f>E39*((1+$C$23)^2-1)</f>
        <v>15618.686729647312</v>
      </c>
      <c r="AP41" s="23">
        <f>E38*((1+$C$23)^3-1)</f>
        <v>23869.895510614519</v>
      </c>
      <c r="AQ41" s="23">
        <f t="shared" ref="AQ41" si="23">E35*((1+$C$23)^6-1)</f>
        <v>50431.515905404325</v>
      </c>
      <c r="AR41" s="23">
        <v>0</v>
      </c>
      <c r="AU41" s="23">
        <f t="shared" si="9"/>
        <v>13986.111111111111</v>
      </c>
      <c r="AV41" s="23">
        <f t="shared" si="6"/>
        <v>13986.111111111111</v>
      </c>
      <c r="AW41" s="23">
        <f>$E$23/($B$17-$B$16)*2</f>
        <v>27972.222222222223</v>
      </c>
      <c r="AX41" s="23">
        <f>$E$23/($B$17-$B$16)*3</f>
        <v>41958.333333333336</v>
      </c>
      <c r="AY41" s="23">
        <f>$E$23/($B$17-$B$16)*6</f>
        <v>83916.666666666672</v>
      </c>
      <c r="AZ41" s="23">
        <v>0</v>
      </c>
      <c r="BB41" s="203">
        <f t="shared" si="10"/>
        <v>2342.6736111111109</v>
      </c>
    </row>
    <row r="42" spans="1:54" x14ac:dyDescent="0.25">
      <c r="A42" s="68">
        <f t="shared" si="0"/>
        <v>19</v>
      </c>
      <c r="B42" s="68" t="str">
        <f t="shared" si="1"/>
        <v>amortização</v>
      </c>
      <c r="C42" s="158">
        <f t="shared" si="11"/>
        <v>7548.790546977807</v>
      </c>
      <c r="D42" s="158">
        <f t="shared" si="22"/>
        <v>13986.111111111111</v>
      </c>
      <c r="E42" s="157">
        <f t="shared" si="2"/>
        <v>909097.22222222213</v>
      </c>
      <c r="F42" s="158">
        <f t="shared" si="3"/>
        <v>21534.901658088918</v>
      </c>
      <c r="G42" s="160">
        <f t="shared" si="12"/>
        <v>21534.901658088918</v>
      </c>
      <c r="AA42" s="2">
        <f t="shared" si="15"/>
        <v>13</v>
      </c>
      <c r="AB42" s="8">
        <f t="shared" ca="1" si="17"/>
        <v>46630</v>
      </c>
      <c r="AC42" s="9">
        <f ca="1">IF(AA42="","",IF(AB42&lt;=B$16,AC27,AC41-AD42))</f>
        <v>986111.11111111112</v>
      </c>
      <c r="AD42" s="9">
        <f t="shared" si="13"/>
        <v>13888.888888888889</v>
      </c>
      <c r="AE42" s="2">
        <f t="shared" ca="1" si="18"/>
        <v>30</v>
      </c>
      <c r="AF42" s="2">
        <f t="shared" ca="1" si="19"/>
        <v>390</v>
      </c>
      <c r="AG42" s="9">
        <f t="shared" ca="1" si="20"/>
        <v>207.8472222222222</v>
      </c>
      <c r="AH42" s="9">
        <f t="shared" ca="1" si="21"/>
        <v>69.451388888888886</v>
      </c>
      <c r="AL42" s="23">
        <f t="shared" si="4"/>
        <v>7548.790546977807</v>
      </c>
      <c r="AM42" s="23">
        <f t="shared" si="8"/>
        <v>7548.790546977807</v>
      </c>
      <c r="AN42" s="23">
        <f t="shared" si="5"/>
        <v>7548.790546977807</v>
      </c>
      <c r="AO42" s="23">
        <v>0</v>
      </c>
      <c r="AP42" s="23">
        <v>0</v>
      </c>
      <c r="AQ42" s="23">
        <v>0</v>
      </c>
      <c r="AR42" s="23">
        <v>0</v>
      </c>
      <c r="AU42" s="23">
        <f t="shared" si="9"/>
        <v>13986.111111111111</v>
      </c>
      <c r="AV42" s="23">
        <f t="shared" si="6"/>
        <v>13986.111111111111</v>
      </c>
      <c r="AW42" s="23">
        <v>0</v>
      </c>
      <c r="AX42" s="23">
        <v>0</v>
      </c>
      <c r="AY42" s="23">
        <v>0</v>
      </c>
      <c r="AZ42" s="23">
        <v>0</v>
      </c>
      <c r="BB42" s="203">
        <f t="shared" si="10"/>
        <v>2307.708333333333</v>
      </c>
    </row>
    <row r="43" spans="1:54" x14ac:dyDescent="0.25">
      <c r="A43" s="68">
        <f t="shared" si="0"/>
        <v>20</v>
      </c>
      <c r="B43" s="68" t="str">
        <f t="shared" si="1"/>
        <v>amortização</v>
      </c>
      <c r="C43" s="158">
        <f t="shared" si="11"/>
        <v>7434.4149326296583</v>
      </c>
      <c r="D43" s="158">
        <f t="shared" si="22"/>
        <v>13986.111111111111</v>
      </c>
      <c r="E43" s="157">
        <f t="shared" si="2"/>
        <v>895111.11111111101</v>
      </c>
      <c r="F43" s="158">
        <f t="shared" si="3"/>
        <v>21420.526043740771</v>
      </c>
      <c r="G43" s="160">
        <f t="shared" si="12"/>
        <v>21420.526043740771</v>
      </c>
      <c r="AA43" s="2">
        <f t="shared" si="15"/>
        <v>14</v>
      </c>
      <c r="AB43" s="8">
        <f t="shared" ca="1" si="17"/>
        <v>46660</v>
      </c>
      <c r="AC43" s="9">
        <f t="shared" ref="AC43:AC74" ca="1" si="24">IF(AB43="","",IF(AA43&lt;=B$16,AC42,AC42-AD43))</f>
        <v>972222.22222222225</v>
      </c>
      <c r="AD43" s="9">
        <f t="shared" si="13"/>
        <v>13888.888888888889</v>
      </c>
      <c r="AE43" s="2">
        <f t="shared" ca="1" si="18"/>
        <v>30</v>
      </c>
      <c r="AF43" s="2">
        <f t="shared" ca="1" si="19"/>
        <v>420</v>
      </c>
      <c r="AG43" s="9">
        <f t="shared" ca="1" si="20"/>
        <v>207.8472222222222</v>
      </c>
      <c r="AH43" s="9">
        <f t="shared" ca="1" si="21"/>
        <v>69.451388888888886</v>
      </c>
      <c r="AL43" s="23">
        <f t="shared" si="4"/>
        <v>7434.4149326296583</v>
      </c>
      <c r="AM43" s="23">
        <f t="shared" si="8"/>
        <v>7434.4149326296583</v>
      </c>
      <c r="AN43" s="23">
        <f t="shared" si="5"/>
        <v>7434.4149326296583</v>
      </c>
      <c r="AO43" s="23">
        <f>E41*((1+$C$23)^2-1)</f>
        <v>15159.313590540038</v>
      </c>
      <c r="AP43" s="23">
        <v>0</v>
      </c>
      <c r="AQ43" s="23">
        <v>0</v>
      </c>
      <c r="AR43" s="23">
        <v>0</v>
      </c>
      <c r="AU43" s="23">
        <f t="shared" si="9"/>
        <v>13986.111111111111</v>
      </c>
      <c r="AV43" s="23">
        <f t="shared" si="6"/>
        <v>13986.111111111111</v>
      </c>
      <c r="AW43" s="23">
        <f>$E$23/($B$17-$B$16)*2</f>
        <v>27972.222222222223</v>
      </c>
      <c r="AX43" s="23">
        <v>0</v>
      </c>
      <c r="AY43" s="23">
        <v>0</v>
      </c>
      <c r="AZ43" s="23">
        <v>0</v>
      </c>
      <c r="BB43" s="203">
        <f t="shared" si="10"/>
        <v>2272.7430555555552</v>
      </c>
    </row>
    <row r="44" spans="1:54" x14ac:dyDescent="0.25">
      <c r="A44" s="68">
        <f t="shared" si="0"/>
        <v>21</v>
      </c>
      <c r="B44" s="68" t="str">
        <f t="shared" si="1"/>
        <v>amortização</v>
      </c>
      <c r="C44" s="158">
        <f t="shared" si="11"/>
        <v>7320.0393182815096</v>
      </c>
      <c r="D44" s="158">
        <f t="shared" si="22"/>
        <v>13986.111111111111</v>
      </c>
      <c r="E44" s="157">
        <f t="shared" si="2"/>
        <v>881124.99999999988</v>
      </c>
      <c r="F44" s="158">
        <f t="shared" si="3"/>
        <v>21306.150429392619</v>
      </c>
      <c r="G44" s="160">
        <f t="shared" si="12"/>
        <v>21306.150429392619</v>
      </c>
      <c r="AA44" s="2">
        <f t="shared" si="15"/>
        <v>15</v>
      </c>
      <c r="AB44" s="8">
        <f t="shared" ca="1" si="17"/>
        <v>46690</v>
      </c>
      <c r="AC44" s="9">
        <f t="shared" ca="1" si="24"/>
        <v>958333.33333333337</v>
      </c>
      <c r="AD44" s="9">
        <f t="shared" si="13"/>
        <v>13888.888888888889</v>
      </c>
      <c r="AE44" s="2">
        <f t="shared" ca="1" si="18"/>
        <v>30</v>
      </c>
      <c r="AF44" s="2">
        <f t="shared" ca="1" si="19"/>
        <v>450</v>
      </c>
      <c r="AG44" s="9">
        <f t="shared" ca="1" si="20"/>
        <v>207.8472222222222</v>
      </c>
      <c r="AH44" s="9">
        <f t="shared" ca="1" si="21"/>
        <v>69.451388888888886</v>
      </c>
      <c r="AL44" s="23">
        <f t="shared" si="4"/>
        <v>7320.0393182815096</v>
      </c>
      <c r="AM44" s="23">
        <f t="shared" si="8"/>
        <v>7320.0393182815096</v>
      </c>
      <c r="AN44" s="23">
        <f t="shared" si="5"/>
        <v>7320.0393182815096</v>
      </c>
      <c r="AO44" s="23">
        <v>0</v>
      </c>
      <c r="AP44" s="23">
        <f>E41*((1+$C$23)^3-1)</f>
        <v>22832.073966674754</v>
      </c>
      <c r="AQ44" s="23">
        <v>0</v>
      </c>
      <c r="AR44" s="23">
        <v>0</v>
      </c>
      <c r="AU44" s="23">
        <f t="shared" si="9"/>
        <v>13986.111111111111</v>
      </c>
      <c r="AV44" s="23">
        <f t="shared" si="6"/>
        <v>13986.111111111111</v>
      </c>
      <c r="AW44" s="23">
        <v>0</v>
      </c>
      <c r="AX44" s="23">
        <f>$E$23/($B$17-$B$16)*3</f>
        <v>41958.333333333336</v>
      </c>
      <c r="AY44" s="23">
        <v>0</v>
      </c>
      <c r="AZ44" s="23">
        <v>0</v>
      </c>
      <c r="BB44" s="203">
        <f t="shared" si="10"/>
        <v>2237.7777777777774</v>
      </c>
    </row>
    <row r="45" spans="1:54" x14ac:dyDescent="0.25">
      <c r="A45" s="68">
        <f t="shared" si="0"/>
        <v>22</v>
      </c>
      <c r="B45" s="68" t="str">
        <f t="shared" si="1"/>
        <v>amortização</v>
      </c>
      <c r="C45" s="158">
        <f t="shared" si="11"/>
        <v>7205.6637039333609</v>
      </c>
      <c r="D45" s="158">
        <f t="shared" si="22"/>
        <v>13986.111111111111</v>
      </c>
      <c r="E45" s="157">
        <f t="shared" si="2"/>
        <v>867138.88888888876</v>
      </c>
      <c r="F45" s="158">
        <f t="shared" si="3"/>
        <v>21191.774815044471</v>
      </c>
      <c r="G45" s="160">
        <f t="shared" si="12"/>
        <v>21191.774815044471</v>
      </c>
      <c r="AA45" s="2">
        <f t="shared" si="15"/>
        <v>16</v>
      </c>
      <c r="AB45" s="8">
        <f t="shared" ca="1" si="17"/>
        <v>46720</v>
      </c>
      <c r="AC45" s="9">
        <f t="shared" ca="1" si="24"/>
        <v>944444.4444444445</v>
      </c>
      <c r="AD45" s="9">
        <f t="shared" si="13"/>
        <v>13888.888888888889</v>
      </c>
      <c r="AE45" s="2">
        <f t="shared" ca="1" si="18"/>
        <v>30</v>
      </c>
      <c r="AF45" s="2">
        <f t="shared" ca="1" si="19"/>
        <v>480</v>
      </c>
      <c r="AG45" s="9">
        <f t="shared" ca="1" si="20"/>
        <v>207.8472222222222</v>
      </c>
      <c r="AH45" s="9">
        <f t="shared" ca="1" si="21"/>
        <v>69.451388888888886</v>
      </c>
      <c r="AL45" s="23">
        <f t="shared" si="4"/>
        <v>7205.6637039333609</v>
      </c>
      <c r="AM45" s="23">
        <f t="shared" si="8"/>
        <v>7205.6637039333609</v>
      </c>
      <c r="AN45" s="23">
        <f t="shared" si="5"/>
        <v>7205.6637039333609</v>
      </c>
      <c r="AO45" s="23">
        <f>E43*((1+$C$23)^2-1)</f>
        <v>14699.940451432763</v>
      </c>
      <c r="AP45" s="23">
        <v>0</v>
      </c>
      <c r="AQ45" s="23">
        <v>0</v>
      </c>
      <c r="AR45" s="23">
        <v>0</v>
      </c>
      <c r="AU45" s="23">
        <f t="shared" si="9"/>
        <v>13986.111111111111</v>
      </c>
      <c r="AV45" s="23">
        <f t="shared" si="6"/>
        <v>13986.111111111111</v>
      </c>
      <c r="AW45" s="23">
        <f>$E$23/($B$17-$B$16)*2</f>
        <v>27972.222222222223</v>
      </c>
      <c r="AX45" s="23">
        <v>0</v>
      </c>
      <c r="AY45" s="23">
        <v>0</v>
      </c>
      <c r="AZ45" s="23">
        <v>0</v>
      </c>
      <c r="BB45" s="203">
        <f t="shared" si="10"/>
        <v>2202.8124999999995</v>
      </c>
    </row>
    <row r="46" spans="1:54" x14ac:dyDescent="0.25">
      <c r="A46" s="68">
        <f t="shared" si="0"/>
        <v>23</v>
      </c>
      <c r="B46" s="68" t="str">
        <f t="shared" si="1"/>
        <v>amortização</v>
      </c>
      <c r="C46" s="158">
        <f t="shared" si="11"/>
        <v>7091.2880895852122</v>
      </c>
      <c r="D46" s="158">
        <f t="shared" si="22"/>
        <v>13986.111111111111</v>
      </c>
      <c r="E46" s="157">
        <f t="shared" si="2"/>
        <v>853152.77777777764</v>
      </c>
      <c r="F46" s="158">
        <f t="shared" si="3"/>
        <v>21077.399200696324</v>
      </c>
      <c r="G46" s="160">
        <f t="shared" si="12"/>
        <v>21077.399200696324</v>
      </c>
      <c r="AA46" s="2">
        <f t="shared" si="15"/>
        <v>17</v>
      </c>
      <c r="AB46" s="8">
        <f t="shared" ca="1" si="17"/>
        <v>46750</v>
      </c>
      <c r="AC46" s="9">
        <f t="shared" ca="1" si="24"/>
        <v>930555.55555555562</v>
      </c>
      <c r="AD46" s="9">
        <f t="shared" si="13"/>
        <v>13888.888888888889</v>
      </c>
      <c r="AE46" s="2">
        <f t="shared" ca="1" si="18"/>
        <v>30</v>
      </c>
      <c r="AF46" s="2">
        <f t="shared" ca="1" si="19"/>
        <v>510</v>
      </c>
      <c r="AG46" s="9">
        <f t="shared" ca="1" si="20"/>
        <v>207.8472222222222</v>
      </c>
      <c r="AH46" s="9">
        <f t="shared" ca="1" si="21"/>
        <v>69.451388888888886</v>
      </c>
      <c r="AL46" s="23">
        <f t="shared" si="4"/>
        <v>7091.2880895852122</v>
      </c>
      <c r="AM46" s="23">
        <f t="shared" si="8"/>
        <v>7091.2880895852122</v>
      </c>
      <c r="AN46" s="23">
        <f t="shared" si="5"/>
        <v>7091.2880895852122</v>
      </c>
      <c r="AO46" s="23">
        <v>0</v>
      </c>
      <c r="AP46" s="23">
        <v>0</v>
      </c>
      <c r="AQ46" s="23">
        <v>0</v>
      </c>
      <c r="AR46" s="23">
        <v>0</v>
      </c>
      <c r="AU46" s="23">
        <f t="shared" si="9"/>
        <v>13986.111111111111</v>
      </c>
      <c r="AV46" s="23">
        <f t="shared" si="6"/>
        <v>13986.111111111111</v>
      </c>
      <c r="AW46" s="23">
        <v>0</v>
      </c>
      <c r="AX46" s="23">
        <v>0</v>
      </c>
      <c r="AY46" s="23">
        <v>0</v>
      </c>
      <c r="AZ46" s="23">
        <v>0</v>
      </c>
      <c r="BB46" s="203">
        <f t="shared" si="10"/>
        <v>2167.8472222222217</v>
      </c>
    </row>
    <row r="47" spans="1:54" x14ac:dyDescent="0.25">
      <c r="A47" s="68">
        <f t="shared" si="0"/>
        <v>24</v>
      </c>
      <c r="B47" s="68" t="str">
        <f t="shared" si="1"/>
        <v>amortização</v>
      </c>
      <c r="C47" s="158">
        <f t="shared" si="11"/>
        <v>6976.9124752370635</v>
      </c>
      <c r="D47" s="158">
        <f t="shared" si="22"/>
        <v>13986.111111111111</v>
      </c>
      <c r="E47" s="157">
        <f t="shared" si="2"/>
        <v>839166.66666666651</v>
      </c>
      <c r="F47" s="158">
        <f t="shared" si="3"/>
        <v>20963.023586348176</v>
      </c>
      <c r="G47" s="160">
        <f t="shared" si="12"/>
        <v>20963.023586348176</v>
      </c>
      <c r="AA47" s="2">
        <f t="shared" si="15"/>
        <v>18</v>
      </c>
      <c r="AB47" s="8">
        <f t="shared" ca="1" si="17"/>
        <v>46780</v>
      </c>
      <c r="AC47" s="9">
        <f t="shared" ca="1" si="24"/>
        <v>916666.66666666674</v>
      </c>
      <c r="AD47" s="9">
        <f t="shared" si="13"/>
        <v>13888.888888888889</v>
      </c>
      <c r="AE47" s="2">
        <f t="shared" ca="1" si="18"/>
        <v>30</v>
      </c>
      <c r="AF47" s="2">
        <f t="shared" ca="1" si="19"/>
        <v>540</v>
      </c>
      <c r="AG47" s="9">
        <f t="shared" ca="1" si="20"/>
        <v>207.8472222222222</v>
      </c>
      <c r="AH47" s="9">
        <f t="shared" ca="1" si="21"/>
        <v>69.451388888888886</v>
      </c>
      <c r="AL47" s="23">
        <f t="shared" si="4"/>
        <v>6976.9124752370635</v>
      </c>
      <c r="AM47" s="23">
        <f t="shared" si="8"/>
        <v>6976.9124752370635</v>
      </c>
      <c r="AN47" s="23">
        <f t="shared" si="5"/>
        <v>6976.9124752370635</v>
      </c>
      <c r="AO47" s="23">
        <f>E45*((1+$C$23)^2-1)</f>
        <v>14240.567312325489</v>
      </c>
      <c r="AP47" s="23">
        <f>E44*((1+$C$23)^3-1)</f>
        <v>21794.252422734993</v>
      </c>
      <c r="AQ47" s="23">
        <f t="shared" ref="AQ47" si="25">E41*((1+$C$23)^6-1)</f>
        <v>46228.88957995396</v>
      </c>
      <c r="AR47" s="23">
        <f>E35*((1+$C$23)^12-1)</f>
        <v>103388.6900000016</v>
      </c>
      <c r="AU47" s="23">
        <f t="shared" si="9"/>
        <v>13986.111111111111</v>
      </c>
      <c r="AV47" s="23">
        <f t="shared" si="6"/>
        <v>13986.111111111111</v>
      </c>
      <c r="AW47" s="23">
        <f>$E$23/($B$17-$B$16)*2</f>
        <v>27972.222222222223</v>
      </c>
      <c r="AX47" s="23">
        <f>$E$23/($B$17-$B$16)*3</f>
        <v>41958.333333333336</v>
      </c>
      <c r="AY47" s="23">
        <f>$E$23/($B$17-$B$16)*6</f>
        <v>83916.666666666672</v>
      </c>
      <c r="AZ47" s="23">
        <f>$E$23/($B$17-$B$16)*12</f>
        <v>167833.33333333334</v>
      </c>
      <c r="BB47" s="203">
        <f t="shared" si="10"/>
        <v>2132.8819444444443</v>
      </c>
    </row>
    <row r="48" spans="1:54" x14ac:dyDescent="0.25">
      <c r="A48" s="68">
        <f t="shared" si="0"/>
        <v>25</v>
      </c>
      <c r="B48" s="68" t="str">
        <f t="shared" si="1"/>
        <v>amortização</v>
      </c>
      <c r="C48" s="158">
        <f t="shared" si="11"/>
        <v>6862.5368608889148</v>
      </c>
      <c r="D48" s="158">
        <f t="shared" si="22"/>
        <v>13986.111111111111</v>
      </c>
      <c r="E48" s="157">
        <f t="shared" si="2"/>
        <v>825180.55555555539</v>
      </c>
      <c r="F48" s="158">
        <f t="shared" si="3"/>
        <v>20848.647972000028</v>
      </c>
      <c r="G48" s="160">
        <f t="shared" si="12"/>
        <v>20848.647972000028</v>
      </c>
      <c r="AA48" s="2">
        <f t="shared" si="15"/>
        <v>19</v>
      </c>
      <c r="AB48" s="8">
        <f t="shared" ca="1" si="17"/>
        <v>46810</v>
      </c>
      <c r="AC48" s="9">
        <f t="shared" ca="1" si="24"/>
        <v>902777.77777777787</v>
      </c>
      <c r="AD48" s="9">
        <f t="shared" si="13"/>
        <v>13888.888888888889</v>
      </c>
      <c r="AE48" s="2">
        <f t="shared" ca="1" si="18"/>
        <v>30</v>
      </c>
      <c r="AF48" s="2">
        <f t="shared" ca="1" si="19"/>
        <v>570</v>
      </c>
      <c r="AG48" s="9">
        <f t="shared" ca="1" si="20"/>
        <v>207.8472222222222</v>
      </c>
      <c r="AH48" s="9">
        <f t="shared" ca="1" si="21"/>
        <v>69.451388888888886</v>
      </c>
      <c r="AL48" s="23">
        <f t="shared" si="4"/>
        <v>6862.5368608889148</v>
      </c>
      <c r="AM48" s="23">
        <f t="shared" si="8"/>
        <v>6862.5368608889148</v>
      </c>
      <c r="AN48" s="23">
        <f t="shared" si="5"/>
        <v>6862.5368608889148</v>
      </c>
      <c r="AO48" s="23">
        <v>0</v>
      </c>
      <c r="AP48" s="23">
        <v>0</v>
      </c>
      <c r="AQ48" s="23">
        <v>0</v>
      </c>
      <c r="AR48" s="23">
        <v>0</v>
      </c>
      <c r="AU48" s="23">
        <f t="shared" si="9"/>
        <v>13986.111111111111</v>
      </c>
      <c r="AV48" s="23">
        <f t="shared" si="6"/>
        <v>13986.111111111111</v>
      </c>
      <c r="AW48" s="23">
        <v>0</v>
      </c>
      <c r="AX48" s="23">
        <v>0</v>
      </c>
      <c r="AY48" s="23">
        <v>0</v>
      </c>
      <c r="AZ48" s="23">
        <v>0</v>
      </c>
      <c r="BB48" s="203">
        <f t="shared" si="10"/>
        <v>2097.9166666666665</v>
      </c>
    </row>
    <row r="49" spans="1:54" x14ac:dyDescent="0.25">
      <c r="A49" s="68">
        <f t="shared" si="0"/>
        <v>26</v>
      </c>
      <c r="B49" s="68" t="str">
        <f t="shared" si="1"/>
        <v>amortização</v>
      </c>
      <c r="C49" s="158">
        <f t="shared" si="11"/>
        <v>6748.1612465407661</v>
      </c>
      <c r="D49" s="158">
        <f t="shared" si="22"/>
        <v>13986.111111111111</v>
      </c>
      <c r="E49" s="157">
        <f t="shared" si="2"/>
        <v>811194.44444444426</v>
      </c>
      <c r="F49" s="158">
        <f t="shared" si="3"/>
        <v>20734.272357651877</v>
      </c>
      <c r="G49" s="160">
        <f t="shared" si="12"/>
        <v>20734.272357651877</v>
      </c>
      <c r="AA49" s="2">
        <f t="shared" si="15"/>
        <v>20</v>
      </c>
      <c r="AB49" s="8">
        <f t="shared" ca="1" si="17"/>
        <v>46840</v>
      </c>
      <c r="AC49" s="9">
        <f t="shared" ca="1" si="24"/>
        <v>888888.88888888899</v>
      </c>
      <c r="AD49" s="9">
        <f t="shared" si="13"/>
        <v>13888.888888888889</v>
      </c>
      <c r="AE49" s="2">
        <f t="shared" ca="1" si="18"/>
        <v>30</v>
      </c>
      <c r="AF49" s="2">
        <f t="shared" ca="1" si="19"/>
        <v>600</v>
      </c>
      <c r="AG49" s="9">
        <f t="shared" ca="1" si="20"/>
        <v>207.8472222222222</v>
      </c>
      <c r="AH49" s="9">
        <f t="shared" ca="1" si="21"/>
        <v>69.451388888888886</v>
      </c>
      <c r="AL49" s="23">
        <f t="shared" si="4"/>
        <v>6748.1612465407661</v>
      </c>
      <c r="AM49" s="23">
        <f t="shared" si="8"/>
        <v>6748.1612465407661</v>
      </c>
      <c r="AN49" s="23">
        <f t="shared" si="5"/>
        <v>6748.1612465407661</v>
      </c>
      <c r="AO49" s="23">
        <f>E47*((1+$C$23)^2-1)</f>
        <v>13781.194173218215</v>
      </c>
      <c r="AP49" s="23">
        <v>0</v>
      </c>
      <c r="AQ49" s="23">
        <v>0</v>
      </c>
      <c r="AR49" s="23">
        <v>0</v>
      </c>
      <c r="AU49" s="23">
        <f t="shared" si="9"/>
        <v>13986.111111111111</v>
      </c>
      <c r="AV49" s="23">
        <f t="shared" si="6"/>
        <v>13986.111111111111</v>
      </c>
      <c r="AW49" s="23">
        <f>$E$23/($B$17-$B$16)*2</f>
        <v>27972.222222222223</v>
      </c>
      <c r="AX49" s="23">
        <v>0</v>
      </c>
      <c r="AY49" s="23">
        <v>0</v>
      </c>
      <c r="AZ49" s="23">
        <v>0</v>
      </c>
      <c r="BB49" s="203">
        <f t="shared" si="10"/>
        <v>2062.9513888888887</v>
      </c>
    </row>
    <row r="50" spans="1:54" x14ac:dyDescent="0.25">
      <c r="A50" s="68">
        <f t="shared" si="0"/>
        <v>27</v>
      </c>
      <c r="B50" s="68" t="str">
        <f t="shared" si="1"/>
        <v>amortização</v>
      </c>
      <c r="C50" s="158">
        <f t="shared" si="11"/>
        <v>6633.7856321926174</v>
      </c>
      <c r="D50" s="158">
        <f t="shared" si="22"/>
        <v>13986.111111111111</v>
      </c>
      <c r="E50" s="157">
        <f t="shared" si="2"/>
        <v>797208.33333333314</v>
      </c>
      <c r="F50" s="158">
        <f t="shared" si="3"/>
        <v>20619.896743303729</v>
      </c>
      <c r="G50" s="160">
        <f t="shared" si="12"/>
        <v>20619.896743303729</v>
      </c>
      <c r="AA50" s="2">
        <f t="shared" si="15"/>
        <v>21</v>
      </c>
      <c r="AB50" s="8">
        <f t="shared" ca="1" si="17"/>
        <v>46870</v>
      </c>
      <c r="AC50" s="9">
        <f t="shared" ca="1" si="24"/>
        <v>875000.00000000012</v>
      </c>
      <c r="AD50" s="9">
        <f t="shared" si="13"/>
        <v>13888.888888888889</v>
      </c>
      <c r="AE50" s="2">
        <f t="shared" ca="1" si="18"/>
        <v>30</v>
      </c>
      <c r="AF50" s="2">
        <f t="shared" ca="1" si="19"/>
        <v>630</v>
      </c>
      <c r="AG50" s="9">
        <f t="shared" ca="1" si="20"/>
        <v>207.8472222222222</v>
      </c>
      <c r="AH50" s="9">
        <f t="shared" ca="1" si="21"/>
        <v>69.451388888888886</v>
      </c>
      <c r="AL50" s="23">
        <f t="shared" si="4"/>
        <v>6633.7856321926174</v>
      </c>
      <c r="AM50" s="23">
        <f t="shared" si="8"/>
        <v>6633.7856321926174</v>
      </c>
      <c r="AN50" s="23">
        <f t="shared" si="5"/>
        <v>6633.7856321926174</v>
      </c>
      <c r="AO50" s="23">
        <v>0</v>
      </c>
      <c r="AP50" s="23">
        <f>E47*((1+$C$23)^3-1)</f>
        <v>20756.430878795229</v>
      </c>
      <c r="AQ50" s="23">
        <v>0</v>
      </c>
      <c r="AR50" s="23">
        <v>0</v>
      </c>
      <c r="AU50" s="23">
        <f t="shared" si="9"/>
        <v>13986.111111111111</v>
      </c>
      <c r="AV50" s="23">
        <f t="shared" si="6"/>
        <v>13986.111111111111</v>
      </c>
      <c r="AW50" s="23">
        <v>0</v>
      </c>
      <c r="AX50" s="23">
        <f>$E$23/($B$17-$B$16)*3</f>
        <v>41958.333333333336</v>
      </c>
      <c r="AY50" s="23">
        <v>0</v>
      </c>
      <c r="AZ50" s="23">
        <v>0</v>
      </c>
      <c r="BB50" s="203">
        <f t="shared" si="10"/>
        <v>2027.9861111111106</v>
      </c>
    </row>
    <row r="51" spans="1:54" x14ac:dyDescent="0.25">
      <c r="A51" s="68">
        <f t="shared" si="0"/>
        <v>28</v>
      </c>
      <c r="B51" s="68" t="str">
        <f t="shared" si="1"/>
        <v>amortização</v>
      </c>
      <c r="C51" s="158">
        <f t="shared" si="11"/>
        <v>6519.4100178444687</v>
      </c>
      <c r="D51" s="158">
        <f t="shared" si="22"/>
        <v>13986.111111111111</v>
      </c>
      <c r="E51" s="157">
        <f t="shared" si="2"/>
        <v>783222.22222222202</v>
      </c>
      <c r="F51" s="158">
        <f t="shared" si="3"/>
        <v>20505.521128955581</v>
      </c>
      <c r="G51" s="160">
        <f t="shared" si="12"/>
        <v>20505.521128955581</v>
      </c>
      <c r="AA51" s="2">
        <f t="shared" si="15"/>
        <v>22</v>
      </c>
      <c r="AB51" s="8">
        <f t="shared" ca="1" si="17"/>
        <v>46900</v>
      </c>
      <c r="AC51" s="9">
        <f t="shared" ca="1" si="24"/>
        <v>861111.11111111124</v>
      </c>
      <c r="AD51" s="9">
        <f t="shared" si="13"/>
        <v>13888.888888888889</v>
      </c>
      <c r="AE51" s="2">
        <f t="shared" ca="1" si="18"/>
        <v>30</v>
      </c>
      <c r="AF51" s="2">
        <f t="shared" ca="1" si="19"/>
        <v>660</v>
      </c>
      <c r="AG51" s="9">
        <f t="shared" ca="1" si="20"/>
        <v>207.8472222222222</v>
      </c>
      <c r="AH51" s="9">
        <f t="shared" ca="1" si="21"/>
        <v>69.451388888888886</v>
      </c>
      <c r="AL51" s="23">
        <f t="shared" si="4"/>
        <v>6519.4100178444687</v>
      </c>
      <c r="AM51" s="23">
        <f>IF($AN$17=1,AN51,IF($AN$17=2,AO51,IF($AN$17=3,AP51,IF($AN$17=4,AQ51,IF($AN$17=5,AR51)))))</f>
        <v>6519.4100178444687</v>
      </c>
      <c r="AN51" s="23">
        <f t="shared" si="5"/>
        <v>6519.4100178444687</v>
      </c>
      <c r="AO51" s="23">
        <f>E49*((1+$C$23)^2-1)</f>
        <v>13321.821034110941</v>
      </c>
      <c r="AP51" s="23">
        <v>0</v>
      </c>
      <c r="AQ51" s="23">
        <v>0</v>
      </c>
      <c r="AR51" s="23">
        <v>0</v>
      </c>
      <c r="AU51" s="23">
        <f t="shared" si="9"/>
        <v>13986.111111111111</v>
      </c>
      <c r="AV51" s="23">
        <f t="shared" si="6"/>
        <v>13986.111111111111</v>
      </c>
      <c r="AW51" s="23">
        <f>$E$23/($B$17-$B$16)*2</f>
        <v>27972.222222222223</v>
      </c>
      <c r="AX51" s="23">
        <v>0</v>
      </c>
      <c r="AY51" s="23">
        <v>0</v>
      </c>
      <c r="AZ51" s="23">
        <v>0</v>
      </c>
      <c r="BB51" s="203">
        <f t="shared" si="10"/>
        <v>1993.0208333333328</v>
      </c>
    </row>
    <row r="52" spans="1:54" x14ac:dyDescent="0.25">
      <c r="A52" s="68">
        <f t="shared" si="0"/>
        <v>29</v>
      </c>
      <c r="B52" s="68" t="str">
        <f t="shared" si="1"/>
        <v>amortização</v>
      </c>
      <c r="C52" s="158">
        <f t="shared" si="11"/>
        <v>6405.03440349632</v>
      </c>
      <c r="D52" s="158">
        <f t="shared" si="22"/>
        <v>13986.111111111111</v>
      </c>
      <c r="E52" s="157">
        <f t="shared" si="2"/>
        <v>769236.11111111089</v>
      </c>
      <c r="F52" s="158">
        <f t="shared" si="3"/>
        <v>20391.14551460743</v>
      </c>
      <c r="G52" s="160">
        <f t="shared" si="12"/>
        <v>20391.14551460743</v>
      </c>
      <c r="AA52" s="2">
        <f t="shared" si="15"/>
        <v>23</v>
      </c>
      <c r="AB52" s="8">
        <f t="shared" ca="1" si="17"/>
        <v>46930</v>
      </c>
      <c r="AC52" s="9">
        <f t="shared" ca="1" si="24"/>
        <v>847222.22222222236</v>
      </c>
      <c r="AD52" s="9">
        <f t="shared" si="13"/>
        <v>13888.888888888889</v>
      </c>
      <c r="AE52" s="2">
        <f t="shared" ca="1" si="18"/>
        <v>30</v>
      </c>
      <c r="AF52" s="2">
        <f t="shared" ca="1" si="19"/>
        <v>690</v>
      </c>
      <c r="AG52" s="9">
        <f t="shared" ca="1" si="20"/>
        <v>207.8472222222222</v>
      </c>
      <c r="AH52" s="9">
        <f t="shared" ca="1" si="21"/>
        <v>69.451388888888886</v>
      </c>
      <c r="AL52" s="23">
        <f t="shared" si="4"/>
        <v>6405.03440349632</v>
      </c>
      <c r="AM52" s="23">
        <f t="shared" ref="AM52:AM77" si="26">IF($AN$17=1,AN52,IF($AN$17=2,AO52,IF($AN$17=3,AP52,IF($AN$17=4,AQ52,IF($AN$17=5,AR52)))))</f>
        <v>6405.03440349632</v>
      </c>
      <c r="AN52" s="23">
        <f t="shared" si="5"/>
        <v>6405.03440349632</v>
      </c>
      <c r="AO52" s="23">
        <v>0</v>
      </c>
      <c r="AP52" s="23">
        <v>0</v>
      </c>
      <c r="AQ52" s="23">
        <v>0</v>
      </c>
      <c r="AR52" s="23">
        <v>0</v>
      </c>
      <c r="AU52" s="23">
        <f t="shared" si="9"/>
        <v>13986.111111111111</v>
      </c>
      <c r="AV52" s="23">
        <f t="shared" si="6"/>
        <v>13986.111111111111</v>
      </c>
      <c r="AW52" s="23">
        <v>0</v>
      </c>
      <c r="AX52" s="23">
        <v>0</v>
      </c>
      <c r="AY52" s="23">
        <v>0</v>
      </c>
      <c r="AZ52" s="23">
        <v>0</v>
      </c>
      <c r="BB52" s="203">
        <f t="shared" si="10"/>
        <v>1958.055555555555</v>
      </c>
    </row>
    <row r="53" spans="1:54" x14ac:dyDescent="0.25">
      <c r="A53" s="68">
        <f t="shared" si="0"/>
        <v>30</v>
      </c>
      <c r="B53" s="68" t="str">
        <f t="shared" si="1"/>
        <v>amortização</v>
      </c>
      <c r="C53" s="158">
        <f t="shared" si="11"/>
        <v>6290.6587891481713</v>
      </c>
      <c r="D53" s="158">
        <f t="shared" si="22"/>
        <v>13986.111111111111</v>
      </c>
      <c r="E53" s="157">
        <f t="shared" si="2"/>
        <v>755249.99999999977</v>
      </c>
      <c r="F53" s="158">
        <f t="shared" si="3"/>
        <v>20276.769900259282</v>
      </c>
      <c r="G53" s="160">
        <f t="shared" si="12"/>
        <v>20276.769900259282</v>
      </c>
      <c r="AA53" s="2">
        <f t="shared" si="15"/>
        <v>24</v>
      </c>
      <c r="AB53" s="8">
        <f t="shared" ca="1" si="17"/>
        <v>46960</v>
      </c>
      <c r="AC53" s="9">
        <f t="shared" ca="1" si="24"/>
        <v>833333.33333333349</v>
      </c>
      <c r="AD53" s="9">
        <f t="shared" si="13"/>
        <v>13888.888888888889</v>
      </c>
      <c r="AE53" s="2">
        <f t="shared" ca="1" si="18"/>
        <v>30</v>
      </c>
      <c r="AF53" s="2">
        <f t="shared" ca="1" si="19"/>
        <v>720</v>
      </c>
      <c r="AG53" s="9">
        <f t="shared" ca="1" si="20"/>
        <v>207.8472222222222</v>
      </c>
      <c r="AH53" s="9">
        <f t="shared" ca="1" si="21"/>
        <v>69.451388888888886</v>
      </c>
      <c r="AL53" s="23">
        <f t="shared" si="4"/>
        <v>6290.6587891481713</v>
      </c>
      <c r="AM53" s="23">
        <f t="shared" si="26"/>
        <v>6290.6587891481713</v>
      </c>
      <c r="AN53" s="23">
        <f t="shared" si="5"/>
        <v>6290.6587891481713</v>
      </c>
      <c r="AO53" s="23">
        <f>E51*((1+$C$23)^2-1)</f>
        <v>12862.447895003666</v>
      </c>
      <c r="AP53" s="23">
        <f>E50*((1+$C$23)^3-1)</f>
        <v>19718.609334855468</v>
      </c>
      <c r="AQ53" s="23">
        <f>E47*((1+$C$23)^6-1)</f>
        <v>42026.263254503596</v>
      </c>
      <c r="AR53" s="23">
        <v>0</v>
      </c>
      <c r="AU53" s="23">
        <f t="shared" si="9"/>
        <v>13986.111111111111</v>
      </c>
      <c r="AV53" s="23">
        <f t="shared" si="6"/>
        <v>13986.111111111111</v>
      </c>
      <c r="AW53" s="23">
        <f>$E$23/($B$17-$B$16)*2</f>
        <v>27972.222222222223</v>
      </c>
      <c r="AX53" s="23">
        <f>$E$23/($B$17-$B$16)*3</f>
        <v>41958.333333333336</v>
      </c>
      <c r="AY53" s="23">
        <f>$E$23/($B$17-$B$16)*6</f>
        <v>83916.666666666672</v>
      </c>
      <c r="AZ53" s="23">
        <v>0</v>
      </c>
      <c r="BB53" s="203">
        <f t="shared" si="10"/>
        <v>1923.0902777777774</v>
      </c>
    </row>
    <row r="54" spans="1:54" x14ac:dyDescent="0.25">
      <c r="A54" s="68">
        <f t="shared" si="0"/>
        <v>31</v>
      </c>
      <c r="B54" s="68" t="str">
        <f t="shared" si="1"/>
        <v>amortização</v>
      </c>
      <c r="C54" s="158">
        <f t="shared" si="11"/>
        <v>6176.2831748000226</v>
      </c>
      <c r="D54" s="158">
        <f t="shared" si="22"/>
        <v>13986.111111111111</v>
      </c>
      <c r="E54" s="157">
        <f t="shared" si="2"/>
        <v>741263.88888888864</v>
      </c>
      <c r="F54" s="158">
        <f t="shared" si="3"/>
        <v>20162.394285911134</v>
      </c>
      <c r="G54" s="160">
        <f t="shared" si="12"/>
        <v>20162.394285911134</v>
      </c>
      <c r="AA54" s="2">
        <f t="shared" si="15"/>
        <v>25</v>
      </c>
      <c r="AB54" s="8">
        <f t="shared" ca="1" si="17"/>
        <v>46990</v>
      </c>
      <c r="AC54" s="9">
        <f t="shared" ca="1" si="24"/>
        <v>819444.44444444461</v>
      </c>
      <c r="AD54" s="9">
        <f t="shared" si="13"/>
        <v>13888.888888888889</v>
      </c>
      <c r="AE54" s="2">
        <f t="shared" ca="1" si="18"/>
        <v>30</v>
      </c>
      <c r="AF54" s="2">
        <f t="shared" ca="1" si="19"/>
        <v>750</v>
      </c>
      <c r="AG54" s="9">
        <f t="shared" ca="1" si="20"/>
        <v>207.8472222222222</v>
      </c>
      <c r="AH54" s="9">
        <f t="shared" ca="1" si="21"/>
        <v>69.451388888888886</v>
      </c>
      <c r="AL54" s="23">
        <f t="shared" si="4"/>
        <v>6176.2831748000226</v>
      </c>
      <c r="AM54" s="23">
        <f t="shared" si="26"/>
        <v>6176.2831748000226</v>
      </c>
      <c r="AN54" s="23">
        <f t="shared" si="5"/>
        <v>6176.2831748000226</v>
      </c>
      <c r="AO54" s="23">
        <v>0</v>
      </c>
      <c r="AP54" s="23">
        <v>0</v>
      </c>
      <c r="AQ54" s="23">
        <v>0</v>
      </c>
      <c r="AR54" s="23">
        <v>0</v>
      </c>
      <c r="AU54" s="23">
        <f t="shared" si="9"/>
        <v>13986.111111111111</v>
      </c>
      <c r="AV54" s="23">
        <f t="shared" si="6"/>
        <v>13986.111111111111</v>
      </c>
      <c r="AW54" s="23">
        <v>0</v>
      </c>
      <c r="AX54" s="23">
        <v>0</v>
      </c>
      <c r="AY54" s="23">
        <v>0</v>
      </c>
      <c r="AZ54" s="23">
        <v>0</v>
      </c>
      <c r="BB54" s="203">
        <f t="shared" si="10"/>
        <v>1888.1249999999995</v>
      </c>
    </row>
    <row r="55" spans="1:54" x14ac:dyDescent="0.25">
      <c r="A55" s="68">
        <f t="shared" si="0"/>
        <v>32</v>
      </c>
      <c r="B55" s="68" t="str">
        <f t="shared" si="1"/>
        <v>amortização</v>
      </c>
      <c r="C55" s="158">
        <f t="shared" si="11"/>
        <v>6061.9075604518739</v>
      </c>
      <c r="D55" s="158">
        <f t="shared" si="22"/>
        <v>13986.111111111111</v>
      </c>
      <c r="E55" s="157">
        <f t="shared" si="2"/>
        <v>727277.77777777752</v>
      </c>
      <c r="F55" s="158">
        <f t="shared" si="3"/>
        <v>20048.018671562986</v>
      </c>
      <c r="G55" s="160">
        <f t="shared" si="12"/>
        <v>20048.018671562986</v>
      </c>
      <c r="AA55" s="2">
        <f t="shared" si="15"/>
        <v>26</v>
      </c>
      <c r="AB55" s="8">
        <f t="shared" ca="1" si="17"/>
        <v>47020</v>
      </c>
      <c r="AC55" s="9">
        <f t="shared" ca="1" si="24"/>
        <v>805555.55555555574</v>
      </c>
      <c r="AD55" s="9">
        <f t="shared" si="13"/>
        <v>13888.888888888889</v>
      </c>
      <c r="AE55" s="2">
        <f t="shared" ca="1" si="18"/>
        <v>30</v>
      </c>
      <c r="AF55" s="2">
        <f t="shared" ca="1" si="19"/>
        <v>780</v>
      </c>
      <c r="AG55" s="9">
        <f t="shared" ca="1" si="20"/>
        <v>207.8472222222222</v>
      </c>
      <c r="AH55" s="9">
        <f t="shared" ca="1" si="21"/>
        <v>69.451388888888886</v>
      </c>
      <c r="AL55" s="23">
        <f t="shared" si="4"/>
        <v>6061.9075604518739</v>
      </c>
      <c r="AM55" s="23">
        <f t="shared" si="26"/>
        <v>6061.9075604518739</v>
      </c>
      <c r="AN55" s="23">
        <f t="shared" si="5"/>
        <v>6061.9075604518739</v>
      </c>
      <c r="AO55" s="23">
        <f>E53*((1+$C$23)^2-1)</f>
        <v>12403.074755896392</v>
      </c>
      <c r="AP55" s="23">
        <v>0</v>
      </c>
      <c r="AQ55" s="23">
        <v>0</v>
      </c>
      <c r="AR55" s="23">
        <v>0</v>
      </c>
      <c r="AU55" s="23">
        <f t="shared" si="9"/>
        <v>13986.111111111111</v>
      </c>
      <c r="AV55" s="23">
        <f t="shared" si="6"/>
        <v>13986.111111111111</v>
      </c>
      <c r="AW55" s="23">
        <f>$E$23/($B$17-$B$16)*2</f>
        <v>27972.222222222223</v>
      </c>
      <c r="AX55" s="23">
        <v>0</v>
      </c>
      <c r="AY55" s="23">
        <v>0</v>
      </c>
      <c r="AZ55" s="23">
        <v>0</v>
      </c>
      <c r="BB55" s="203">
        <f t="shared" si="10"/>
        <v>1853.1597222222217</v>
      </c>
    </row>
    <row r="56" spans="1:54" x14ac:dyDescent="0.25">
      <c r="A56" s="68">
        <f t="shared" si="0"/>
        <v>33</v>
      </c>
      <c r="B56" s="68" t="str">
        <f t="shared" si="1"/>
        <v>amortização</v>
      </c>
      <c r="C56" s="158">
        <f t="shared" si="11"/>
        <v>5947.5319461037252</v>
      </c>
      <c r="D56" s="158">
        <f t="shared" si="22"/>
        <v>13986.111111111111</v>
      </c>
      <c r="E56" s="157">
        <f t="shared" si="2"/>
        <v>713291.6666666664</v>
      </c>
      <c r="F56" s="158">
        <f t="shared" si="3"/>
        <v>19933.643057214838</v>
      </c>
      <c r="G56" s="160">
        <f t="shared" si="12"/>
        <v>19933.643057214838</v>
      </c>
      <c r="AA56" s="2">
        <f t="shared" si="15"/>
        <v>27</v>
      </c>
      <c r="AB56" s="8">
        <f t="shared" ca="1" si="17"/>
        <v>47050</v>
      </c>
      <c r="AC56" s="9">
        <f t="shared" ca="1" si="24"/>
        <v>791666.66666666686</v>
      </c>
      <c r="AD56" s="9">
        <f t="shared" si="13"/>
        <v>13888.888888888889</v>
      </c>
      <c r="AE56" s="2">
        <f t="shared" ca="1" si="18"/>
        <v>30</v>
      </c>
      <c r="AF56" s="2">
        <f t="shared" ca="1" si="19"/>
        <v>810</v>
      </c>
      <c r="AG56" s="9">
        <f t="shared" ca="1" si="20"/>
        <v>207.8472222222222</v>
      </c>
      <c r="AH56" s="9">
        <f t="shared" ca="1" si="21"/>
        <v>69.451388888888886</v>
      </c>
      <c r="AL56" s="23">
        <f t="shared" si="4"/>
        <v>5947.5319461037252</v>
      </c>
      <c r="AM56" s="23">
        <f t="shared" si="26"/>
        <v>5947.5319461037252</v>
      </c>
      <c r="AN56" s="23">
        <f t="shared" si="5"/>
        <v>5947.5319461037252</v>
      </c>
      <c r="AO56" s="23">
        <v>0</v>
      </c>
      <c r="AP56" s="23">
        <f>E53*((1+$C$23)^3-1)</f>
        <v>18680.787790915703</v>
      </c>
      <c r="AQ56" s="23">
        <v>0</v>
      </c>
      <c r="AR56" s="23">
        <v>0</v>
      </c>
      <c r="AU56" s="23">
        <f t="shared" si="9"/>
        <v>13986.111111111111</v>
      </c>
      <c r="AV56" s="23">
        <f t="shared" si="6"/>
        <v>13986.111111111111</v>
      </c>
      <c r="AW56" s="23">
        <v>0</v>
      </c>
      <c r="AX56" s="23">
        <f>$E$23/($B$17-$B$16)*3</f>
        <v>41958.333333333336</v>
      </c>
      <c r="AY56" s="23">
        <v>0</v>
      </c>
      <c r="AZ56" s="23">
        <v>0</v>
      </c>
      <c r="BB56" s="203">
        <f t="shared" si="10"/>
        <v>1818.1944444444439</v>
      </c>
    </row>
    <row r="57" spans="1:54" x14ac:dyDescent="0.25">
      <c r="A57" s="68">
        <f t="shared" si="0"/>
        <v>34</v>
      </c>
      <c r="B57" s="68" t="str">
        <f t="shared" si="1"/>
        <v>amortização</v>
      </c>
      <c r="C57" s="158">
        <f t="shared" si="11"/>
        <v>5833.1563317555765</v>
      </c>
      <c r="D57" s="158">
        <f t="shared" si="22"/>
        <v>13986.111111111111</v>
      </c>
      <c r="E57" s="157">
        <f t="shared" si="2"/>
        <v>699305.55555555527</v>
      </c>
      <c r="F57" s="158">
        <f t="shared" si="3"/>
        <v>19819.267442866687</v>
      </c>
      <c r="G57" s="160">
        <f t="shared" si="12"/>
        <v>19819.267442866687</v>
      </c>
      <c r="AA57" s="2">
        <f t="shared" si="15"/>
        <v>28</v>
      </c>
      <c r="AB57" s="8">
        <f t="shared" ca="1" si="17"/>
        <v>47080</v>
      </c>
      <c r="AC57" s="9">
        <f t="shared" ca="1" si="24"/>
        <v>777777.77777777798</v>
      </c>
      <c r="AD57" s="9">
        <f t="shared" si="13"/>
        <v>13888.888888888889</v>
      </c>
      <c r="AE57" s="2">
        <f t="shared" ca="1" si="18"/>
        <v>30</v>
      </c>
      <c r="AF57" s="2">
        <f t="shared" ca="1" si="19"/>
        <v>840</v>
      </c>
      <c r="AG57" s="9">
        <f t="shared" ca="1" si="20"/>
        <v>207.8472222222222</v>
      </c>
      <c r="AH57" s="9">
        <f t="shared" ca="1" si="21"/>
        <v>69.451388888888886</v>
      </c>
      <c r="AL57" s="23">
        <f t="shared" si="4"/>
        <v>5833.1563317555765</v>
      </c>
      <c r="AM57" s="23">
        <f t="shared" si="26"/>
        <v>5833.1563317555765</v>
      </c>
      <c r="AN57" s="23">
        <f t="shared" si="5"/>
        <v>5833.1563317555765</v>
      </c>
      <c r="AO57" s="23">
        <f>E55*((1+$C$23)^2-1)</f>
        <v>11943.701616789118</v>
      </c>
      <c r="AP57" s="23">
        <v>0</v>
      </c>
      <c r="AQ57" s="23">
        <v>0</v>
      </c>
      <c r="AR57" s="23">
        <v>0</v>
      </c>
      <c r="AU57" s="23">
        <f t="shared" si="9"/>
        <v>13986.111111111111</v>
      </c>
      <c r="AV57" s="23">
        <f t="shared" si="6"/>
        <v>13986.111111111111</v>
      </c>
      <c r="AW57" s="23">
        <f>$E$23/($B$17-$B$16)*2</f>
        <v>27972.222222222223</v>
      </c>
      <c r="AX57" s="23">
        <v>0</v>
      </c>
      <c r="AY57" s="23">
        <v>0</v>
      </c>
      <c r="AZ57" s="23">
        <v>0</v>
      </c>
      <c r="BB57" s="203">
        <f t="shared" si="10"/>
        <v>1783.2291666666661</v>
      </c>
    </row>
    <row r="58" spans="1:54" x14ac:dyDescent="0.25">
      <c r="A58" s="68">
        <f t="shared" si="0"/>
        <v>35</v>
      </c>
      <c r="B58" s="68" t="str">
        <f t="shared" si="1"/>
        <v>amortização</v>
      </c>
      <c r="C58" s="158">
        <f t="shared" si="11"/>
        <v>5718.7807174074278</v>
      </c>
      <c r="D58" s="158">
        <f t="shared" si="22"/>
        <v>13986.111111111111</v>
      </c>
      <c r="E58" s="157">
        <f t="shared" si="2"/>
        <v>685319.44444444415</v>
      </c>
      <c r="F58" s="158">
        <f t="shared" si="3"/>
        <v>19704.891828518539</v>
      </c>
      <c r="G58" s="160">
        <f t="shared" si="12"/>
        <v>19704.891828518539</v>
      </c>
      <c r="AA58" s="2">
        <f t="shared" si="15"/>
        <v>29</v>
      </c>
      <c r="AB58" s="8">
        <f t="shared" ca="1" si="17"/>
        <v>47110</v>
      </c>
      <c r="AC58" s="9">
        <f t="shared" ca="1" si="24"/>
        <v>763888.88888888911</v>
      </c>
      <c r="AD58" s="9">
        <f t="shared" si="13"/>
        <v>13888.888888888889</v>
      </c>
      <c r="AE58" s="2">
        <f t="shared" ca="1" si="18"/>
        <v>30</v>
      </c>
      <c r="AF58" s="2">
        <f t="shared" ca="1" si="19"/>
        <v>870</v>
      </c>
      <c r="AG58" s="9">
        <f t="shared" ca="1" si="20"/>
        <v>207.8472222222222</v>
      </c>
      <c r="AH58" s="9">
        <f t="shared" ca="1" si="21"/>
        <v>69.451388888888886</v>
      </c>
      <c r="AL58" s="23">
        <f t="shared" si="4"/>
        <v>5718.7807174074278</v>
      </c>
      <c r="AM58" s="23">
        <f t="shared" si="26"/>
        <v>5718.7807174074278</v>
      </c>
      <c r="AN58" s="23">
        <f t="shared" si="5"/>
        <v>5718.7807174074278</v>
      </c>
      <c r="AO58" s="23">
        <v>0</v>
      </c>
      <c r="AP58" s="23">
        <v>0</v>
      </c>
      <c r="AQ58" s="23">
        <v>0</v>
      </c>
      <c r="AR58" s="23">
        <v>0</v>
      </c>
      <c r="AU58" s="23">
        <f t="shared" si="9"/>
        <v>13986.111111111111</v>
      </c>
      <c r="AV58" s="23">
        <f t="shared" si="6"/>
        <v>13986.111111111111</v>
      </c>
      <c r="AW58" s="23">
        <v>0</v>
      </c>
      <c r="AX58" s="23">
        <v>0</v>
      </c>
      <c r="AY58" s="23">
        <v>0</v>
      </c>
      <c r="AZ58" s="23">
        <v>0</v>
      </c>
      <c r="BB58" s="203">
        <f t="shared" si="10"/>
        <v>1748.2638888888882</v>
      </c>
    </row>
    <row r="59" spans="1:54" x14ac:dyDescent="0.25">
      <c r="A59" s="68">
        <f t="shared" si="0"/>
        <v>36</v>
      </c>
      <c r="B59" s="68" t="str">
        <f t="shared" si="1"/>
        <v>amortização</v>
      </c>
      <c r="C59" s="158">
        <f t="shared" si="11"/>
        <v>5604.4051030592791</v>
      </c>
      <c r="D59" s="158">
        <f t="shared" si="22"/>
        <v>13986.111111111111</v>
      </c>
      <c r="E59" s="157">
        <f t="shared" si="2"/>
        <v>671333.33333333302</v>
      </c>
      <c r="F59" s="158">
        <f t="shared" si="3"/>
        <v>19590.516214170391</v>
      </c>
      <c r="G59" s="160">
        <f t="shared" si="12"/>
        <v>19590.516214170391</v>
      </c>
      <c r="AA59" s="2">
        <f t="shared" si="15"/>
        <v>30</v>
      </c>
      <c r="AB59" s="8">
        <f t="shared" ca="1" si="17"/>
        <v>47140</v>
      </c>
      <c r="AC59" s="9">
        <f t="shared" ca="1" si="24"/>
        <v>750000.00000000023</v>
      </c>
      <c r="AD59" s="9">
        <f t="shared" si="13"/>
        <v>13888.888888888889</v>
      </c>
      <c r="AE59" s="2">
        <f t="shared" ca="1" si="18"/>
        <v>30</v>
      </c>
      <c r="AF59" s="2">
        <f t="shared" ca="1" si="19"/>
        <v>900</v>
      </c>
      <c r="AG59" s="9">
        <f t="shared" ca="1" si="20"/>
        <v>207.8472222222222</v>
      </c>
      <c r="AH59" s="9">
        <f t="shared" ca="1" si="21"/>
        <v>69.451388888888886</v>
      </c>
      <c r="AL59" s="23">
        <f t="shared" si="4"/>
        <v>5604.4051030592791</v>
      </c>
      <c r="AM59" s="23">
        <f t="shared" si="26"/>
        <v>5604.4051030592791</v>
      </c>
      <c r="AN59" s="23">
        <f t="shared" si="5"/>
        <v>5604.4051030592791</v>
      </c>
      <c r="AO59" s="23">
        <f>E57*((1+$C$23)^2-1)</f>
        <v>11484.328477681844</v>
      </c>
      <c r="AP59" s="23">
        <f>E56*((1+$C$23)^3-1)</f>
        <v>17642.966246975942</v>
      </c>
      <c r="AQ59" s="23">
        <f t="shared" ref="AQ59" si="27">E53*((1+$C$23)^6-1)</f>
        <v>37823.636929053231</v>
      </c>
      <c r="AR59" s="23">
        <f>E47*((1+$C$23)^12-1)</f>
        <v>86157.241666667993</v>
      </c>
      <c r="AU59" s="23">
        <f t="shared" si="9"/>
        <v>13986.111111111111</v>
      </c>
      <c r="AV59" s="23">
        <f t="shared" si="6"/>
        <v>13986.111111111111</v>
      </c>
      <c r="AW59" s="23">
        <f>$E$23/($B$17-$B$16)*2</f>
        <v>27972.222222222223</v>
      </c>
      <c r="AX59" s="23">
        <f>$E$23/($B$17-$B$16)*3</f>
        <v>41958.333333333336</v>
      </c>
      <c r="AY59" s="23">
        <f>$E$23/($B$17-$B$16)*6</f>
        <v>83916.666666666672</v>
      </c>
      <c r="AZ59" s="23">
        <f>$E$23/($B$17-$B$16)*12</f>
        <v>167833.33333333334</v>
      </c>
      <c r="BB59" s="203">
        <f t="shared" si="10"/>
        <v>1713.2986111111104</v>
      </c>
    </row>
    <row r="60" spans="1:54" x14ac:dyDescent="0.25">
      <c r="A60" s="68">
        <f t="shared" si="0"/>
        <v>37</v>
      </c>
      <c r="B60" s="68" t="str">
        <f t="shared" si="1"/>
        <v>amortização</v>
      </c>
      <c r="C60" s="158">
        <f t="shared" si="11"/>
        <v>5490.0294887111304</v>
      </c>
      <c r="D60" s="158">
        <f t="shared" si="22"/>
        <v>13986.111111111111</v>
      </c>
      <c r="E60" s="157">
        <f t="shared" si="2"/>
        <v>657347.2222222219</v>
      </c>
      <c r="F60" s="158">
        <f t="shared" si="3"/>
        <v>19476.14059982224</v>
      </c>
      <c r="G60" s="160">
        <f t="shared" si="12"/>
        <v>19476.14059982224</v>
      </c>
      <c r="AA60" s="2">
        <f t="shared" si="15"/>
        <v>31</v>
      </c>
      <c r="AB60" s="8">
        <f t="shared" ca="1" si="17"/>
        <v>47170</v>
      </c>
      <c r="AC60" s="9">
        <f t="shared" ca="1" si="24"/>
        <v>736111.11111111136</v>
      </c>
      <c r="AD60" s="9">
        <f t="shared" si="13"/>
        <v>13888.888888888889</v>
      </c>
      <c r="AE60" s="2">
        <f t="shared" ca="1" si="18"/>
        <v>30</v>
      </c>
      <c r="AF60" s="2">
        <f t="shared" ca="1" si="19"/>
        <v>930</v>
      </c>
      <c r="AG60" s="9">
        <f t="shared" ca="1" si="20"/>
        <v>207.8472222222222</v>
      </c>
      <c r="AH60" s="9">
        <f t="shared" ca="1" si="21"/>
        <v>69.451388888888886</v>
      </c>
      <c r="AL60" s="23">
        <f t="shared" si="4"/>
        <v>5490.0294887111304</v>
      </c>
      <c r="AM60" s="23">
        <f t="shared" si="26"/>
        <v>5490.0294887111304</v>
      </c>
      <c r="AN60" s="23">
        <f t="shared" si="5"/>
        <v>5490.0294887111304</v>
      </c>
      <c r="AO60" s="23">
        <v>0</v>
      </c>
      <c r="AP60" s="23">
        <v>0</v>
      </c>
      <c r="AQ60" s="23">
        <v>0</v>
      </c>
      <c r="AR60" s="23">
        <v>0</v>
      </c>
      <c r="AU60" s="23">
        <f t="shared" si="9"/>
        <v>13986.111111111111</v>
      </c>
      <c r="AV60" s="23">
        <f t="shared" si="6"/>
        <v>13986.111111111111</v>
      </c>
      <c r="AW60" s="23">
        <v>0</v>
      </c>
      <c r="AX60" s="23">
        <v>0</v>
      </c>
      <c r="AY60" s="23">
        <v>0</v>
      </c>
      <c r="AZ60" s="23">
        <v>0</v>
      </c>
      <c r="BB60" s="203">
        <f t="shared" si="10"/>
        <v>1678.3333333333326</v>
      </c>
    </row>
    <row r="61" spans="1:54" x14ac:dyDescent="0.25">
      <c r="A61" s="68">
        <f t="shared" si="0"/>
        <v>38</v>
      </c>
      <c r="B61" s="68" t="str">
        <f t="shared" si="1"/>
        <v>amortização</v>
      </c>
      <c r="C61" s="158">
        <f t="shared" si="11"/>
        <v>5375.6538743629817</v>
      </c>
      <c r="D61" s="158">
        <f t="shared" si="22"/>
        <v>13986.111111111111</v>
      </c>
      <c r="E61" s="157">
        <f t="shared" si="2"/>
        <v>643361.11111111077</v>
      </c>
      <c r="F61" s="158">
        <f t="shared" si="3"/>
        <v>19361.764985474092</v>
      </c>
      <c r="G61" s="160">
        <f t="shared" si="12"/>
        <v>19361.764985474092</v>
      </c>
      <c r="AA61" s="2">
        <f t="shared" si="15"/>
        <v>32</v>
      </c>
      <c r="AB61" s="8">
        <f t="shared" ca="1" si="17"/>
        <v>47200</v>
      </c>
      <c r="AC61" s="9">
        <f t="shared" ca="1" si="24"/>
        <v>722222.22222222248</v>
      </c>
      <c r="AD61" s="9">
        <f t="shared" si="13"/>
        <v>13888.888888888889</v>
      </c>
      <c r="AE61" s="2">
        <f t="shared" ca="1" si="18"/>
        <v>30</v>
      </c>
      <c r="AF61" s="2">
        <f t="shared" ca="1" si="19"/>
        <v>960</v>
      </c>
      <c r="AG61" s="9">
        <f t="shared" ca="1" si="20"/>
        <v>207.8472222222222</v>
      </c>
      <c r="AH61" s="9">
        <f t="shared" ca="1" si="21"/>
        <v>69.451388888888886</v>
      </c>
      <c r="AL61" s="23">
        <f t="shared" si="4"/>
        <v>5375.6538743629817</v>
      </c>
      <c r="AM61" s="23">
        <f t="shared" si="26"/>
        <v>5375.6538743629817</v>
      </c>
      <c r="AN61" s="23">
        <f t="shared" si="5"/>
        <v>5375.6538743629817</v>
      </c>
      <c r="AO61" s="23">
        <f>E59*((1+$C$23)^2-1)</f>
        <v>11024.955338574569</v>
      </c>
      <c r="AP61" s="23">
        <v>0</v>
      </c>
      <c r="AQ61" s="23">
        <v>0</v>
      </c>
      <c r="AR61" s="23">
        <v>0</v>
      </c>
      <c r="AU61" s="23">
        <f t="shared" si="9"/>
        <v>13986.111111111111</v>
      </c>
      <c r="AV61" s="23">
        <f t="shared" si="6"/>
        <v>13986.111111111111</v>
      </c>
      <c r="AW61" s="23">
        <f>$E$23/($B$17-$B$16)*2</f>
        <v>27972.222222222223</v>
      </c>
      <c r="AX61" s="23">
        <v>0</v>
      </c>
      <c r="AY61" s="23">
        <v>0</v>
      </c>
      <c r="AZ61" s="23">
        <v>0</v>
      </c>
      <c r="BB61" s="203">
        <f t="shared" si="10"/>
        <v>1643.3680555555547</v>
      </c>
    </row>
    <row r="62" spans="1:54" x14ac:dyDescent="0.25">
      <c r="A62" s="68">
        <f t="shared" si="0"/>
        <v>39</v>
      </c>
      <c r="B62" s="68" t="str">
        <f t="shared" si="1"/>
        <v>amortização</v>
      </c>
      <c r="C62" s="158">
        <f t="shared" si="11"/>
        <v>5261.278260014833</v>
      </c>
      <c r="D62" s="158">
        <f t="shared" si="22"/>
        <v>13986.111111111111</v>
      </c>
      <c r="E62" s="157">
        <f t="shared" si="2"/>
        <v>629374.99999999965</v>
      </c>
      <c r="F62" s="158">
        <f t="shared" si="3"/>
        <v>19247.389371125944</v>
      </c>
      <c r="G62" s="160">
        <f t="shared" si="12"/>
        <v>19247.389371125944</v>
      </c>
      <c r="AA62" s="2">
        <f t="shared" si="15"/>
        <v>33</v>
      </c>
      <c r="AB62" s="8">
        <f t="shared" ca="1" si="17"/>
        <v>47230</v>
      </c>
      <c r="AC62" s="9">
        <f t="shared" ca="1" si="24"/>
        <v>708333.3333333336</v>
      </c>
      <c r="AD62" s="9">
        <f t="shared" si="13"/>
        <v>13888.888888888889</v>
      </c>
      <c r="AE62" s="2">
        <f t="shared" ca="1" si="18"/>
        <v>30</v>
      </c>
      <c r="AF62" s="2">
        <f t="shared" ca="1" si="19"/>
        <v>990</v>
      </c>
      <c r="AG62" s="9">
        <f t="shared" ca="1" si="20"/>
        <v>207.8472222222222</v>
      </c>
      <c r="AH62" s="9">
        <f t="shared" ca="1" si="21"/>
        <v>69.451388888888886</v>
      </c>
      <c r="AL62" s="23">
        <f t="shared" si="4"/>
        <v>5261.278260014833</v>
      </c>
      <c r="AM62" s="23">
        <f t="shared" si="26"/>
        <v>5261.278260014833</v>
      </c>
      <c r="AN62" s="23">
        <f t="shared" si="5"/>
        <v>5261.278260014833</v>
      </c>
      <c r="AO62" s="23">
        <v>0</v>
      </c>
      <c r="AP62" s="23">
        <f>E59*((1+$C$23)^3-1)</f>
        <v>16605.144703036178</v>
      </c>
      <c r="AQ62" s="23">
        <v>0</v>
      </c>
      <c r="AR62" s="23">
        <v>0</v>
      </c>
      <c r="AU62" s="23">
        <f t="shared" si="9"/>
        <v>13986.111111111111</v>
      </c>
      <c r="AV62" s="23">
        <f t="shared" si="6"/>
        <v>13986.111111111111</v>
      </c>
      <c r="AW62" s="23">
        <v>0</v>
      </c>
      <c r="AX62" s="23">
        <f>$E$23/($B$17-$B$16)*3</f>
        <v>41958.333333333336</v>
      </c>
      <c r="AY62" s="23">
        <v>0</v>
      </c>
      <c r="AZ62" s="23">
        <v>0</v>
      </c>
      <c r="BB62" s="203">
        <f t="shared" si="10"/>
        <v>1608.4027777777769</v>
      </c>
    </row>
    <row r="63" spans="1:54" x14ac:dyDescent="0.25">
      <c r="A63" s="68">
        <f t="shared" si="0"/>
        <v>40</v>
      </c>
      <c r="B63" s="68" t="str">
        <f t="shared" si="1"/>
        <v>amortização</v>
      </c>
      <c r="C63" s="158">
        <f t="shared" si="11"/>
        <v>5146.9026456666843</v>
      </c>
      <c r="D63" s="158">
        <f t="shared" si="22"/>
        <v>13986.111111111111</v>
      </c>
      <c r="E63" s="157">
        <f t="shared" si="2"/>
        <v>615388.88888888853</v>
      </c>
      <c r="F63" s="158">
        <f t="shared" si="3"/>
        <v>19133.013756777797</v>
      </c>
      <c r="G63" s="160">
        <f t="shared" si="12"/>
        <v>19133.013756777797</v>
      </c>
      <c r="AA63" s="2">
        <f t="shared" si="15"/>
        <v>34</v>
      </c>
      <c r="AB63" s="8">
        <f t="shared" ca="1" si="17"/>
        <v>47260</v>
      </c>
      <c r="AC63" s="9">
        <f t="shared" ca="1" si="24"/>
        <v>694444.44444444473</v>
      </c>
      <c r="AD63" s="9">
        <f t="shared" si="13"/>
        <v>13888.888888888889</v>
      </c>
      <c r="AE63" s="2">
        <f t="shared" ca="1" si="18"/>
        <v>30</v>
      </c>
      <c r="AF63" s="2">
        <f t="shared" ca="1" si="19"/>
        <v>1020</v>
      </c>
      <c r="AG63" s="9">
        <f t="shared" ca="1" si="20"/>
        <v>207.8472222222222</v>
      </c>
      <c r="AH63" s="9">
        <f t="shared" ca="1" si="21"/>
        <v>69.451388888888886</v>
      </c>
      <c r="AL63" s="23">
        <f t="shared" si="4"/>
        <v>5146.9026456666843</v>
      </c>
      <c r="AM63" s="23">
        <f t="shared" si="26"/>
        <v>5146.9026456666843</v>
      </c>
      <c r="AN63" s="23">
        <f t="shared" si="5"/>
        <v>5146.9026456666843</v>
      </c>
      <c r="AO63" s="23">
        <f>E61*((1+$C$23)^2-1)</f>
        <v>10565.582199467295</v>
      </c>
      <c r="AP63" s="23">
        <v>0</v>
      </c>
      <c r="AQ63" s="23">
        <v>0</v>
      </c>
      <c r="AR63" s="23">
        <v>0</v>
      </c>
      <c r="AU63" s="23">
        <f t="shared" si="9"/>
        <v>13986.111111111111</v>
      </c>
      <c r="AV63" s="23">
        <f t="shared" si="6"/>
        <v>13986.111111111111</v>
      </c>
      <c r="AW63" s="23">
        <f>$E$23/($B$17-$B$16)*2</f>
        <v>27972.222222222223</v>
      </c>
      <c r="AX63" s="23">
        <v>0</v>
      </c>
      <c r="AY63" s="23">
        <v>0</v>
      </c>
      <c r="AZ63" s="23">
        <v>0</v>
      </c>
      <c r="BB63" s="203">
        <f t="shared" si="10"/>
        <v>1573.4374999999991</v>
      </c>
    </row>
    <row r="64" spans="1:54" x14ac:dyDescent="0.25">
      <c r="A64" s="68">
        <f t="shared" si="0"/>
        <v>41</v>
      </c>
      <c r="B64" s="68" t="str">
        <f t="shared" si="1"/>
        <v>amortização</v>
      </c>
      <c r="C64" s="158">
        <f t="shared" si="11"/>
        <v>5032.5270313185356</v>
      </c>
      <c r="D64" s="158">
        <f t="shared" si="22"/>
        <v>13986.111111111111</v>
      </c>
      <c r="E64" s="157">
        <f t="shared" si="2"/>
        <v>601402.7777777774</v>
      </c>
      <c r="F64" s="158">
        <f t="shared" si="3"/>
        <v>19018.638142429649</v>
      </c>
      <c r="G64" s="160">
        <f t="shared" si="12"/>
        <v>19018.638142429649</v>
      </c>
      <c r="AA64" s="2">
        <f t="shared" si="15"/>
        <v>35</v>
      </c>
      <c r="AB64" s="8">
        <f t="shared" ca="1" si="17"/>
        <v>47290</v>
      </c>
      <c r="AC64" s="9">
        <f t="shared" ca="1" si="24"/>
        <v>680555.55555555585</v>
      </c>
      <c r="AD64" s="9">
        <f t="shared" si="13"/>
        <v>13888.888888888889</v>
      </c>
      <c r="AE64" s="2">
        <f t="shared" ca="1" si="18"/>
        <v>30</v>
      </c>
      <c r="AF64" s="2">
        <f t="shared" ca="1" si="19"/>
        <v>1050</v>
      </c>
      <c r="AG64" s="9">
        <f t="shared" ca="1" si="20"/>
        <v>207.8472222222222</v>
      </c>
      <c r="AH64" s="9">
        <f t="shared" ca="1" si="21"/>
        <v>69.451388888888886</v>
      </c>
      <c r="AL64" s="23">
        <f t="shared" si="4"/>
        <v>5032.5270313185356</v>
      </c>
      <c r="AM64" s="23">
        <f t="shared" si="26"/>
        <v>5032.5270313185356</v>
      </c>
      <c r="AN64" s="23">
        <f t="shared" si="5"/>
        <v>5032.5270313185356</v>
      </c>
      <c r="AO64" s="23">
        <v>0</v>
      </c>
      <c r="AP64" s="23">
        <v>0</v>
      </c>
      <c r="AQ64" s="23">
        <v>0</v>
      </c>
      <c r="AR64" s="23">
        <v>0</v>
      </c>
      <c r="AU64" s="23">
        <f t="shared" si="9"/>
        <v>13986.111111111111</v>
      </c>
      <c r="AV64" s="23">
        <f t="shared" si="6"/>
        <v>13986.111111111111</v>
      </c>
      <c r="AW64" s="23">
        <v>0</v>
      </c>
      <c r="AX64" s="23">
        <v>0</v>
      </c>
      <c r="AY64" s="23">
        <v>0</v>
      </c>
      <c r="AZ64" s="23">
        <v>0</v>
      </c>
      <c r="BB64" s="203">
        <f t="shared" si="10"/>
        <v>1538.4722222222213</v>
      </c>
    </row>
    <row r="65" spans="1:54" x14ac:dyDescent="0.25">
      <c r="A65" s="68">
        <f t="shared" si="0"/>
        <v>42</v>
      </c>
      <c r="B65" s="68" t="str">
        <f t="shared" si="1"/>
        <v>amortização</v>
      </c>
      <c r="C65" s="158">
        <f t="shared" si="11"/>
        <v>4918.1514169703869</v>
      </c>
      <c r="D65" s="158">
        <f t="shared" si="22"/>
        <v>13986.111111111111</v>
      </c>
      <c r="E65" s="157">
        <f t="shared" si="2"/>
        <v>587416.66666666628</v>
      </c>
      <c r="F65" s="158">
        <f t="shared" si="3"/>
        <v>18904.262528081497</v>
      </c>
      <c r="G65" s="160">
        <f t="shared" si="12"/>
        <v>18904.262528081497</v>
      </c>
      <c r="AA65" s="2">
        <f t="shared" si="15"/>
        <v>36</v>
      </c>
      <c r="AB65" s="8">
        <f t="shared" ca="1" si="17"/>
        <v>47320</v>
      </c>
      <c r="AC65" s="9">
        <f t="shared" ca="1" si="24"/>
        <v>666666.66666666698</v>
      </c>
      <c r="AD65" s="9">
        <f t="shared" si="13"/>
        <v>13888.888888888889</v>
      </c>
      <c r="AE65" s="2">
        <f t="shared" ca="1" si="18"/>
        <v>30</v>
      </c>
      <c r="AF65" s="2">
        <f t="shared" ca="1" si="19"/>
        <v>1080</v>
      </c>
      <c r="AG65" s="9">
        <f t="shared" ca="1" si="20"/>
        <v>207.8472222222222</v>
      </c>
      <c r="AH65" s="9">
        <f t="shared" ca="1" si="21"/>
        <v>69.451388888888886</v>
      </c>
      <c r="AL65" s="23">
        <f t="shared" si="4"/>
        <v>4918.1514169703869</v>
      </c>
      <c r="AM65" s="23">
        <f t="shared" si="26"/>
        <v>4918.1514169703869</v>
      </c>
      <c r="AN65" s="23">
        <f t="shared" si="5"/>
        <v>4918.1514169703869</v>
      </c>
      <c r="AO65" s="23">
        <f>E63*((1+$C$23)^2-1)</f>
        <v>10106.209060360021</v>
      </c>
      <c r="AP65" s="23">
        <f>E62*((1+$C$23)^3-1)</f>
        <v>15567.323159096415</v>
      </c>
      <c r="AQ65" s="23">
        <f t="shared" ref="AQ65" si="28">E59*((1+$C$23)^6-1)</f>
        <v>33621.010603602866</v>
      </c>
      <c r="AR65" s="23">
        <v>0</v>
      </c>
      <c r="AU65" s="23">
        <f t="shared" si="9"/>
        <v>13986.111111111111</v>
      </c>
      <c r="AV65" s="23">
        <f t="shared" si="6"/>
        <v>13986.111111111111</v>
      </c>
      <c r="AW65" s="23">
        <f>$E$23/($B$17-$B$16)*2</f>
        <v>27972.222222222223</v>
      </c>
      <c r="AX65" s="23">
        <f>$E$23/($B$17-$B$16)*3</f>
        <v>41958.333333333336</v>
      </c>
      <c r="AY65" s="23">
        <f>$E$23/($B$17-$B$16)*6</f>
        <v>83916.666666666672</v>
      </c>
      <c r="AZ65" s="23">
        <v>0</v>
      </c>
      <c r="BB65" s="203">
        <f t="shared" si="10"/>
        <v>1503.5069444444434</v>
      </c>
    </row>
    <row r="66" spans="1:54" x14ac:dyDescent="0.25">
      <c r="A66" s="68">
        <f t="shared" si="0"/>
        <v>43</v>
      </c>
      <c r="B66" s="68" t="str">
        <f t="shared" si="1"/>
        <v>amortização</v>
      </c>
      <c r="C66" s="158">
        <f t="shared" si="11"/>
        <v>4803.7758026222382</v>
      </c>
      <c r="D66" s="158">
        <f t="shared" si="22"/>
        <v>13986.111111111111</v>
      </c>
      <c r="E66" s="157">
        <f t="shared" si="2"/>
        <v>573430.55555555515</v>
      </c>
      <c r="F66" s="158">
        <f t="shared" si="3"/>
        <v>18789.88691373335</v>
      </c>
      <c r="G66" s="160">
        <f t="shared" si="12"/>
        <v>18789.88691373335</v>
      </c>
      <c r="AA66" s="2">
        <f t="shared" si="15"/>
        <v>37</v>
      </c>
      <c r="AB66" s="8">
        <f t="shared" ca="1" si="17"/>
        <v>47350</v>
      </c>
      <c r="AC66" s="9">
        <f t="shared" ca="1" si="24"/>
        <v>652777.7777777781</v>
      </c>
      <c r="AD66" s="9">
        <f t="shared" si="13"/>
        <v>13888.888888888889</v>
      </c>
      <c r="AE66" s="2">
        <f t="shared" ca="1" si="18"/>
        <v>30</v>
      </c>
      <c r="AF66" s="2">
        <f t="shared" ca="1" si="19"/>
        <v>1110</v>
      </c>
      <c r="AG66" s="9">
        <f t="shared" ca="1" si="20"/>
        <v>207.8472222222222</v>
      </c>
      <c r="AH66" s="9">
        <f t="shared" ca="1" si="21"/>
        <v>69.451388888888886</v>
      </c>
      <c r="AL66" s="23">
        <f t="shared" si="4"/>
        <v>4803.7758026222382</v>
      </c>
      <c r="AM66" s="23">
        <f t="shared" si="26"/>
        <v>4803.7758026222382</v>
      </c>
      <c r="AN66" s="23">
        <f t="shared" si="5"/>
        <v>4803.7758026222382</v>
      </c>
      <c r="AO66" s="23">
        <v>0</v>
      </c>
      <c r="AP66" s="23">
        <v>0</v>
      </c>
      <c r="AQ66" s="23">
        <v>0</v>
      </c>
      <c r="AR66" s="23">
        <v>0</v>
      </c>
      <c r="AU66" s="23">
        <f t="shared" si="9"/>
        <v>13986.111111111111</v>
      </c>
      <c r="AV66" s="23">
        <f t="shared" si="6"/>
        <v>13986.111111111111</v>
      </c>
      <c r="AW66" s="23">
        <v>0</v>
      </c>
      <c r="AX66" s="23">
        <v>0</v>
      </c>
      <c r="AY66" s="23">
        <v>0</v>
      </c>
      <c r="AZ66" s="23">
        <v>0</v>
      </c>
      <c r="BB66" s="203">
        <f t="shared" si="10"/>
        <v>1468.5416666666658</v>
      </c>
    </row>
    <row r="67" spans="1:54" x14ac:dyDescent="0.25">
      <c r="A67" s="68">
        <f t="shared" si="0"/>
        <v>44</v>
      </c>
      <c r="B67" s="68" t="str">
        <f t="shared" si="1"/>
        <v>amortização</v>
      </c>
      <c r="C67" s="158">
        <f t="shared" si="11"/>
        <v>4689.4001882740895</v>
      </c>
      <c r="D67" s="158">
        <f t="shared" si="22"/>
        <v>13986.111111111111</v>
      </c>
      <c r="E67" s="157">
        <f t="shared" si="2"/>
        <v>559444.44444444403</v>
      </c>
      <c r="F67" s="158">
        <f t="shared" si="3"/>
        <v>18675.511299385202</v>
      </c>
      <c r="G67" s="160">
        <f t="shared" si="12"/>
        <v>18675.511299385202</v>
      </c>
      <c r="AA67" s="2">
        <f t="shared" si="15"/>
        <v>38</v>
      </c>
      <c r="AB67" s="8">
        <f t="shared" ca="1" si="17"/>
        <v>47380</v>
      </c>
      <c r="AC67" s="9">
        <f t="shared" ca="1" si="24"/>
        <v>638888.88888888923</v>
      </c>
      <c r="AD67" s="9">
        <f t="shared" si="13"/>
        <v>13888.888888888889</v>
      </c>
      <c r="AE67" s="2">
        <f t="shared" ca="1" si="18"/>
        <v>30</v>
      </c>
      <c r="AF67" s="2">
        <f t="shared" ca="1" si="19"/>
        <v>1140</v>
      </c>
      <c r="AG67" s="9">
        <f t="shared" ca="1" si="20"/>
        <v>207.8472222222222</v>
      </c>
      <c r="AH67" s="9">
        <f t="shared" ca="1" si="21"/>
        <v>69.451388888888886</v>
      </c>
      <c r="AL67" s="23">
        <f t="shared" si="4"/>
        <v>4689.4001882740895</v>
      </c>
      <c r="AM67" s="23">
        <f t="shared" si="26"/>
        <v>4689.4001882740895</v>
      </c>
      <c r="AN67" s="23">
        <f t="shared" si="5"/>
        <v>4689.4001882740895</v>
      </c>
      <c r="AO67" s="23">
        <f>E65*((1+$C$23)^2-1)</f>
        <v>9646.8359212527466</v>
      </c>
      <c r="AP67" s="23">
        <v>0</v>
      </c>
      <c r="AQ67" s="23">
        <v>0</v>
      </c>
      <c r="AR67" s="23">
        <v>0</v>
      </c>
      <c r="AU67" s="23">
        <f t="shared" si="9"/>
        <v>13986.111111111111</v>
      </c>
      <c r="AV67" s="23">
        <f t="shared" si="6"/>
        <v>13986.111111111111</v>
      </c>
      <c r="AW67" s="23">
        <f>$E$23/($B$17-$B$16)*2</f>
        <v>27972.222222222223</v>
      </c>
      <c r="AX67" s="23">
        <v>0</v>
      </c>
      <c r="AY67" s="23">
        <v>0</v>
      </c>
      <c r="AZ67" s="23">
        <v>0</v>
      </c>
      <c r="BB67" s="203">
        <f t="shared" si="10"/>
        <v>1433.576388888888</v>
      </c>
    </row>
    <row r="68" spans="1:54" x14ac:dyDescent="0.25">
      <c r="A68" s="68">
        <f t="shared" si="0"/>
        <v>45</v>
      </c>
      <c r="B68" s="68" t="str">
        <f t="shared" si="1"/>
        <v>amortização</v>
      </c>
      <c r="C68" s="158">
        <f t="shared" si="11"/>
        <v>4575.0245739259408</v>
      </c>
      <c r="D68" s="158">
        <f t="shared" si="22"/>
        <v>13986.111111111111</v>
      </c>
      <c r="E68" s="157">
        <f t="shared" si="2"/>
        <v>545458.33333333291</v>
      </c>
      <c r="F68" s="158">
        <f t="shared" si="3"/>
        <v>18561.13568503705</v>
      </c>
      <c r="G68" s="160">
        <f t="shared" si="12"/>
        <v>18561.13568503705</v>
      </c>
      <c r="AA68" s="2">
        <f t="shared" si="15"/>
        <v>39</v>
      </c>
      <c r="AB68" s="8">
        <f t="shared" ca="1" si="17"/>
        <v>47410</v>
      </c>
      <c r="AC68" s="9">
        <f t="shared" ca="1" si="24"/>
        <v>625000.00000000035</v>
      </c>
      <c r="AD68" s="9">
        <f t="shared" si="13"/>
        <v>13888.888888888889</v>
      </c>
      <c r="AE68" s="2">
        <f t="shared" ca="1" si="18"/>
        <v>30</v>
      </c>
      <c r="AF68" s="2">
        <f t="shared" ca="1" si="19"/>
        <v>1170</v>
      </c>
      <c r="AG68" s="9">
        <f t="shared" ca="1" si="20"/>
        <v>207.8472222222222</v>
      </c>
      <c r="AH68" s="9">
        <f t="shared" ca="1" si="21"/>
        <v>69.451388888888886</v>
      </c>
      <c r="AL68" s="23">
        <f t="shared" si="4"/>
        <v>4575.0245739259408</v>
      </c>
      <c r="AM68" s="23">
        <f t="shared" si="26"/>
        <v>4575.0245739259408</v>
      </c>
      <c r="AN68" s="23">
        <f t="shared" si="5"/>
        <v>4575.0245739259408</v>
      </c>
      <c r="AO68" s="23">
        <v>0</v>
      </c>
      <c r="AP68" s="23">
        <f>E65*((1+$C$23)^3-1)</f>
        <v>14529.501615156654</v>
      </c>
      <c r="AQ68" s="23">
        <v>0</v>
      </c>
      <c r="AR68" s="23">
        <v>0</v>
      </c>
      <c r="AU68" s="23">
        <f t="shared" si="9"/>
        <v>13986.111111111111</v>
      </c>
      <c r="AV68" s="23">
        <f t="shared" si="6"/>
        <v>13986.111111111111</v>
      </c>
      <c r="AW68" s="23">
        <v>0</v>
      </c>
      <c r="AX68" s="23">
        <f>$E$23/($B$17-$B$16)*3</f>
        <v>41958.333333333336</v>
      </c>
      <c r="AY68" s="23">
        <v>0</v>
      </c>
      <c r="AZ68" s="23">
        <v>0</v>
      </c>
      <c r="BB68" s="203">
        <f t="shared" si="10"/>
        <v>1398.6111111111102</v>
      </c>
    </row>
    <row r="69" spans="1:54" x14ac:dyDescent="0.25">
      <c r="A69" s="68">
        <f t="shared" si="0"/>
        <v>46</v>
      </c>
      <c r="B69" s="68" t="str">
        <f t="shared" si="1"/>
        <v>amortização</v>
      </c>
      <c r="C69" s="158">
        <f t="shared" si="11"/>
        <v>4460.6489595777921</v>
      </c>
      <c r="D69" s="158">
        <f t="shared" si="22"/>
        <v>13986.111111111111</v>
      </c>
      <c r="E69" s="157">
        <f t="shared" si="2"/>
        <v>531472.22222222178</v>
      </c>
      <c r="F69" s="158">
        <f t="shared" si="3"/>
        <v>18446.760070688902</v>
      </c>
      <c r="G69" s="160">
        <f t="shared" si="12"/>
        <v>18446.760070688902</v>
      </c>
      <c r="AA69" s="2">
        <f t="shared" si="15"/>
        <v>40</v>
      </c>
      <c r="AB69" s="8">
        <f t="shared" ca="1" si="17"/>
        <v>47440</v>
      </c>
      <c r="AC69" s="9">
        <f t="shared" ca="1" si="24"/>
        <v>611111.11111111147</v>
      </c>
      <c r="AD69" s="9">
        <f t="shared" si="13"/>
        <v>13888.888888888889</v>
      </c>
      <c r="AE69" s="2">
        <f t="shared" ca="1" si="18"/>
        <v>30</v>
      </c>
      <c r="AF69" s="2">
        <f t="shared" ca="1" si="19"/>
        <v>1200</v>
      </c>
      <c r="AG69" s="9">
        <f t="shared" ca="1" si="20"/>
        <v>207.8472222222222</v>
      </c>
      <c r="AH69" s="9">
        <f t="shared" ca="1" si="21"/>
        <v>69.451388888888886</v>
      </c>
      <c r="AL69" s="23">
        <f t="shared" si="4"/>
        <v>4460.6489595777921</v>
      </c>
      <c r="AM69" s="23">
        <f t="shared" si="26"/>
        <v>4460.6489595777921</v>
      </c>
      <c r="AN69" s="23">
        <f t="shared" si="5"/>
        <v>4460.6489595777921</v>
      </c>
      <c r="AO69" s="23">
        <f>E67*((1+$C$23)^2-1)</f>
        <v>9187.4627821454724</v>
      </c>
      <c r="AP69" s="23">
        <v>0</v>
      </c>
      <c r="AQ69" s="23">
        <v>0</v>
      </c>
      <c r="AR69" s="23">
        <v>0</v>
      </c>
      <c r="AU69" s="23">
        <f t="shared" si="9"/>
        <v>13986.111111111111</v>
      </c>
      <c r="AV69" s="23">
        <f t="shared" si="6"/>
        <v>13986.111111111111</v>
      </c>
      <c r="AW69" s="23">
        <f>$E$23/($B$17-$B$16)*2</f>
        <v>27972.222222222223</v>
      </c>
      <c r="AX69" s="23">
        <v>0</v>
      </c>
      <c r="AY69" s="23">
        <v>0</v>
      </c>
      <c r="AZ69" s="23">
        <v>0</v>
      </c>
      <c r="BB69" s="203">
        <f t="shared" si="10"/>
        <v>1363.6458333333323</v>
      </c>
    </row>
    <row r="70" spans="1:54" x14ac:dyDescent="0.25">
      <c r="A70" s="68">
        <f t="shared" si="0"/>
        <v>47</v>
      </c>
      <c r="B70" s="68" t="str">
        <f t="shared" si="1"/>
        <v>amortização</v>
      </c>
      <c r="C70" s="158">
        <f t="shared" si="11"/>
        <v>4346.2733452296434</v>
      </c>
      <c r="D70" s="158">
        <f t="shared" si="22"/>
        <v>13986.111111111111</v>
      </c>
      <c r="E70" s="157">
        <f t="shared" si="2"/>
        <v>517486.11111111066</v>
      </c>
      <c r="F70" s="158">
        <f t="shared" si="3"/>
        <v>18332.384456340755</v>
      </c>
      <c r="G70" s="160">
        <f t="shared" si="12"/>
        <v>18332.384456340755</v>
      </c>
      <c r="AA70" s="2">
        <f t="shared" si="15"/>
        <v>41</v>
      </c>
      <c r="AB70" s="8">
        <f t="shared" ca="1" si="17"/>
        <v>47470</v>
      </c>
      <c r="AC70" s="9">
        <f t="shared" ca="1" si="24"/>
        <v>597222.2222222226</v>
      </c>
      <c r="AD70" s="9">
        <f t="shared" si="13"/>
        <v>13888.888888888889</v>
      </c>
      <c r="AE70" s="2">
        <f t="shared" ca="1" si="18"/>
        <v>30</v>
      </c>
      <c r="AF70" s="2">
        <f t="shared" ca="1" si="19"/>
        <v>1230</v>
      </c>
      <c r="AG70" s="9">
        <f t="shared" ca="1" si="20"/>
        <v>207.8472222222222</v>
      </c>
      <c r="AH70" s="9">
        <f t="shared" ca="1" si="21"/>
        <v>69.451388888888886</v>
      </c>
      <c r="AL70" s="23">
        <f t="shared" si="4"/>
        <v>4346.2733452296434</v>
      </c>
      <c r="AM70" s="23">
        <f t="shared" si="26"/>
        <v>4346.2733452296434</v>
      </c>
      <c r="AN70" s="23">
        <f t="shared" si="5"/>
        <v>4346.2733452296434</v>
      </c>
      <c r="AO70" s="23">
        <v>0</v>
      </c>
      <c r="AP70" s="23">
        <v>0</v>
      </c>
      <c r="AQ70" s="23">
        <v>0</v>
      </c>
      <c r="AR70" s="23">
        <v>0</v>
      </c>
      <c r="AU70" s="23">
        <f t="shared" si="9"/>
        <v>13986.111111111111</v>
      </c>
      <c r="AV70" s="23">
        <f t="shared" si="6"/>
        <v>13986.111111111111</v>
      </c>
      <c r="AW70" s="23">
        <v>0</v>
      </c>
      <c r="AX70" s="23">
        <v>0</v>
      </c>
      <c r="AY70" s="23">
        <v>0</v>
      </c>
      <c r="AZ70" s="23">
        <v>0</v>
      </c>
      <c r="BB70" s="203">
        <f t="shared" si="10"/>
        <v>1328.6805555555545</v>
      </c>
    </row>
    <row r="71" spans="1:54" x14ac:dyDescent="0.25">
      <c r="A71" s="68">
        <f t="shared" si="0"/>
        <v>48</v>
      </c>
      <c r="B71" s="68" t="str">
        <f t="shared" si="1"/>
        <v>amortização</v>
      </c>
      <c r="C71" s="158">
        <f t="shared" si="11"/>
        <v>4231.8977308814947</v>
      </c>
      <c r="D71" s="158">
        <f t="shared" si="22"/>
        <v>13986.111111111111</v>
      </c>
      <c r="E71" s="157">
        <f t="shared" si="2"/>
        <v>503499.99999999953</v>
      </c>
      <c r="F71" s="158">
        <f t="shared" si="3"/>
        <v>18218.008841992607</v>
      </c>
      <c r="G71" s="160">
        <f t="shared" si="12"/>
        <v>18218.008841992607</v>
      </c>
      <c r="AA71" s="2">
        <f t="shared" si="15"/>
        <v>42</v>
      </c>
      <c r="AB71" s="8">
        <f t="shared" ca="1" si="17"/>
        <v>47500</v>
      </c>
      <c r="AC71" s="9">
        <f t="shared" ca="1" si="24"/>
        <v>583333.33333333372</v>
      </c>
      <c r="AD71" s="9">
        <f t="shared" si="13"/>
        <v>13888.888888888889</v>
      </c>
      <c r="AE71" s="2">
        <f t="shared" ca="1" si="18"/>
        <v>30</v>
      </c>
      <c r="AF71" s="2">
        <f t="shared" ca="1" si="19"/>
        <v>1260</v>
      </c>
      <c r="AG71" s="9">
        <f t="shared" ca="1" si="20"/>
        <v>207.8472222222222</v>
      </c>
      <c r="AH71" s="9">
        <f t="shared" ca="1" si="21"/>
        <v>69.451388888888886</v>
      </c>
      <c r="AL71" s="23">
        <f t="shared" si="4"/>
        <v>4231.8977308814947</v>
      </c>
      <c r="AM71" s="23">
        <f t="shared" si="26"/>
        <v>4231.8977308814947</v>
      </c>
      <c r="AN71" s="23">
        <f t="shared" si="5"/>
        <v>4231.8977308814947</v>
      </c>
      <c r="AO71" s="23">
        <f>E69*((1+$C$23)^2-1)</f>
        <v>8728.0896430381981</v>
      </c>
      <c r="AP71" s="23">
        <f>E68*((1+$C$23)^3-1)</f>
        <v>13491.680071216892</v>
      </c>
      <c r="AQ71" s="23">
        <f>E65*((1+$C$23)^6-1)</f>
        <v>29418.384278152505</v>
      </c>
      <c r="AR71" s="23">
        <f>E59*((1+$C$23)^12-1)</f>
        <v>68925.793333334368</v>
      </c>
      <c r="AU71" s="23">
        <f t="shared" si="9"/>
        <v>13986.111111111111</v>
      </c>
      <c r="AV71" s="23">
        <f t="shared" si="6"/>
        <v>13986.111111111111</v>
      </c>
      <c r="AW71" s="23">
        <f>$E$23/($B$17-$B$16)*2</f>
        <v>27972.222222222223</v>
      </c>
      <c r="AX71" s="23">
        <f>$E$23/($B$17-$B$16)*3</f>
        <v>41958.333333333336</v>
      </c>
      <c r="AY71" s="23">
        <f>$E$23/($B$17-$B$16)*6</f>
        <v>83916.666666666672</v>
      </c>
      <c r="AZ71" s="23">
        <f>$E$23/($B$17-$B$16)*12</f>
        <v>167833.33333333334</v>
      </c>
      <c r="BB71" s="203">
        <f t="shared" si="10"/>
        <v>1293.7152777777767</v>
      </c>
    </row>
    <row r="72" spans="1:54" x14ac:dyDescent="0.25">
      <c r="A72" s="68">
        <f t="shared" si="0"/>
        <v>49</v>
      </c>
      <c r="B72" s="68" t="str">
        <f t="shared" si="1"/>
        <v>amortização</v>
      </c>
      <c r="C72" s="158">
        <f t="shared" si="11"/>
        <v>4117.522116533346</v>
      </c>
      <c r="D72" s="158">
        <f t="shared" si="22"/>
        <v>13986.111111111111</v>
      </c>
      <c r="E72" s="157">
        <f t="shared" si="2"/>
        <v>489513.88888888841</v>
      </c>
      <c r="F72" s="158">
        <f t="shared" si="3"/>
        <v>18103.633227644459</v>
      </c>
      <c r="G72" s="160">
        <f t="shared" si="12"/>
        <v>18103.633227644459</v>
      </c>
      <c r="AA72" s="2">
        <f t="shared" si="15"/>
        <v>43</v>
      </c>
      <c r="AB72" s="8">
        <f t="shared" ca="1" si="17"/>
        <v>47530</v>
      </c>
      <c r="AC72" s="9">
        <f t="shared" ca="1" si="24"/>
        <v>569444.44444444485</v>
      </c>
      <c r="AD72" s="9">
        <f t="shared" si="13"/>
        <v>13888.888888888889</v>
      </c>
      <c r="AE72" s="2">
        <f t="shared" ca="1" si="18"/>
        <v>30</v>
      </c>
      <c r="AF72" s="2">
        <f t="shared" ca="1" si="19"/>
        <v>1290</v>
      </c>
      <c r="AG72" s="9">
        <f t="shared" ca="1" si="20"/>
        <v>207.8472222222222</v>
      </c>
      <c r="AH72" s="9">
        <f t="shared" ca="1" si="21"/>
        <v>69.451388888888886</v>
      </c>
      <c r="AL72" s="23">
        <f t="shared" si="4"/>
        <v>4117.522116533346</v>
      </c>
      <c r="AM72" s="23">
        <f t="shared" si="26"/>
        <v>4117.522116533346</v>
      </c>
      <c r="AN72" s="23">
        <f t="shared" si="5"/>
        <v>4117.522116533346</v>
      </c>
      <c r="AO72" s="23">
        <v>0</v>
      </c>
      <c r="AP72" s="23">
        <v>0</v>
      </c>
      <c r="AQ72" s="23">
        <v>0</v>
      </c>
      <c r="AR72" s="23">
        <v>0</v>
      </c>
      <c r="AU72" s="23">
        <f t="shared" si="9"/>
        <v>13986.111111111111</v>
      </c>
      <c r="AV72" s="23">
        <f t="shared" si="6"/>
        <v>13986.111111111111</v>
      </c>
      <c r="AW72" s="23">
        <v>0</v>
      </c>
      <c r="AX72" s="23">
        <v>0</v>
      </c>
      <c r="AY72" s="23">
        <v>0</v>
      </c>
      <c r="AZ72" s="23">
        <v>0</v>
      </c>
      <c r="BB72" s="203">
        <f t="shared" si="10"/>
        <v>1258.7499999999989</v>
      </c>
    </row>
    <row r="73" spans="1:54" x14ac:dyDescent="0.25">
      <c r="A73" s="68">
        <f t="shared" si="0"/>
        <v>50</v>
      </c>
      <c r="B73" s="68" t="str">
        <f t="shared" si="1"/>
        <v>amortização</v>
      </c>
      <c r="C73" s="158">
        <f t="shared" si="11"/>
        <v>4003.1465021851973</v>
      </c>
      <c r="D73" s="158">
        <f t="shared" si="22"/>
        <v>13986.111111111111</v>
      </c>
      <c r="E73" s="157">
        <f t="shared" si="2"/>
        <v>475527.77777777729</v>
      </c>
      <c r="F73" s="158">
        <f t="shared" si="3"/>
        <v>17989.257613296308</v>
      </c>
      <c r="G73" s="160">
        <f t="shared" si="12"/>
        <v>17989.257613296308</v>
      </c>
      <c r="AA73" s="2">
        <f t="shared" si="15"/>
        <v>44</v>
      </c>
      <c r="AB73" s="8">
        <f t="shared" ca="1" si="17"/>
        <v>47560</v>
      </c>
      <c r="AC73" s="9">
        <f t="shared" ca="1" si="24"/>
        <v>555555.55555555597</v>
      </c>
      <c r="AD73" s="9">
        <f t="shared" si="13"/>
        <v>13888.888888888889</v>
      </c>
      <c r="AE73" s="2">
        <f t="shared" ca="1" si="18"/>
        <v>30</v>
      </c>
      <c r="AF73" s="2">
        <f t="shared" ca="1" si="19"/>
        <v>1320</v>
      </c>
      <c r="AG73" s="9">
        <f t="shared" ca="1" si="20"/>
        <v>207.8472222222222</v>
      </c>
      <c r="AH73" s="9">
        <f t="shared" ca="1" si="21"/>
        <v>69.451388888888886</v>
      </c>
      <c r="AL73" s="23">
        <f t="shared" si="4"/>
        <v>4003.1465021851973</v>
      </c>
      <c r="AM73" s="23">
        <f t="shared" si="26"/>
        <v>4003.1465021851973</v>
      </c>
      <c r="AN73" s="23">
        <f t="shared" si="5"/>
        <v>4003.1465021851973</v>
      </c>
      <c r="AO73" s="23">
        <f>E71*((1+$C$23)^2-1)</f>
        <v>8268.7165039309239</v>
      </c>
      <c r="AP73" s="23">
        <v>0</v>
      </c>
      <c r="AQ73" s="23">
        <v>0</v>
      </c>
      <c r="AR73" s="23">
        <v>0</v>
      </c>
      <c r="AU73" s="23">
        <f t="shared" si="9"/>
        <v>13986.111111111111</v>
      </c>
      <c r="AV73" s="23">
        <f t="shared" si="6"/>
        <v>13986.111111111111</v>
      </c>
      <c r="AW73" s="23">
        <f>$E$23/($B$17-$B$16)*2</f>
        <v>27972.222222222223</v>
      </c>
      <c r="AX73" s="23">
        <v>0</v>
      </c>
      <c r="AY73" s="23">
        <v>0</v>
      </c>
      <c r="AZ73" s="23">
        <v>0</v>
      </c>
      <c r="BB73" s="203">
        <f t="shared" si="10"/>
        <v>1223.784722222221</v>
      </c>
    </row>
    <row r="74" spans="1:54" x14ac:dyDescent="0.25">
      <c r="A74" s="68">
        <f t="shared" si="0"/>
        <v>51</v>
      </c>
      <c r="B74" s="68" t="str">
        <f t="shared" si="1"/>
        <v>amortização</v>
      </c>
      <c r="C74" s="158">
        <f t="shared" si="11"/>
        <v>3888.7708878370486</v>
      </c>
      <c r="D74" s="158">
        <f t="shared" si="22"/>
        <v>13986.111111111111</v>
      </c>
      <c r="E74" s="157">
        <f t="shared" si="2"/>
        <v>461541.66666666616</v>
      </c>
      <c r="F74" s="158">
        <f t="shared" si="3"/>
        <v>17874.88199894816</v>
      </c>
      <c r="G74" s="160">
        <f t="shared" si="12"/>
        <v>17874.88199894816</v>
      </c>
      <c r="AA74" s="2">
        <f t="shared" si="15"/>
        <v>45</v>
      </c>
      <c r="AB74" s="8">
        <f t="shared" ca="1" si="17"/>
        <v>47590</v>
      </c>
      <c r="AC74" s="9">
        <f t="shared" ca="1" si="24"/>
        <v>541666.66666666709</v>
      </c>
      <c r="AD74" s="9">
        <f t="shared" si="13"/>
        <v>13888.888888888889</v>
      </c>
      <c r="AE74" s="2">
        <f t="shared" ca="1" si="18"/>
        <v>30</v>
      </c>
      <c r="AF74" s="2">
        <f t="shared" ca="1" si="19"/>
        <v>1350</v>
      </c>
      <c r="AG74" s="9">
        <f t="shared" ca="1" si="20"/>
        <v>207.8472222222222</v>
      </c>
      <c r="AH74" s="9">
        <f t="shared" ca="1" si="21"/>
        <v>69.451388888888886</v>
      </c>
      <c r="AL74" s="23">
        <f t="shared" si="4"/>
        <v>3888.7708878370486</v>
      </c>
      <c r="AM74" s="23">
        <f t="shared" si="26"/>
        <v>3888.7708878370486</v>
      </c>
      <c r="AN74" s="23">
        <f t="shared" si="5"/>
        <v>3888.7708878370486</v>
      </c>
      <c r="AO74" s="23">
        <v>0</v>
      </c>
      <c r="AP74" s="23">
        <f>E71*((1+$C$23)^3-1)</f>
        <v>12453.858527277129</v>
      </c>
      <c r="AQ74" s="23">
        <v>0</v>
      </c>
      <c r="AR74" s="23">
        <v>0</v>
      </c>
      <c r="AU74" s="23">
        <f t="shared" si="9"/>
        <v>13986.111111111111</v>
      </c>
      <c r="AV74" s="23">
        <f t="shared" si="6"/>
        <v>13986.111111111111</v>
      </c>
      <c r="AW74" s="23">
        <v>0</v>
      </c>
      <c r="AX74" s="23">
        <f>$E$23/($B$17-$B$16)*3</f>
        <v>41958.333333333336</v>
      </c>
      <c r="AY74" s="23">
        <v>0</v>
      </c>
      <c r="AZ74" s="23">
        <v>0</v>
      </c>
      <c r="BB74" s="203">
        <f t="shared" si="10"/>
        <v>1188.8194444444432</v>
      </c>
    </row>
    <row r="75" spans="1:54" x14ac:dyDescent="0.25">
      <c r="A75" s="68">
        <f t="shared" si="0"/>
        <v>52</v>
      </c>
      <c r="B75" s="68" t="str">
        <f t="shared" si="1"/>
        <v>amortização</v>
      </c>
      <c r="C75" s="158">
        <f t="shared" si="11"/>
        <v>3774.3952734888999</v>
      </c>
      <c r="D75" s="158">
        <f t="shared" si="22"/>
        <v>13986.111111111111</v>
      </c>
      <c r="E75" s="157">
        <f t="shared" si="2"/>
        <v>447555.55555555504</v>
      </c>
      <c r="F75" s="158">
        <f t="shared" si="3"/>
        <v>17760.506384600012</v>
      </c>
      <c r="G75" s="160">
        <f t="shared" si="12"/>
        <v>17760.506384600012</v>
      </c>
      <c r="AA75" s="2">
        <f t="shared" si="15"/>
        <v>46</v>
      </c>
      <c r="AB75" s="8">
        <f t="shared" ca="1" si="17"/>
        <v>47620</v>
      </c>
      <c r="AC75" s="9">
        <f t="shared" ref="AC75:AC106" ca="1" si="29">IF(AB75="","",IF(AA75&lt;=B$16,AC74,AC74-AD75))</f>
        <v>527777.77777777822</v>
      </c>
      <c r="AD75" s="9">
        <f t="shared" si="13"/>
        <v>13888.888888888889</v>
      </c>
      <c r="AE75" s="2">
        <f t="shared" ca="1" si="18"/>
        <v>30</v>
      </c>
      <c r="AF75" s="2">
        <f t="shared" ca="1" si="19"/>
        <v>1380</v>
      </c>
      <c r="AG75" s="9">
        <f t="shared" ca="1" si="20"/>
        <v>207.8472222222222</v>
      </c>
      <c r="AH75" s="9">
        <f t="shared" ca="1" si="21"/>
        <v>69.451388888888886</v>
      </c>
      <c r="AL75" s="23">
        <f t="shared" si="4"/>
        <v>3774.3952734888999</v>
      </c>
      <c r="AM75" s="23">
        <f t="shared" si="26"/>
        <v>3774.3952734888999</v>
      </c>
      <c r="AN75" s="23">
        <f t="shared" si="5"/>
        <v>3774.3952734888999</v>
      </c>
      <c r="AO75" s="23">
        <f>E73*((1+$C$23)^2-1)</f>
        <v>7809.3433648236487</v>
      </c>
      <c r="AP75" s="23">
        <v>0</v>
      </c>
      <c r="AQ75" s="23">
        <v>0</v>
      </c>
      <c r="AR75" s="23">
        <v>0</v>
      </c>
      <c r="AU75" s="23">
        <f t="shared" si="9"/>
        <v>13986.111111111111</v>
      </c>
      <c r="AV75" s="23">
        <f t="shared" si="6"/>
        <v>13986.111111111111</v>
      </c>
      <c r="AW75" s="23">
        <f>$E$23/($B$17-$B$16)*2</f>
        <v>27972.222222222223</v>
      </c>
      <c r="AX75" s="23">
        <v>0</v>
      </c>
      <c r="AY75" s="23">
        <v>0</v>
      </c>
      <c r="AZ75" s="23">
        <v>0</v>
      </c>
      <c r="BB75" s="203">
        <f t="shared" si="10"/>
        <v>1153.8541666666654</v>
      </c>
    </row>
    <row r="76" spans="1:54" x14ac:dyDescent="0.25">
      <c r="A76" s="68">
        <f t="shared" si="0"/>
        <v>53</v>
      </c>
      <c r="B76" s="68" t="str">
        <f t="shared" si="1"/>
        <v>amortização</v>
      </c>
      <c r="C76" s="158">
        <f t="shared" si="11"/>
        <v>3660.0196591407512</v>
      </c>
      <c r="D76" s="158">
        <f t="shared" si="22"/>
        <v>13986.111111111111</v>
      </c>
      <c r="E76" s="157">
        <f t="shared" si="2"/>
        <v>433569.44444444391</v>
      </c>
      <c r="F76" s="158">
        <f t="shared" si="3"/>
        <v>17646.130770251861</v>
      </c>
      <c r="G76" s="160">
        <f t="shared" si="12"/>
        <v>17646.130770251861</v>
      </c>
      <c r="AA76" s="2">
        <f t="shared" si="15"/>
        <v>47</v>
      </c>
      <c r="AB76" s="8">
        <f t="shared" ca="1" si="17"/>
        <v>47650</v>
      </c>
      <c r="AC76" s="9">
        <f t="shared" ca="1" si="29"/>
        <v>513888.88888888934</v>
      </c>
      <c r="AD76" s="9">
        <f t="shared" si="13"/>
        <v>13888.888888888889</v>
      </c>
      <c r="AE76" s="2">
        <f t="shared" ca="1" si="18"/>
        <v>30</v>
      </c>
      <c r="AF76" s="2">
        <f t="shared" ca="1" si="19"/>
        <v>1410</v>
      </c>
      <c r="AG76" s="9">
        <f t="shared" ca="1" si="20"/>
        <v>207.8472222222222</v>
      </c>
      <c r="AH76" s="9">
        <f t="shared" ca="1" si="21"/>
        <v>69.451388888888886</v>
      </c>
      <c r="AL76" s="23">
        <f t="shared" si="4"/>
        <v>3660.0196591407512</v>
      </c>
      <c r="AM76" s="23">
        <f t="shared" si="26"/>
        <v>3660.0196591407512</v>
      </c>
      <c r="AN76" s="23">
        <f t="shared" si="5"/>
        <v>3660.0196591407512</v>
      </c>
      <c r="AO76" s="23">
        <v>0</v>
      </c>
      <c r="AP76" s="23">
        <v>0</v>
      </c>
      <c r="AQ76" s="23">
        <v>0</v>
      </c>
      <c r="AR76" s="23">
        <v>0</v>
      </c>
      <c r="AU76" s="23">
        <f t="shared" si="9"/>
        <v>13986.111111111111</v>
      </c>
      <c r="AV76" s="23">
        <f t="shared" si="6"/>
        <v>13986.111111111111</v>
      </c>
      <c r="AW76" s="23">
        <v>0</v>
      </c>
      <c r="AX76" s="23">
        <v>0</v>
      </c>
      <c r="AY76" s="23">
        <v>0</v>
      </c>
      <c r="AZ76" s="23">
        <v>0</v>
      </c>
      <c r="BB76" s="203">
        <f t="shared" si="10"/>
        <v>1118.8888888888875</v>
      </c>
    </row>
    <row r="77" spans="1:54" x14ac:dyDescent="0.25">
      <c r="A77" s="68">
        <f t="shared" si="0"/>
        <v>54</v>
      </c>
      <c r="B77" s="68" t="str">
        <f t="shared" si="1"/>
        <v>amortização</v>
      </c>
      <c r="C77" s="158">
        <f t="shared" si="11"/>
        <v>3545.6440447926025</v>
      </c>
      <c r="D77" s="158">
        <f t="shared" si="22"/>
        <v>13986.111111111111</v>
      </c>
      <c r="E77" s="157">
        <f t="shared" si="2"/>
        <v>419583.33333333279</v>
      </c>
      <c r="F77" s="158">
        <f t="shared" si="3"/>
        <v>17531.755155903713</v>
      </c>
      <c r="G77" s="160">
        <f t="shared" si="12"/>
        <v>17531.755155903713</v>
      </c>
      <c r="AA77" s="2">
        <f t="shared" si="15"/>
        <v>48</v>
      </c>
      <c r="AB77" s="8">
        <f t="shared" ca="1" si="17"/>
        <v>47680</v>
      </c>
      <c r="AC77" s="9">
        <f t="shared" ca="1" si="29"/>
        <v>500000.00000000047</v>
      </c>
      <c r="AD77" s="9">
        <f t="shared" si="13"/>
        <v>13888.888888888889</v>
      </c>
      <c r="AE77" s="2">
        <f t="shared" ca="1" si="18"/>
        <v>30</v>
      </c>
      <c r="AF77" s="2">
        <f t="shared" ca="1" si="19"/>
        <v>1440</v>
      </c>
      <c r="AG77" s="9">
        <f t="shared" ca="1" si="20"/>
        <v>207.8472222222222</v>
      </c>
      <c r="AH77" s="9">
        <f t="shared" ca="1" si="21"/>
        <v>69.451388888888886</v>
      </c>
      <c r="AL77" s="23">
        <f t="shared" si="4"/>
        <v>3545.6440447926025</v>
      </c>
      <c r="AM77" s="23">
        <f t="shared" si="26"/>
        <v>3545.6440447926025</v>
      </c>
      <c r="AN77" s="23">
        <f t="shared" si="5"/>
        <v>3545.6440447926025</v>
      </c>
      <c r="AO77" s="23">
        <f>E75*((1+$C$23)^2-1)</f>
        <v>7349.9702257163744</v>
      </c>
      <c r="AP77" s="23">
        <f>E74*((1+$C$23)^3-1)</f>
        <v>11416.036983337366</v>
      </c>
      <c r="AQ77" s="23">
        <f t="shared" ref="AQ77" si="30">E71*((1+$C$23)^6-1)</f>
        <v>25215.757952702141</v>
      </c>
      <c r="AR77" s="23">
        <v>0</v>
      </c>
      <c r="AU77" s="23">
        <f t="shared" si="9"/>
        <v>13986.111111111111</v>
      </c>
      <c r="AV77" s="23">
        <f t="shared" si="6"/>
        <v>13986.111111111111</v>
      </c>
      <c r="AW77" s="23">
        <f>$E$23/($B$17-$B$16)*2</f>
        <v>27972.222222222223</v>
      </c>
      <c r="AX77" s="23">
        <f>$E$23/($B$17-$B$16)*3</f>
        <v>41958.333333333336</v>
      </c>
      <c r="AY77" s="23">
        <f>$E$23/($B$17-$B$16)*6</f>
        <v>83916.666666666672</v>
      </c>
      <c r="AZ77" s="23">
        <v>0</v>
      </c>
      <c r="BB77" s="203">
        <f t="shared" si="10"/>
        <v>1083.9236111111097</v>
      </c>
    </row>
    <row r="78" spans="1:54" x14ac:dyDescent="0.25">
      <c r="A78" s="68">
        <f t="shared" si="0"/>
        <v>55</v>
      </c>
      <c r="B78" s="68" t="str">
        <f t="shared" si="1"/>
        <v>amortização</v>
      </c>
      <c r="C78" s="158">
        <f t="shared" si="11"/>
        <v>3431.2684304444538</v>
      </c>
      <c r="D78" s="158">
        <f t="shared" si="22"/>
        <v>13986.111111111111</v>
      </c>
      <c r="E78" s="157">
        <f t="shared" si="2"/>
        <v>405597.22222222167</v>
      </c>
      <c r="F78" s="158">
        <f t="shared" si="3"/>
        <v>17417.379541555565</v>
      </c>
      <c r="G78" s="160">
        <f t="shared" si="12"/>
        <v>17417.379541555565</v>
      </c>
      <c r="AA78" s="2">
        <f t="shared" si="15"/>
        <v>49</v>
      </c>
      <c r="AC78" s="9" t="str">
        <f t="shared" si="29"/>
        <v/>
      </c>
      <c r="AD78" s="9">
        <f t="shared" si="13"/>
        <v>13888.888888888889</v>
      </c>
      <c r="AF78" s="2" t="str">
        <f t="shared" si="19"/>
        <v/>
      </c>
      <c r="AG78" s="9" t="str">
        <f t="shared" si="20"/>
        <v/>
      </c>
      <c r="AH78" s="9" t="str">
        <f t="shared" si="21"/>
        <v/>
      </c>
      <c r="AL78" s="23">
        <f t="shared" si="4"/>
        <v>3431.2684304444538</v>
      </c>
      <c r="AM78" s="23">
        <f>IF($AN$17=1,AN78,IF($AN$17=2,AO78,IF($AN$17=3,AP78,IF($AN$17=4,AQ78,IF($AN$17=5,AR78)))))</f>
        <v>3431.2684304444538</v>
      </c>
      <c r="AN78" s="23">
        <f t="shared" si="5"/>
        <v>3431.2684304444538</v>
      </c>
      <c r="AO78" s="23">
        <v>0</v>
      </c>
      <c r="AP78" s="23">
        <v>0</v>
      </c>
      <c r="AQ78" s="23">
        <v>0</v>
      </c>
      <c r="AR78" s="23">
        <v>0</v>
      </c>
      <c r="AU78" s="23">
        <f t="shared" si="9"/>
        <v>13986.111111111111</v>
      </c>
      <c r="AV78" s="23">
        <f t="shared" si="6"/>
        <v>13986.111111111111</v>
      </c>
      <c r="AW78" s="23">
        <v>0</v>
      </c>
      <c r="AX78" s="23">
        <v>0</v>
      </c>
      <c r="AY78" s="23">
        <v>0</v>
      </c>
      <c r="AZ78" s="23">
        <v>0</v>
      </c>
      <c r="BB78" s="203">
        <f t="shared" si="10"/>
        <v>1048.9583333333319</v>
      </c>
    </row>
    <row r="79" spans="1:54" x14ac:dyDescent="0.25">
      <c r="A79" s="68">
        <f t="shared" si="0"/>
        <v>56</v>
      </c>
      <c r="B79" s="68" t="str">
        <f t="shared" si="1"/>
        <v>amortização</v>
      </c>
      <c r="C79" s="158">
        <f t="shared" si="11"/>
        <v>3316.8928160963051</v>
      </c>
      <c r="D79" s="158">
        <f t="shared" si="22"/>
        <v>13986.111111111111</v>
      </c>
      <c r="E79" s="157">
        <f t="shared" si="2"/>
        <v>391611.11111111054</v>
      </c>
      <c r="F79" s="158">
        <f t="shared" si="3"/>
        <v>17303.003927207417</v>
      </c>
      <c r="G79" s="160">
        <f t="shared" si="12"/>
        <v>17303.003927207417</v>
      </c>
      <c r="AA79" s="2">
        <f t="shared" si="15"/>
        <v>50</v>
      </c>
      <c r="AC79" s="9" t="str">
        <f t="shared" si="29"/>
        <v/>
      </c>
      <c r="AD79" s="9">
        <f t="shared" si="13"/>
        <v>13888.888888888889</v>
      </c>
      <c r="AF79" s="2" t="str">
        <f t="shared" si="19"/>
        <v/>
      </c>
      <c r="AG79" s="9" t="str">
        <f t="shared" si="20"/>
        <v/>
      </c>
      <c r="AH79" s="9" t="str">
        <f t="shared" si="21"/>
        <v/>
      </c>
      <c r="AL79" s="23">
        <f t="shared" si="4"/>
        <v>3316.8928160963051</v>
      </c>
      <c r="AM79" s="23">
        <f t="shared" ref="AM79:AM104" si="31">IF($AN$17=1,AN79,IF($AN$17=2,AO79,IF($AN$17=3,AP79,IF($AN$17=4,AQ79,IF($AN$17=5,AR79)))))</f>
        <v>3316.8928160963051</v>
      </c>
      <c r="AN79" s="23">
        <f t="shared" si="5"/>
        <v>3316.8928160963051</v>
      </c>
      <c r="AO79" s="23">
        <f>E77*((1+$C$23)^2-1)</f>
        <v>6890.5970866091002</v>
      </c>
      <c r="AP79" s="23">
        <v>0</v>
      </c>
      <c r="AQ79" s="23">
        <v>0</v>
      </c>
      <c r="AR79" s="23">
        <v>0</v>
      </c>
      <c r="AU79" s="23">
        <f t="shared" si="9"/>
        <v>13986.111111111111</v>
      </c>
      <c r="AV79" s="23">
        <f t="shared" si="6"/>
        <v>13986.111111111111</v>
      </c>
      <c r="AW79" s="23">
        <f>$E$23/($B$17-$B$16)*2</f>
        <v>27972.222222222223</v>
      </c>
      <c r="AX79" s="23">
        <v>0</v>
      </c>
      <c r="AY79" s="23">
        <v>0</v>
      </c>
      <c r="AZ79" s="23">
        <v>0</v>
      </c>
      <c r="BB79" s="203">
        <f t="shared" si="10"/>
        <v>1013.9930555555542</v>
      </c>
    </row>
    <row r="80" spans="1:54" x14ac:dyDescent="0.25">
      <c r="A80" s="68">
        <f t="shared" si="0"/>
        <v>57</v>
      </c>
      <c r="B80" s="68" t="str">
        <f t="shared" si="1"/>
        <v>amortização</v>
      </c>
      <c r="C80" s="158">
        <f t="shared" si="11"/>
        <v>3202.5172017481564</v>
      </c>
      <c r="D80" s="158">
        <f t="shared" si="22"/>
        <v>13986.111111111111</v>
      </c>
      <c r="E80" s="157">
        <f t="shared" si="2"/>
        <v>377624.99999999942</v>
      </c>
      <c r="F80" s="158">
        <f t="shared" si="3"/>
        <v>17188.628312859269</v>
      </c>
      <c r="G80" s="160">
        <f t="shared" si="12"/>
        <v>17188.628312859269</v>
      </c>
      <c r="AA80" s="2">
        <f t="shared" si="15"/>
        <v>51</v>
      </c>
      <c r="AC80" s="9" t="str">
        <f t="shared" si="29"/>
        <v/>
      </c>
      <c r="AD80" s="9">
        <f t="shared" si="13"/>
        <v>13888.888888888889</v>
      </c>
      <c r="AF80" s="2" t="str">
        <f t="shared" si="19"/>
        <v/>
      </c>
      <c r="AG80" s="9" t="str">
        <f t="shared" si="20"/>
        <v/>
      </c>
      <c r="AH80" s="9" t="str">
        <f t="shared" si="21"/>
        <v/>
      </c>
      <c r="AL80" s="23">
        <f t="shared" si="4"/>
        <v>3202.5172017481564</v>
      </c>
      <c r="AM80" s="23">
        <f t="shared" si="31"/>
        <v>3202.5172017481564</v>
      </c>
      <c r="AN80" s="23">
        <f t="shared" si="5"/>
        <v>3202.5172017481564</v>
      </c>
      <c r="AO80" s="23">
        <v>0</v>
      </c>
      <c r="AP80" s="23">
        <f>E77*((1+$C$23)^3-1)</f>
        <v>10378.215439397603</v>
      </c>
      <c r="AQ80" s="23">
        <v>0</v>
      </c>
      <c r="AR80" s="23">
        <v>0</v>
      </c>
      <c r="AU80" s="23">
        <f t="shared" si="9"/>
        <v>13986.111111111111</v>
      </c>
      <c r="AV80" s="23">
        <f t="shared" si="6"/>
        <v>13986.111111111111</v>
      </c>
      <c r="AW80" s="23">
        <v>0</v>
      </c>
      <c r="AX80" s="23">
        <f>$E$23/($B$17-$B$16)*3</f>
        <v>41958.333333333336</v>
      </c>
      <c r="AY80" s="23">
        <v>0</v>
      </c>
      <c r="AZ80" s="23">
        <v>0</v>
      </c>
      <c r="BB80" s="203">
        <f t="shared" si="10"/>
        <v>979.02777777777635</v>
      </c>
    </row>
    <row r="81" spans="1:54" x14ac:dyDescent="0.25">
      <c r="A81" s="68">
        <f t="shared" si="0"/>
        <v>58</v>
      </c>
      <c r="B81" s="68" t="str">
        <f t="shared" si="1"/>
        <v>amortização</v>
      </c>
      <c r="C81" s="158">
        <f t="shared" si="11"/>
        <v>3088.1415874000077</v>
      </c>
      <c r="D81" s="158">
        <f t="shared" si="22"/>
        <v>13986.111111111111</v>
      </c>
      <c r="E81" s="157">
        <f t="shared" si="2"/>
        <v>363638.88888888829</v>
      </c>
      <c r="F81" s="158">
        <f t="shared" si="3"/>
        <v>17074.252698511118</v>
      </c>
      <c r="G81" s="160">
        <f t="shared" si="12"/>
        <v>17074.252698511118</v>
      </c>
      <c r="AA81" s="2">
        <f t="shared" si="15"/>
        <v>52</v>
      </c>
      <c r="AC81" s="9" t="str">
        <f t="shared" si="29"/>
        <v/>
      </c>
      <c r="AD81" s="9">
        <f t="shared" si="13"/>
        <v>13888.888888888889</v>
      </c>
      <c r="AF81" s="2" t="str">
        <f t="shared" si="19"/>
        <v/>
      </c>
      <c r="AG81" s="9" t="str">
        <f t="shared" si="20"/>
        <v/>
      </c>
      <c r="AH81" s="9" t="str">
        <f t="shared" si="21"/>
        <v/>
      </c>
      <c r="AL81" s="23">
        <f t="shared" si="4"/>
        <v>3088.1415874000077</v>
      </c>
      <c r="AM81" s="23">
        <f t="shared" si="31"/>
        <v>3088.1415874000077</v>
      </c>
      <c r="AN81" s="23">
        <f t="shared" si="5"/>
        <v>3088.1415874000077</v>
      </c>
      <c r="AO81" s="23">
        <f>E79*((1+$C$23)^2-1)</f>
        <v>6431.2239475018259</v>
      </c>
      <c r="AP81" s="23">
        <v>0</v>
      </c>
      <c r="AQ81" s="23">
        <v>0</v>
      </c>
      <c r="AR81" s="23">
        <v>0</v>
      </c>
      <c r="AU81" s="23">
        <f t="shared" si="9"/>
        <v>13986.111111111111</v>
      </c>
      <c r="AV81" s="23">
        <f t="shared" si="6"/>
        <v>13986.111111111111</v>
      </c>
      <c r="AW81" s="23">
        <f>$E$23/($B$17-$B$16)*2</f>
        <v>27972.222222222223</v>
      </c>
      <c r="AX81" s="23">
        <v>0</v>
      </c>
      <c r="AY81" s="23">
        <v>0</v>
      </c>
      <c r="AZ81" s="23">
        <v>0</v>
      </c>
      <c r="BB81" s="203">
        <f t="shared" si="10"/>
        <v>944.06249999999852</v>
      </c>
    </row>
    <row r="82" spans="1:54" x14ac:dyDescent="0.25">
      <c r="A82" s="68">
        <f t="shared" si="0"/>
        <v>59</v>
      </c>
      <c r="B82" s="68" t="str">
        <f t="shared" si="1"/>
        <v>amortização</v>
      </c>
      <c r="C82" s="158">
        <f t="shared" si="11"/>
        <v>2973.765973051859</v>
      </c>
      <c r="D82" s="158">
        <f t="shared" si="22"/>
        <v>13986.111111111111</v>
      </c>
      <c r="E82" s="157">
        <f t="shared" si="2"/>
        <v>349652.77777777717</v>
      </c>
      <c r="F82" s="158">
        <f t="shared" si="3"/>
        <v>16959.87708416297</v>
      </c>
      <c r="G82" s="160">
        <f t="shared" si="12"/>
        <v>16959.87708416297</v>
      </c>
      <c r="AA82" s="2">
        <f t="shared" si="15"/>
        <v>53</v>
      </c>
      <c r="AC82" s="9" t="str">
        <f t="shared" si="29"/>
        <v/>
      </c>
      <c r="AD82" s="9">
        <f t="shared" si="13"/>
        <v>13888.888888888889</v>
      </c>
      <c r="AF82" s="2" t="str">
        <f t="shared" si="19"/>
        <v/>
      </c>
      <c r="AG82" s="9" t="str">
        <f t="shared" si="20"/>
        <v/>
      </c>
      <c r="AH82" s="9" t="str">
        <f t="shared" si="21"/>
        <v/>
      </c>
      <c r="AL82" s="23">
        <f t="shared" si="4"/>
        <v>2973.765973051859</v>
      </c>
      <c r="AM82" s="23">
        <f t="shared" si="31"/>
        <v>2973.765973051859</v>
      </c>
      <c r="AN82" s="23">
        <f t="shared" si="5"/>
        <v>2973.765973051859</v>
      </c>
      <c r="AO82" s="23">
        <v>0</v>
      </c>
      <c r="AP82" s="23">
        <v>0</v>
      </c>
      <c r="AQ82" s="23">
        <v>0</v>
      </c>
      <c r="AR82" s="23">
        <v>0</v>
      </c>
      <c r="AU82" s="23">
        <f t="shared" si="9"/>
        <v>13986.111111111111</v>
      </c>
      <c r="AV82" s="23">
        <f t="shared" si="6"/>
        <v>13986.111111111111</v>
      </c>
      <c r="AW82" s="23">
        <v>0</v>
      </c>
      <c r="AX82" s="23">
        <v>0</v>
      </c>
      <c r="AY82" s="23">
        <v>0</v>
      </c>
      <c r="AZ82" s="23">
        <v>0</v>
      </c>
      <c r="BB82" s="203">
        <f t="shared" si="10"/>
        <v>909.09722222222081</v>
      </c>
    </row>
    <row r="83" spans="1:54" x14ac:dyDescent="0.25">
      <c r="A83" s="68">
        <f t="shared" si="0"/>
        <v>60</v>
      </c>
      <c r="B83" s="68" t="str">
        <f t="shared" si="1"/>
        <v>amortização</v>
      </c>
      <c r="C83" s="158">
        <f t="shared" si="11"/>
        <v>2859.3903587037103</v>
      </c>
      <c r="D83" s="158">
        <f t="shared" si="22"/>
        <v>13986.111111111111</v>
      </c>
      <c r="E83" s="157">
        <f t="shared" si="2"/>
        <v>335666.66666666605</v>
      </c>
      <c r="F83" s="158">
        <f t="shared" si="3"/>
        <v>16845.501469814822</v>
      </c>
      <c r="G83" s="160">
        <f t="shared" si="12"/>
        <v>16845.501469814822</v>
      </c>
      <c r="AA83" s="2">
        <f t="shared" si="15"/>
        <v>54</v>
      </c>
      <c r="AC83" s="9" t="str">
        <f t="shared" si="29"/>
        <v/>
      </c>
      <c r="AD83" s="9">
        <f t="shared" si="13"/>
        <v>13888.888888888889</v>
      </c>
      <c r="AF83" s="2" t="str">
        <f t="shared" si="19"/>
        <v/>
      </c>
      <c r="AG83" s="9" t="str">
        <f t="shared" si="20"/>
        <v/>
      </c>
      <c r="AH83" s="9" t="str">
        <f t="shared" si="21"/>
        <v/>
      </c>
      <c r="AL83" s="23">
        <f t="shared" si="4"/>
        <v>2859.3903587037103</v>
      </c>
      <c r="AM83" s="23">
        <f t="shared" si="31"/>
        <v>2859.3903587037103</v>
      </c>
      <c r="AN83" s="23">
        <f t="shared" si="5"/>
        <v>2859.3903587037103</v>
      </c>
      <c r="AO83" s="23">
        <f>E81*((1+$C$23)^2-1)</f>
        <v>5971.8508083945517</v>
      </c>
      <c r="AP83" s="23">
        <f>E80*((1+$C$23)^3-1)</f>
        <v>9340.3938954578407</v>
      </c>
      <c r="AQ83" s="23">
        <f t="shared" ref="AQ83" si="32">E77*((1+$C$23)^6-1)</f>
        <v>21013.131627251776</v>
      </c>
      <c r="AR83" s="23">
        <f>E71*((1+$C$23)^12-1)</f>
        <v>51694.345000000758</v>
      </c>
      <c r="AU83" s="23">
        <f t="shared" si="9"/>
        <v>13986.111111111111</v>
      </c>
      <c r="AV83" s="23">
        <f t="shared" si="6"/>
        <v>13986.111111111111</v>
      </c>
      <c r="AW83" s="23">
        <f>$E$23/($B$17-$B$16)*2</f>
        <v>27972.222222222223</v>
      </c>
      <c r="AX83" s="23">
        <f>$E$23/($B$17-$B$16)*3</f>
        <v>41958.333333333336</v>
      </c>
      <c r="AY83" s="23">
        <f>$E$23/($B$17-$B$16)*6</f>
        <v>83916.666666666672</v>
      </c>
      <c r="AZ83" s="23">
        <f>$E$23/($B$17-$B$16)*12</f>
        <v>167833.33333333334</v>
      </c>
      <c r="BB83" s="203">
        <f t="shared" si="10"/>
        <v>874.13194444444298</v>
      </c>
    </row>
    <row r="84" spans="1:54" x14ac:dyDescent="0.25">
      <c r="A84" s="68">
        <f t="shared" si="0"/>
        <v>61</v>
      </c>
      <c r="B84" s="68" t="str">
        <f t="shared" si="1"/>
        <v>amortização</v>
      </c>
      <c r="C84" s="158">
        <f t="shared" si="11"/>
        <v>2745.0147443555616</v>
      </c>
      <c r="D84" s="158">
        <f>IF(C84="","",IF(A84&lt;=B$16,0,E$23/(B$17-B$16)))</f>
        <v>13986.111111111111</v>
      </c>
      <c r="E84" s="157">
        <f t="shared" si="2"/>
        <v>321680.55555555492</v>
      </c>
      <c r="F84" s="158">
        <f t="shared" si="3"/>
        <v>16731.125855466671</v>
      </c>
      <c r="G84" s="160">
        <f t="shared" si="12"/>
        <v>16731.125855466671</v>
      </c>
      <c r="AA84" s="2">
        <f t="shared" si="15"/>
        <v>55</v>
      </c>
      <c r="AC84" s="9" t="str">
        <f t="shared" si="29"/>
        <v/>
      </c>
      <c r="AD84" s="9">
        <f t="shared" si="13"/>
        <v>13888.888888888889</v>
      </c>
      <c r="AF84" s="2" t="str">
        <f t="shared" si="19"/>
        <v/>
      </c>
      <c r="AG84" s="9" t="str">
        <f t="shared" si="20"/>
        <v/>
      </c>
      <c r="AH84" s="9" t="str">
        <f t="shared" si="21"/>
        <v/>
      </c>
      <c r="AL84" s="23">
        <f t="shared" si="4"/>
        <v>2745.0147443555616</v>
      </c>
      <c r="AM84" s="23">
        <f t="shared" si="31"/>
        <v>2745.0147443555616</v>
      </c>
      <c r="AN84" s="23">
        <f t="shared" si="5"/>
        <v>2745.0147443555616</v>
      </c>
      <c r="AO84" s="23">
        <v>0</v>
      </c>
      <c r="AP84" s="23">
        <v>0</v>
      </c>
      <c r="AQ84" s="23">
        <v>0</v>
      </c>
      <c r="AR84" s="23">
        <v>0</v>
      </c>
      <c r="AU84" s="23">
        <f t="shared" si="9"/>
        <v>13986.111111111111</v>
      </c>
      <c r="AV84" s="23">
        <f t="shared" si="6"/>
        <v>13986.111111111111</v>
      </c>
      <c r="AW84" s="23">
        <v>0</v>
      </c>
      <c r="AX84" s="23">
        <v>0</v>
      </c>
      <c r="AY84" s="23">
        <v>0</v>
      </c>
      <c r="AZ84" s="23">
        <v>0</v>
      </c>
      <c r="BB84" s="203">
        <f t="shared" si="10"/>
        <v>839.16666666666515</v>
      </c>
    </row>
    <row r="85" spans="1:54" x14ac:dyDescent="0.25">
      <c r="A85" s="68">
        <f t="shared" si="0"/>
        <v>62</v>
      </c>
      <c r="B85" s="68" t="str">
        <f t="shared" si="1"/>
        <v>amortização</v>
      </c>
      <c r="C85" s="158">
        <f t="shared" si="11"/>
        <v>2630.6391300074129</v>
      </c>
      <c r="D85" s="158">
        <f>IF(C85="","",IF(A85&lt;=B$16,0,E$23/(B$17-B$16)))</f>
        <v>13986.111111111111</v>
      </c>
      <c r="E85" s="157">
        <f t="shared" si="2"/>
        <v>307694.4444444438</v>
      </c>
      <c r="F85" s="158">
        <f t="shared" si="3"/>
        <v>16616.750241118523</v>
      </c>
      <c r="G85" s="160">
        <f t="shared" si="12"/>
        <v>16616.750241118523</v>
      </c>
      <c r="AA85" s="2">
        <f t="shared" si="15"/>
        <v>56</v>
      </c>
      <c r="AC85" s="9" t="str">
        <f t="shared" si="29"/>
        <v/>
      </c>
      <c r="AD85" s="9">
        <f t="shared" si="13"/>
        <v>13888.888888888889</v>
      </c>
      <c r="AF85" s="2" t="str">
        <f t="shared" si="19"/>
        <v/>
      </c>
      <c r="AG85" s="9" t="str">
        <f t="shared" si="20"/>
        <v/>
      </c>
      <c r="AH85" s="9" t="str">
        <f t="shared" si="21"/>
        <v/>
      </c>
      <c r="AL85" s="23">
        <f t="shared" si="4"/>
        <v>2630.6391300074129</v>
      </c>
      <c r="AM85" s="23">
        <f t="shared" si="31"/>
        <v>2630.6391300074129</v>
      </c>
      <c r="AN85" s="23">
        <f t="shared" si="5"/>
        <v>2630.6391300074129</v>
      </c>
      <c r="AO85" s="23">
        <f>E83*((1+$C$23)^2-1)</f>
        <v>5512.4776692872765</v>
      </c>
      <c r="AP85" s="23">
        <v>0</v>
      </c>
      <c r="AQ85" s="23">
        <v>0</v>
      </c>
      <c r="AR85" s="23">
        <v>0</v>
      </c>
      <c r="AU85" s="23">
        <f t="shared" si="9"/>
        <v>13986.111111111111</v>
      </c>
      <c r="AV85" s="23">
        <f t="shared" si="6"/>
        <v>13986.111111111111</v>
      </c>
      <c r="AW85" s="23">
        <f>$E$23/($B$17-$B$16)*2</f>
        <v>27972.222222222223</v>
      </c>
      <c r="AX85" s="23">
        <v>0</v>
      </c>
      <c r="AY85" s="23">
        <v>0</v>
      </c>
      <c r="AZ85" s="23">
        <v>0</v>
      </c>
      <c r="BB85" s="203">
        <f t="shared" si="10"/>
        <v>804.20138888888732</v>
      </c>
    </row>
    <row r="86" spans="1:54" x14ac:dyDescent="0.25">
      <c r="A86" s="68">
        <f t="shared" si="0"/>
        <v>63</v>
      </c>
      <c r="B86" s="68" t="str">
        <f t="shared" si="1"/>
        <v>amortização</v>
      </c>
      <c r="C86" s="158">
        <f t="shared" si="11"/>
        <v>2516.2635156592642</v>
      </c>
      <c r="D86" s="158">
        <f t="shared" si="22"/>
        <v>13986.111111111111</v>
      </c>
      <c r="E86" s="157">
        <f t="shared" si="2"/>
        <v>293708.33333333267</v>
      </c>
      <c r="F86" s="158">
        <f t="shared" si="3"/>
        <v>16502.374626770375</v>
      </c>
      <c r="G86" s="160">
        <f t="shared" si="12"/>
        <v>16502.374626770375</v>
      </c>
      <c r="AA86" s="2">
        <f t="shared" si="15"/>
        <v>57</v>
      </c>
      <c r="AC86" s="9" t="str">
        <f t="shared" si="29"/>
        <v/>
      </c>
      <c r="AD86" s="9">
        <f t="shared" si="13"/>
        <v>13888.888888888889</v>
      </c>
      <c r="AF86" s="2" t="str">
        <f t="shared" si="19"/>
        <v/>
      </c>
      <c r="AG86" s="9" t="str">
        <f t="shared" si="20"/>
        <v/>
      </c>
      <c r="AH86" s="9" t="str">
        <f t="shared" si="21"/>
        <v/>
      </c>
      <c r="AL86" s="23">
        <f t="shared" si="4"/>
        <v>2516.2635156592642</v>
      </c>
      <c r="AM86" s="23">
        <f t="shared" si="31"/>
        <v>2516.2635156592642</v>
      </c>
      <c r="AN86" s="23">
        <f t="shared" si="5"/>
        <v>2516.2635156592642</v>
      </c>
      <c r="AO86" s="23">
        <v>0</v>
      </c>
      <c r="AP86" s="23">
        <f>E83*((1+$C$23)^3-1)</f>
        <v>8302.572351518078</v>
      </c>
      <c r="AQ86" s="23">
        <v>0</v>
      </c>
      <c r="AR86" s="23">
        <v>0</v>
      </c>
      <c r="AU86" s="23">
        <f t="shared" si="9"/>
        <v>13986.111111111111</v>
      </c>
      <c r="AV86" s="23">
        <f t="shared" si="6"/>
        <v>13986.111111111111</v>
      </c>
      <c r="AW86" s="23">
        <v>0</v>
      </c>
      <c r="AX86" s="23">
        <f>$E$23/($B$17-$B$16)*3</f>
        <v>41958.333333333336</v>
      </c>
      <c r="AY86" s="23">
        <v>0</v>
      </c>
      <c r="AZ86" s="23">
        <v>0</v>
      </c>
      <c r="BB86" s="203">
        <f t="shared" si="10"/>
        <v>769.23611111110949</v>
      </c>
    </row>
    <row r="87" spans="1:54" x14ac:dyDescent="0.25">
      <c r="A87" s="68">
        <f t="shared" ref="A87:A150" si="33">IF(A86&lt;B$17,A86+1,"")</f>
        <v>64</v>
      </c>
      <c r="B87" s="68" t="str">
        <f t="shared" ref="B87:B150" si="34">IF(A87="","",IF(A87&lt;=B$16,"carência","amortização"))</f>
        <v>amortização</v>
      </c>
      <c r="C87" s="158">
        <f t="shared" ref="C87:C150" si="35">IF(B87="","",IF($AN$18=TRUE,AL87,AM87))</f>
        <v>2401.8879013111155</v>
      </c>
      <c r="D87" s="158">
        <f t="shared" ref="D87:D150" si="36">IF(C87="","",IF(A87&lt;=B$16,0,E$23/(B$17-B$16)))</f>
        <v>13986.111111111111</v>
      </c>
      <c r="E87" s="157">
        <f t="shared" ref="E87:E150" si="37">IF(F87="","",E86-D87)</f>
        <v>279722.22222222155</v>
      </c>
      <c r="F87" s="158">
        <f t="shared" ref="F87:F150" si="38">IF(D87="","",D87+C87)</f>
        <v>16387.999012422228</v>
      </c>
      <c r="G87" s="160">
        <f t="shared" ref="G87:G150" si="39">IF(E87="","",D87+C87)</f>
        <v>16387.999012422228</v>
      </c>
      <c r="AA87" s="2">
        <f t="shared" si="15"/>
        <v>58</v>
      </c>
      <c r="AC87" s="9" t="str">
        <f t="shared" si="29"/>
        <v/>
      </c>
      <c r="AD87" s="9">
        <f t="shared" si="13"/>
        <v>13888.888888888889</v>
      </c>
      <c r="AF87" s="2" t="str">
        <f t="shared" si="19"/>
        <v/>
      </c>
      <c r="AG87" s="9" t="str">
        <f t="shared" si="20"/>
        <v/>
      </c>
      <c r="AH87" s="9" t="str">
        <f t="shared" si="21"/>
        <v/>
      </c>
      <c r="AL87" s="23">
        <f t="shared" si="4"/>
        <v>2401.8879013111155</v>
      </c>
      <c r="AM87" s="23">
        <f t="shared" si="31"/>
        <v>2401.8879013111155</v>
      </c>
      <c r="AN87" s="23">
        <f t="shared" si="5"/>
        <v>2401.8879013111155</v>
      </c>
      <c r="AO87" s="23">
        <f>E85*((1+$C$23)^2-1)</f>
        <v>5053.1045301800023</v>
      </c>
      <c r="AP87" s="23">
        <v>0</v>
      </c>
      <c r="AQ87" s="23">
        <v>0</v>
      </c>
      <c r="AR87" s="23">
        <v>0</v>
      </c>
      <c r="AU87" s="23">
        <f t="shared" si="9"/>
        <v>13986.111111111111</v>
      </c>
      <c r="AV87" s="23">
        <f t="shared" si="6"/>
        <v>13986.111111111111</v>
      </c>
      <c r="AW87" s="23">
        <f>$E$23/($B$17-$B$16)*2</f>
        <v>27972.222222222223</v>
      </c>
      <c r="AX87" s="23">
        <v>0</v>
      </c>
      <c r="AY87" s="23">
        <v>0</v>
      </c>
      <c r="AZ87" s="23">
        <v>0</v>
      </c>
      <c r="BB87" s="203">
        <f t="shared" si="10"/>
        <v>734.27083333333167</v>
      </c>
    </row>
    <row r="88" spans="1:54" x14ac:dyDescent="0.25">
      <c r="A88" s="68">
        <f t="shared" si="33"/>
        <v>65</v>
      </c>
      <c r="B88" s="68" t="str">
        <f t="shared" si="34"/>
        <v>amortização</v>
      </c>
      <c r="C88" s="158">
        <f t="shared" si="35"/>
        <v>2287.5122869629668</v>
      </c>
      <c r="D88" s="158">
        <f t="shared" si="36"/>
        <v>13986.111111111111</v>
      </c>
      <c r="E88" s="157">
        <f t="shared" si="37"/>
        <v>265736.11111111043</v>
      </c>
      <c r="F88" s="158">
        <f t="shared" si="38"/>
        <v>16273.623398074078</v>
      </c>
      <c r="G88" s="160">
        <f t="shared" si="39"/>
        <v>16273.623398074078</v>
      </c>
      <c r="AA88" s="2">
        <f t="shared" si="15"/>
        <v>59</v>
      </c>
      <c r="AC88" s="9" t="str">
        <f t="shared" si="29"/>
        <v/>
      </c>
      <c r="AD88" s="9">
        <f t="shared" si="13"/>
        <v>13888.888888888889</v>
      </c>
      <c r="AF88" s="2" t="str">
        <f t="shared" si="19"/>
        <v/>
      </c>
      <c r="AG88" s="9" t="str">
        <f t="shared" si="20"/>
        <v/>
      </c>
      <c r="AH88" s="9" t="str">
        <f t="shared" si="21"/>
        <v/>
      </c>
      <c r="AL88" s="23">
        <f t="shared" ref="AL88:AL151" si="40">IF(A88&lt;=$B$16,AM88,E87*$C$23)</f>
        <v>2287.5122869629668</v>
      </c>
      <c r="AM88" s="23">
        <f t="shared" si="31"/>
        <v>2287.5122869629668</v>
      </c>
      <c r="AN88" s="23">
        <f t="shared" ref="AN88:AN98" si="41">E87*$C$23</f>
        <v>2287.5122869629668</v>
      </c>
      <c r="AO88" s="23">
        <v>0</v>
      </c>
      <c r="AP88" s="23">
        <v>0</v>
      </c>
      <c r="AQ88" s="23">
        <v>0</v>
      </c>
      <c r="AR88" s="23">
        <v>0</v>
      </c>
      <c r="AU88" s="23">
        <f t="shared" si="9"/>
        <v>13986.111111111111</v>
      </c>
      <c r="AV88" s="23">
        <f t="shared" ref="AV88:AV151" si="42">$E$23/($B$17-$B$16)</f>
        <v>13986.111111111111</v>
      </c>
      <c r="AW88" s="23">
        <v>0</v>
      </c>
      <c r="AX88" s="23">
        <v>0</v>
      </c>
      <c r="AY88" s="23">
        <v>0</v>
      </c>
      <c r="AZ88" s="23">
        <v>0</v>
      </c>
      <c r="BB88" s="203">
        <f t="shared" si="10"/>
        <v>699.30555555555384</v>
      </c>
    </row>
    <row r="89" spans="1:54" x14ac:dyDescent="0.25">
      <c r="A89" s="68">
        <f t="shared" si="33"/>
        <v>66</v>
      </c>
      <c r="B89" s="68" t="str">
        <f t="shared" si="34"/>
        <v>amortização</v>
      </c>
      <c r="C89" s="158">
        <f t="shared" si="35"/>
        <v>2173.1366726148176</v>
      </c>
      <c r="D89" s="158">
        <f t="shared" si="36"/>
        <v>13986.111111111111</v>
      </c>
      <c r="E89" s="157">
        <f t="shared" si="37"/>
        <v>251749.9999999993</v>
      </c>
      <c r="F89" s="158">
        <f t="shared" si="38"/>
        <v>16159.247783725928</v>
      </c>
      <c r="G89" s="160">
        <f t="shared" si="39"/>
        <v>16159.247783725928</v>
      </c>
      <c r="AA89" s="2">
        <f t="shared" si="15"/>
        <v>60</v>
      </c>
      <c r="AC89" s="9" t="str">
        <f t="shared" si="29"/>
        <v/>
      </c>
      <c r="AD89" s="9">
        <f t="shared" si="13"/>
        <v>13888.888888888889</v>
      </c>
      <c r="AF89" s="2" t="str">
        <f t="shared" si="19"/>
        <v/>
      </c>
      <c r="AG89" s="9" t="str">
        <f t="shared" si="20"/>
        <v/>
      </c>
      <c r="AH89" s="9" t="str">
        <f t="shared" si="21"/>
        <v/>
      </c>
      <c r="AL89" s="23">
        <f t="shared" si="40"/>
        <v>2173.1366726148176</v>
      </c>
      <c r="AM89" s="23">
        <f t="shared" si="31"/>
        <v>2173.1366726148176</v>
      </c>
      <c r="AN89" s="23">
        <f t="shared" si="41"/>
        <v>2173.1366726148176</v>
      </c>
      <c r="AO89" s="23">
        <f t="shared" ref="AO89:AO101" si="43">E87*((1+$C$23)^2-1)</f>
        <v>4593.731391072728</v>
      </c>
      <c r="AP89" s="23">
        <f>E86*((1+$C$23)^3-1)</f>
        <v>7264.7508075783153</v>
      </c>
      <c r="AQ89" s="23">
        <f>E83*((1+$C$23)^6-1)</f>
        <v>16810.505301801411</v>
      </c>
      <c r="AR89" s="23">
        <v>0</v>
      </c>
      <c r="AU89" s="23">
        <f t="shared" ref="AU89:AU152" si="44">IF($AV$17=1,AV89,IF($AV$17=2,AW89,IF($AV$17=3,AX89,IF($AV$17=4,AY89,IF($AV$17=5,AZ89)))))</f>
        <v>13986.111111111111</v>
      </c>
      <c r="AV89" s="23">
        <f t="shared" si="42"/>
        <v>13986.111111111111</v>
      </c>
      <c r="AW89" s="23">
        <f>$E$23/($B$17-$B$16)*2</f>
        <v>27972.222222222223</v>
      </c>
      <c r="AX89" s="23">
        <f>$E$23/($B$17-$B$16)*3</f>
        <v>41958.333333333336</v>
      </c>
      <c r="AY89" s="23">
        <f>$E$23/($B$17-$B$16)*6</f>
        <v>83916.666666666672</v>
      </c>
      <c r="AZ89" s="23">
        <v>0</v>
      </c>
      <c r="BB89" s="203">
        <f t="shared" ref="BB89:BB152" si="45">E88*0.0025</f>
        <v>664.34027777777612</v>
      </c>
    </row>
    <row r="90" spans="1:54" x14ac:dyDescent="0.25">
      <c r="A90" s="68">
        <f t="shared" si="33"/>
        <v>67</v>
      </c>
      <c r="B90" s="68" t="str">
        <f t="shared" si="34"/>
        <v>amortização</v>
      </c>
      <c r="C90" s="158">
        <f t="shared" si="35"/>
        <v>2058.7610582666689</v>
      </c>
      <c r="D90" s="158">
        <f t="shared" si="36"/>
        <v>13986.111111111111</v>
      </c>
      <c r="E90" s="157">
        <f t="shared" si="37"/>
        <v>237763.88888888818</v>
      </c>
      <c r="F90" s="158">
        <f t="shared" si="38"/>
        <v>16044.872169377781</v>
      </c>
      <c r="G90" s="160">
        <f t="shared" si="39"/>
        <v>16044.872169377781</v>
      </c>
      <c r="AA90" s="2">
        <f t="shared" si="15"/>
        <v>61</v>
      </c>
      <c r="AC90" s="9" t="str">
        <f t="shared" si="29"/>
        <v/>
      </c>
      <c r="AD90" s="9">
        <f t="shared" si="13"/>
        <v>13888.888888888889</v>
      </c>
      <c r="AF90" s="2" t="str">
        <f t="shared" si="19"/>
        <v/>
      </c>
      <c r="AG90" s="9" t="str">
        <f t="shared" si="20"/>
        <v/>
      </c>
      <c r="AH90" s="9" t="str">
        <f t="shared" si="21"/>
        <v/>
      </c>
      <c r="AL90" s="23">
        <f t="shared" si="40"/>
        <v>2058.7610582666689</v>
      </c>
      <c r="AM90" s="23">
        <f t="shared" si="31"/>
        <v>2058.7610582666689</v>
      </c>
      <c r="AN90" s="23">
        <f t="shared" si="41"/>
        <v>2058.7610582666689</v>
      </c>
      <c r="AO90" s="23">
        <v>0</v>
      </c>
      <c r="AP90" s="23">
        <v>0</v>
      </c>
      <c r="AQ90" s="23">
        <v>0</v>
      </c>
      <c r="AR90" s="23">
        <v>0</v>
      </c>
      <c r="AU90" s="23">
        <f t="shared" si="44"/>
        <v>13986.111111111111</v>
      </c>
      <c r="AV90" s="23">
        <f t="shared" si="42"/>
        <v>13986.111111111111</v>
      </c>
      <c r="AW90" s="23">
        <v>0</v>
      </c>
      <c r="AX90" s="23">
        <v>0</v>
      </c>
      <c r="AY90" s="23">
        <v>0</v>
      </c>
      <c r="AZ90" s="23">
        <v>0</v>
      </c>
      <c r="BB90" s="203">
        <f t="shared" si="45"/>
        <v>629.37499999999829</v>
      </c>
    </row>
    <row r="91" spans="1:54" x14ac:dyDescent="0.25">
      <c r="A91" s="68">
        <f t="shared" si="33"/>
        <v>68</v>
      </c>
      <c r="B91" s="68" t="str">
        <f t="shared" si="34"/>
        <v>amortização</v>
      </c>
      <c r="C91" s="158">
        <f t="shared" si="35"/>
        <v>1944.3854439185204</v>
      </c>
      <c r="D91" s="158">
        <f t="shared" si="36"/>
        <v>13986.111111111111</v>
      </c>
      <c r="E91" s="157">
        <f t="shared" si="37"/>
        <v>223777.77777777705</v>
      </c>
      <c r="F91" s="158">
        <f t="shared" si="38"/>
        <v>15930.496555029631</v>
      </c>
      <c r="G91" s="160">
        <f t="shared" si="39"/>
        <v>15930.496555029631</v>
      </c>
      <c r="AA91" s="2">
        <f t="shared" si="15"/>
        <v>62</v>
      </c>
      <c r="AC91" s="9" t="str">
        <f t="shared" si="29"/>
        <v/>
      </c>
      <c r="AD91" s="9">
        <f t="shared" si="13"/>
        <v>13888.888888888889</v>
      </c>
      <c r="AF91" s="2" t="str">
        <f t="shared" si="19"/>
        <v/>
      </c>
      <c r="AG91" s="9" t="str">
        <f t="shared" si="20"/>
        <v/>
      </c>
      <c r="AH91" s="9" t="str">
        <f t="shared" si="21"/>
        <v/>
      </c>
      <c r="AL91" s="23">
        <f t="shared" si="40"/>
        <v>1944.3854439185204</v>
      </c>
      <c r="AM91" s="23">
        <f t="shared" si="31"/>
        <v>1944.3854439185204</v>
      </c>
      <c r="AN91" s="23">
        <f t="shared" si="41"/>
        <v>1944.3854439185204</v>
      </c>
      <c r="AO91" s="23">
        <f t="shared" si="43"/>
        <v>4134.3582519654537</v>
      </c>
      <c r="AP91" s="23">
        <v>0</v>
      </c>
      <c r="AQ91" s="23">
        <v>0</v>
      </c>
      <c r="AR91" s="23">
        <v>0</v>
      </c>
      <c r="AU91" s="23">
        <f t="shared" si="44"/>
        <v>13986.111111111111</v>
      </c>
      <c r="AV91" s="23">
        <f t="shared" si="42"/>
        <v>13986.111111111111</v>
      </c>
      <c r="AW91" s="23">
        <f>$E$23/($B$17-$B$16)*2</f>
        <v>27972.222222222223</v>
      </c>
      <c r="AX91" s="23">
        <v>0</v>
      </c>
      <c r="AY91" s="23">
        <v>0</v>
      </c>
      <c r="AZ91" s="23">
        <v>0</v>
      </c>
      <c r="BB91" s="203">
        <f t="shared" si="45"/>
        <v>594.40972222222047</v>
      </c>
    </row>
    <row r="92" spans="1:54" x14ac:dyDescent="0.25">
      <c r="A92" s="68">
        <f t="shared" si="33"/>
        <v>69</v>
      </c>
      <c r="B92" s="68" t="str">
        <f t="shared" si="34"/>
        <v>amortização</v>
      </c>
      <c r="C92" s="158">
        <f t="shared" si="35"/>
        <v>1830.0098295703717</v>
      </c>
      <c r="D92" s="158">
        <f t="shared" si="36"/>
        <v>13986.111111111111</v>
      </c>
      <c r="E92" s="157">
        <f t="shared" si="37"/>
        <v>209791.66666666593</v>
      </c>
      <c r="F92" s="158">
        <f t="shared" si="38"/>
        <v>15816.120940681483</v>
      </c>
      <c r="G92" s="160">
        <f t="shared" si="39"/>
        <v>15816.120940681483</v>
      </c>
      <c r="AA92" s="2">
        <f t="shared" si="15"/>
        <v>63</v>
      </c>
      <c r="AC92" s="9" t="str">
        <f t="shared" si="29"/>
        <v/>
      </c>
      <c r="AD92" s="9">
        <f t="shared" si="13"/>
        <v>13888.888888888889</v>
      </c>
      <c r="AF92" s="2" t="str">
        <f t="shared" si="19"/>
        <v/>
      </c>
      <c r="AG92" s="9" t="str">
        <f t="shared" si="20"/>
        <v/>
      </c>
      <c r="AH92" s="9" t="str">
        <f t="shared" si="21"/>
        <v/>
      </c>
      <c r="AL92" s="23">
        <f t="shared" si="40"/>
        <v>1830.0098295703717</v>
      </c>
      <c r="AM92" s="23">
        <f t="shared" si="31"/>
        <v>1830.0098295703717</v>
      </c>
      <c r="AN92" s="23">
        <f t="shared" si="41"/>
        <v>1830.0098295703717</v>
      </c>
      <c r="AO92" s="23">
        <v>0</v>
      </c>
      <c r="AP92" s="23">
        <f t="shared" ref="AP92:AP104" si="46">E89*((1+$C$23)^3-1)</f>
        <v>6226.9292636385526</v>
      </c>
      <c r="AQ92" s="23">
        <v>0</v>
      </c>
      <c r="AR92" s="23">
        <v>0</v>
      </c>
      <c r="AU92" s="23">
        <f t="shared" si="44"/>
        <v>13986.111111111111</v>
      </c>
      <c r="AV92" s="23">
        <f t="shared" si="42"/>
        <v>13986.111111111111</v>
      </c>
      <c r="AW92" s="23">
        <v>0</v>
      </c>
      <c r="AX92" s="23">
        <f>$E$23/($B$17-$B$16)*3</f>
        <v>41958.333333333336</v>
      </c>
      <c r="AY92" s="23">
        <v>0</v>
      </c>
      <c r="AZ92" s="23">
        <v>0</v>
      </c>
      <c r="BB92" s="203">
        <f t="shared" si="45"/>
        <v>559.44444444444264</v>
      </c>
    </row>
    <row r="93" spans="1:54" x14ac:dyDescent="0.25">
      <c r="A93" s="68">
        <f t="shared" si="33"/>
        <v>70</v>
      </c>
      <c r="B93" s="68" t="str">
        <f t="shared" si="34"/>
        <v>amortização</v>
      </c>
      <c r="C93" s="158">
        <f t="shared" si="35"/>
        <v>1715.634215222223</v>
      </c>
      <c r="D93" s="158">
        <f t="shared" si="36"/>
        <v>13986.111111111111</v>
      </c>
      <c r="E93" s="157">
        <f t="shared" si="37"/>
        <v>195805.55555555481</v>
      </c>
      <c r="F93" s="158">
        <f t="shared" si="38"/>
        <v>15701.745326333334</v>
      </c>
      <c r="G93" s="160">
        <f t="shared" si="39"/>
        <v>15701.745326333334</v>
      </c>
      <c r="AA93" s="2">
        <f t="shared" si="15"/>
        <v>64</v>
      </c>
      <c r="AC93" s="9" t="str">
        <f t="shared" si="29"/>
        <v/>
      </c>
      <c r="AD93" s="9">
        <f t="shared" ref="AD93:AD156" si="47">IF(AA93="","",IF(AA93&lt;=B$16,0,B$15/(B$17-B$16)))</f>
        <v>13888.888888888889</v>
      </c>
      <c r="AF93" s="2" t="str">
        <f t="shared" si="19"/>
        <v/>
      </c>
      <c r="AG93" s="9" t="str">
        <f t="shared" si="20"/>
        <v/>
      </c>
      <c r="AH93" s="9" t="str">
        <f t="shared" si="21"/>
        <v/>
      </c>
      <c r="AL93" s="23">
        <f t="shared" si="40"/>
        <v>1715.634215222223</v>
      </c>
      <c r="AM93" s="23">
        <f t="shared" si="31"/>
        <v>1715.634215222223</v>
      </c>
      <c r="AN93" s="23">
        <f t="shared" si="41"/>
        <v>1715.634215222223</v>
      </c>
      <c r="AO93" s="23">
        <f t="shared" si="43"/>
        <v>3674.9851128581795</v>
      </c>
      <c r="AP93" s="23">
        <v>0</v>
      </c>
      <c r="AQ93" s="23">
        <v>0</v>
      </c>
      <c r="AR93" s="23">
        <v>0</v>
      </c>
      <c r="AU93" s="23">
        <f t="shared" si="44"/>
        <v>13986.111111111111</v>
      </c>
      <c r="AV93" s="23">
        <f t="shared" si="42"/>
        <v>13986.111111111111</v>
      </c>
      <c r="AW93" s="23">
        <f>$E$23/($B$17-$B$16)*2</f>
        <v>27972.222222222223</v>
      </c>
      <c r="AX93" s="23">
        <v>0</v>
      </c>
      <c r="AY93" s="23">
        <v>0</v>
      </c>
      <c r="AZ93" s="23">
        <v>0</v>
      </c>
      <c r="BB93" s="203">
        <f t="shared" si="45"/>
        <v>524.47916666666481</v>
      </c>
    </row>
    <row r="94" spans="1:54" x14ac:dyDescent="0.25">
      <c r="A94" s="68">
        <f t="shared" si="33"/>
        <v>71</v>
      </c>
      <c r="B94" s="68" t="str">
        <f t="shared" si="34"/>
        <v>amortização</v>
      </c>
      <c r="C94" s="158">
        <f t="shared" si="35"/>
        <v>1601.2586008740743</v>
      </c>
      <c r="D94" s="158">
        <f t="shared" si="36"/>
        <v>13986.111111111111</v>
      </c>
      <c r="E94" s="157">
        <f t="shared" si="37"/>
        <v>181819.44444444368</v>
      </c>
      <c r="F94" s="158">
        <f t="shared" si="38"/>
        <v>15587.369711985186</v>
      </c>
      <c r="G94" s="160">
        <f t="shared" si="39"/>
        <v>15587.369711985186</v>
      </c>
      <c r="AA94" s="2">
        <f t="shared" ref="AA94:AA157" si="48">IF(AA93&lt;B$17,AA93+1,"")</f>
        <v>65</v>
      </c>
      <c r="AC94" s="9" t="str">
        <f t="shared" si="29"/>
        <v/>
      </c>
      <c r="AD94" s="9">
        <f t="shared" si="47"/>
        <v>13888.888888888889</v>
      </c>
      <c r="AF94" s="2" t="str">
        <f t="shared" si="19"/>
        <v/>
      </c>
      <c r="AG94" s="9" t="str">
        <f t="shared" si="20"/>
        <v/>
      </c>
      <c r="AH94" s="9" t="str">
        <f t="shared" si="21"/>
        <v/>
      </c>
      <c r="AL94" s="23">
        <f t="shared" si="40"/>
        <v>1601.2586008740743</v>
      </c>
      <c r="AM94" s="23">
        <f t="shared" si="31"/>
        <v>1601.2586008740743</v>
      </c>
      <c r="AN94" s="23">
        <f t="shared" si="41"/>
        <v>1601.2586008740743</v>
      </c>
      <c r="AO94" s="23">
        <v>0</v>
      </c>
      <c r="AP94" s="23">
        <v>0</v>
      </c>
      <c r="AQ94" s="23">
        <v>0</v>
      </c>
      <c r="AR94" s="23">
        <v>0</v>
      </c>
      <c r="AU94" s="23">
        <f t="shared" si="44"/>
        <v>13986.111111111111</v>
      </c>
      <c r="AV94" s="23">
        <f t="shared" si="42"/>
        <v>13986.111111111111</v>
      </c>
      <c r="AW94" s="23">
        <v>0</v>
      </c>
      <c r="AX94" s="23">
        <v>0</v>
      </c>
      <c r="AY94" s="23">
        <v>0</v>
      </c>
      <c r="AZ94" s="23">
        <v>0</v>
      </c>
      <c r="BB94" s="203">
        <f t="shared" si="45"/>
        <v>489.51388888888704</v>
      </c>
    </row>
    <row r="95" spans="1:54" x14ac:dyDescent="0.25">
      <c r="A95" s="68">
        <f t="shared" si="33"/>
        <v>72</v>
      </c>
      <c r="B95" s="68" t="str">
        <f t="shared" si="34"/>
        <v>amortização</v>
      </c>
      <c r="C95" s="158">
        <f t="shared" si="35"/>
        <v>1486.8829865259256</v>
      </c>
      <c r="D95" s="158">
        <f t="shared" si="36"/>
        <v>13986.111111111111</v>
      </c>
      <c r="E95" s="157">
        <f t="shared" si="37"/>
        <v>167833.33333333256</v>
      </c>
      <c r="F95" s="158">
        <f t="shared" si="38"/>
        <v>15472.994097637036</v>
      </c>
      <c r="G95" s="160">
        <f t="shared" si="39"/>
        <v>15472.994097637036</v>
      </c>
      <c r="AA95" s="2">
        <f t="shared" si="48"/>
        <v>66</v>
      </c>
      <c r="AC95" s="9" t="str">
        <f t="shared" si="29"/>
        <v/>
      </c>
      <c r="AD95" s="9">
        <f t="shared" si="47"/>
        <v>13888.888888888889</v>
      </c>
      <c r="AF95" s="2" t="str">
        <f t="shared" ref="AF95:AF158" si="49">IF(AE95="","",AB95-AB$29)</f>
        <v/>
      </c>
      <c r="AG95" s="9" t="str">
        <f t="shared" ref="AG95:AG158" si="50">IF(AF95="","",IF(AF95&lt;365,AF95*AC$25*AD95,365*AD95*AC$25))</f>
        <v/>
      </c>
      <c r="AH95" s="9" t="str">
        <f t="shared" ref="AH95:AH158" si="51">IF(AF95="","",IF(AF95&lt;365,AF95*AC$26*AD95,365*AD95*AC$26))</f>
        <v/>
      </c>
      <c r="AL95" s="23">
        <f t="shared" si="40"/>
        <v>1486.8829865259256</v>
      </c>
      <c r="AM95" s="23">
        <f t="shared" si="31"/>
        <v>1486.8829865259256</v>
      </c>
      <c r="AN95" s="23">
        <f t="shared" si="41"/>
        <v>1486.8829865259256</v>
      </c>
      <c r="AO95" s="23">
        <f t="shared" si="43"/>
        <v>3215.6119737509052</v>
      </c>
      <c r="AP95" s="23">
        <f t="shared" si="46"/>
        <v>5189.1077196987899</v>
      </c>
      <c r="AQ95" s="23">
        <f t="shared" ref="AQ95" si="52">E89*((1+$C$23)^6-1)</f>
        <v>12607.878976351047</v>
      </c>
      <c r="AR95" s="23">
        <f>E83*((1+$C$23)^12-1)</f>
        <v>34462.89666666714</v>
      </c>
      <c r="AU95" s="23">
        <f t="shared" si="44"/>
        <v>13986.111111111111</v>
      </c>
      <c r="AV95" s="23">
        <f t="shared" si="42"/>
        <v>13986.111111111111</v>
      </c>
      <c r="AW95" s="23">
        <f>$E$23/($B$17-$B$16)*2</f>
        <v>27972.222222222223</v>
      </c>
      <c r="AX95" s="23">
        <f>$E$23/($B$17-$B$16)*3</f>
        <v>41958.333333333336</v>
      </c>
      <c r="AY95" s="23">
        <f>$E$23/($B$17-$B$16)*6</f>
        <v>83916.666666666672</v>
      </c>
      <c r="AZ95" s="23">
        <f>$E$23/($B$17-$B$16)*12</f>
        <v>167833.33333333334</v>
      </c>
      <c r="BB95" s="203">
        <f t="shared" si="45"/>
        <v>454.54861111110921</v>
      </c>
    </row>
    <row r="96" spans="1:54" x14ac:dyDescent="0.25">
      <c r="A96" s="68">
        <f t="shared" si="33"/>
        <v>73</v>
      </c>
      <c r="B96" s="68" t="str">
        <f t="shared" si="34"/>
        <v>amortização</v>
      </c>
      <c r="C96" s="158">
        <f t="shared" si="35"/>
        <v>1372.5073721777769</v>
      </c>
      <c r="D96" s="158">
        <f t="shared" si="36"/>
        <v>13986.111111111111</v>
      </c>
      <c r="E96" s="157">
        <f t="shared" si="37"/>
        <v>153847.22222222143</v>
      </c>
      <c r="F96" s="158">
        <f t="shared" si="38"/>
        <v>15358.618483288888</v>
      </c>
      <c r="G96" s="160">
        <f t="shared" si="39"/>
        <v>15358.618483288888</v>
      </c>
      <c r="AA96" s="2">
        <f t="shared" si="48"/>
        <v>67</v>
      </c>
      <c r="AC96" s="9" t="str">
        <f t="shared" si="29"/>
        <v/>
      </c>
      <c r="AD96" s="9">
        <f t="shared" si="47"/>
        <v>13888.888888888889</v>
      </c>
      <c r="AF96" s="2" t="str">
        <f t="shared" si="49"/>
        <v/>
      </c>
      <c r="AG96" s="9" t="str">
        <f t="shared" si="50"/>
        <v/>
      </c>
      <c r="AH96" s="9" t="str">
        <f t="shared" si="51"/>
        <v/>
      </c>
      <c r="AL96" s="23">
        <f t="shared" si="40"/>
        <v>1372.5073721777769</v>
      </c>
      <c r="AM96" s="23">
        <f t="shared" si="31"/>
        <v>1372.5073721777769</v>
      </c>
      <c r="AN96" s="23">
        <f t="shared" si="41"/>
        <v>1372.5073721777769</v>
      </c>
      <c r="AO96" s="23">
        <v>0</v>
      </c>
      <c r="AP96" s="23">
        <v>0</v>
      </c>
      <c r="AQ96" s="23">
        <v>0</v>
      </c>
      <c r="AR96" s="23">
        <v>0</v>
      </c>
      <c r="AU96" s="23">
        <f t="shared" si="44"/>
        <v>13986.111111111111</v>
      </c>
      <c r="AV96" s="23">
        <f t="shared" si="42"/>
        <v>13986.111111111111</v>
      </c>
      <c r="AW96" s="23">
        <v>0</v>
      </c>
      <c r="AX96" s="23">
        <v>0</v>
      </c>
      <c r="AY96" s="23">
        <v>0</v>
      </c>
      <c r="AZ96" s="23">
        <v>0</v>
      </c>
      <c r="BB96" s="203">
        <f t="shared" si="45"/>
        <v>419.58333333333138</v>
      </c>
    </row>
    <row r="97" spans="1:54" x14ac:dyDescent="0.25">
      <c r="A97" s="68">
        <f t="shared" si="33"/>
        <v>74</v>
      </c>
      <c r="B97" s="68" t="str">
        <f t="shared" si="34"/>
        <v>amortização</v>
      </c>
      <c r="C97" s="158">
        <f t="shared" si="35"/>
        <v>1258.1317578296282</v>
      </c>
      <c r="D97" s="158">
        <f t="shared" si="36"/>
        <v>13986.111111111111</v>
      </c>
      <c r="E97" s="157">
        <f t="shared" si="37"/>
        <v>139861.11111111031</v>
      </c>
      <c r="F97" s="158">
        <f t="shared" si="38"/>
        <v>15244.242868940739</v>
      </c>
      <c r="G97" s="160">
        <f t="shared" si="39"/>
        <v>15244.242868940739</v>
      </c>
      <c r="AA97" s="2">
        <f t="shared" si="48"/>
        <v>68</v>
      </c>
      <c r="AC97" s="9" t="str">
        <f t="shared" si="29"/>
        <v/>
      </c>
      <c r="AD97" s="9">
        <f t="shared" si="47"/>
        <v>13888.888888888889</v>
      </c>
      <c r="AF97" s="2" t="str">
        <f t="shared" si="49"/>
        <v/>
      </c>
      <c r="AG97" s="9" t="str">
        <f t="shared" si="50"/>
        <v/>
      </c>
      <c r="AH97" s="9" t="str">
        <f t="shared" si="51"/>
        <v/>
      </c>
      <c r="AL97" s="23">
        <f t="shared" si="40"/>
        <v>1258.1317578296282</v>
      </c>
      <c r="AM97" s="23">
        <f t="shared" si="31"/>
        <v>1258.1317578296282</v>
      </c>
      <c r="AN97" s="23">
        <f t="shared" si="41"/>
        <v>1258.1317578296282</v>
      </c>
      <c r="AO97" s="23">
        <f t="shared" si="43"/>
        <v>2756.238834643631</v>
      </c>
      <c r="AP97" s="23">
        <v>0</v>
      </c>
      <c r="AQ97" s="23">
        <v>0</v>
      </c>
      <c r="AR97" s="23">
        <v>0</v>
      </c>
      <c r="AU97" s="23">
        <f t="shared" si="44"/>
        <v>13986.111111111111</v>
      </c>
      <c r="AV97" s="23">
        <f t="shared" si="42"/>
        <v>13986.111111111111</v>
      </c>
      <c r="AW97" s="23">
        <f>$E$23/($B$17-$B$16)*2</f>
        <v>27972.222222222223</v>
      </c>
      <c r="AX97" s="23">
        <v>0</v>
      </c>
      <c r="AY97" s="23">
        <v>0</v>
      </c>
      <c r="AZ97" s="23">
        <v>0</v>
      </c>
      <c r="BB97" s="203">
        <f t="shared" si="45"/>
        <v>384.61805555555361</v>
      </c>
    </row>
    <row r="98" spans="1:54" x14ac:dyDescent="0.25">
      <c r="A98" s="68">
        <f t="shared" si="33"/>
        <v>75</v>
      </c>
      <c r="B98" s="68" t="str">
        <f t="shared" si="34"/>
        <v>amortização</v>
      </c>
      <c r="C98" s="158">
        <f t="shared" si="35"/>
        <v>1143.7561434814795</v>
      </c>
      <c r="D98" s="158">
        <f t="shared" si="36"/>
        <v>13986.111111111111</v>
      </c>
      <c r="E98" s="157">
        <f t="shared" si="37"/>
        <v>125874.9999999992</v>
      </c>
      <c r="F98" s="158">
        <f t="shared" si="38"/>
        <v>15129.867254592591</v>
      </c>
      <c r="G98" s="160">
        <f t="shared" si="39"/>
        <v>15129.867254592591</v>
      </c>
      <c r="AA98" s="2">
        <f t="shared" si="48"/>
        <v>69</v>
      </c>
      <c r="AC98" s="9" t="str">
        <f t="shared" si="29"/>
        <v/>
      </c>
      <c r="AD98" s="9">
        <f t="shared" si="47"/>
        <v>13888.888888888889</v>
      </c>
      <c r="AF98" s="2" t="str">
        <f t="shared" si="49"/>
        <v/>
      </c>
      <c r="AG98" s="9" t="str">
        <f t="shared" si="50"/>
        <v/>
      </c>
      <c r="AH98" s="9" t="str">
        <f t="shared" si="51"/>
        <v/>
      </c>
      <c r="AL98" s="23">
        <f t="shared" si="40"/>
        <v>1143.7561434814795</v>
      </c>
      <c r="AM98" s="23">
        <f t="shared" si="31"/>
        <v>1143.7561434814795</v>
      </c>
      <c r="AN98" s="23">
        <f t="shared" si="41"/>
        <v>1143.7561434814795</v>
      </c>
      <c r="AO98" s="23">
        <v>0</v>
      </c>
      <c r="AP98" s="23">
        <f t="shared" si="46"/>
        <v>4151.2861757590272</v>
      </c>
      <c r="AQ98" s="23">
        <v>0</v>
      </c>
      <c r="AR98" s="23">
        <v>0</v>
      </c>
      <c r="AU98" s="23">
        <f t="shared" si="44"/>
        <v>13986.111111111111</v>
      </c>
      <c r="AV98" s="23">
        <f t="shared" si="42"/>
        <v>13986.111111111111</v>
      </c>
      <c r="AW98" s="23">
        <v>0</v>
      </c>
      <c r="AX98" s="23">
        <f>$E$23/($B$17-$B$16)*3</f>
        <v>41958.333333333336</v>
      </c>
      <c r="AY98" s="23">
        <v>0</v>
      </c>
      <c r="AZ98" s="23">
        <v>0</v>
      </c>
      <c r="BB98" s="203">
        <f t="shared" si="45"/>
        <v>349.65277777777578</v>
      </c>
    </row>
    <row r="99" spans="1:54" x14ac:dyDescent="0.25">
      <c r="A99" s="68">
        <f t="shared" si="33"/>
        <v>76</v>
      </c>
      <c r="B99" s="68" t="str">
        <f t="shared" si="34"/>
        <v>amortização</v>
      </c>
      <c r="C99" s="158">
        <f t="shared" si="35"/>
        <v>1029.3805291333308</v>
      </c>
      <c r="D99" s="158">
        <f t="shared" si="36"/>
        <v>13986.111111111111</v>
      </c>
      <c r="E99" s="157">
        <f t="shared" si="37"/>
        <v>111888.88888888809</v>
      </c>
      <c r="F99" s="158">
        <f t="shared" si="38"/>
        <v>15015.491640244441</v>
      </c>
      <c r="G99" s="160">
        <f t="shared" si="39"/>
        <v>15015.491640244441</v>
      </c>
      <c r="AA99" s="2">
        <f t="shared" si="48"/>
        <v>70</v>
      </c>
      <c r="AC99" s="9" t="str">
        <f t="shared" si="29"/>
        <v/>
      </c>
      <c r="AD99" s="9">
        <f t="shared" si="47"/>
        <v>13888.888888888889</v>
      </c>
      <c r="AF99" s="2" t="str">
        <f t="shared" si="49"/>
        <v/>
      </c>
      <c r="AG99" s="9" t="str">
        <f t="shared" si="50"/>
        <v/>
      </c>
      <c r="AH99" s="9" t="str">
        <f t="shared" si="51"/>
        <v/>
      </c>
      <c r="AL99" s="23">
        <f t="shared" si="40"/>
        <v>1029.3805291333308</v>
      </c>
      <c r="AM99" s="23">
        <f t="shared" si="31"/>
        <v>1029.3805291333308</v>
      </c>
      <c r="AN99" s="23">
        <f>E98*$C$23</f>
        <v>1029.3805291333308</v>
      </c>
      <c r="AO99" s="23">
        <f t="shared" si="43"/>
        <v>2296.8656955363563</v>
      </c>
      <c r="AP99" s="23">
        <v>0</v>
      </c>
      <c r="AQ99" s="23">
        <v>0</v>
      </c>
      <c r="AR99" s="23">
        <v>0</v>
      </c>
      <c r="AU99" s="23">
        <f t="shared" si="44"/>
        <v>13986.111111111111</v>
      </c>
      <c r="AV99" s="23">
        <f t="shared" si="42"/>
        <v>13986.111111111111</v>
      </c>
      <c r="AW99" s="23">
        <f>$E$23/($B$17-$B$16)*2</f>
        <v>27972.222222222223</v>
      </c>
      <c r="AX99" s="23">
        <v>0</v>
      </c>
      <c r="AY99" s="23">
        <v>0</v>
      </c>
      <c r="AZ99" s="23">
        <v>0</v>
      </c>
      <c r="BB99" s="203">
        <f t="shared" si="45"/>
        <v>314.68749999999801</v>
      </c>
    </row>
    <row r="100" spans="1:54" x14ac:dyDescent="0.25">
      <c r="A100" s="68">
        <f t="shared" si="33"/>
        <v>77</v>
      </c>
      <c r="B100" s="68" t="str">
        <f t="shared" si="34"/>
        <v>amortização</v>
      </c>
      <c r="C100" s="158">
        <f t="shared" si="35"/>
        <v>915.00491478518234</v>
      </c>
      <c r="D100" s="158">
        <f t="shared" si="36"/>
        <v>13986.111111111111</v>
      </c>
      <c r="E100" s="157">
        <f t="shared" si="37"/>
        <v>97902.777777776981</v>
      </c>
      <c r="F100" s="158">
        <f t="shared" si="38"/>
        <v>14901.116025896294</v>
      </c>
      <c r="G100" s="160">
        <f t="shared" si="39"/>
        <v>14901.116025896294</v>
      </c>
      <c r="AA100" s="2">
        <f t="shared" si="48"/>
        <v>71</v>
      </c>
      <c r="AC100" s="9" t="str">
        <f t="shared" si="29"/>
        <v/>
      </c>
      <c r="AD100" s="9">
        <f t="shared" si="47"/>
        <v>13888.888888888889</v>
      </c>
      <c r="AF100" s="2" t="str">
        <f t="shared" si="49"/>
        <v/>
      </c>
      <c r="AG100" s="9" t="str">
        <f t="shared" si="50"/>
        <v/>
      </c>
      <c r="AH100" s="9" t="str">
        <f t="shared" si="51"/>
        <v/>
      </c>
      <c r="AL100" s="23">
        <f t="shared" si="40"/>
        <v>915.00491478518234</v>
      </c>
      <c r="AM100" s="23">
        <f t="shared" si="31"/>
        <v>915.00491478518234</v>
      </c>
      <c r="AN100" s="23">
        <f t="shared" ref="AN100:AN123" si="53">E99*$C$23</f>
        <v>915.00491478518234</v>
      </c>
      <c r="AO100" s="23">
        <v>0</v>
      </c>
      <c r="AP100" s="23">
        <v>0</v>
      </c>
      <c r="AQ100" s="23">
        <v>0</v>
      </c>
      <c r="AR100" s="23">
        <v>0</v>
      </c>
      <c r="AU100" s="23">
        <f t="shared" si="44"/>
        <v>13986.111111111111</v>
      </c>
      <c r="AV100" s="23">
        <f t="shared" si="42"/>
        <v>13986.111111111111</v>
      </c>
      <c r="AW100" s="23">
        <v>0</v>
      </c>
      <c r="AX100" s="23">
        <v>0</v>
      </c>
      <c r="AY100" s="23">
        <v>0</v>
      </c>
      <c r="AZ100" s="23">
        <v>0</v>
      </c>
      <c r="BB100" s="203">
        <f t="shared" si="45"/>
        <v>279.72222222222024</v>
      </c>
    </row>
    <row r="101" spans="1:54" x14ac:dyDescent="0.25">
      <c r="A101" s="68">
        <f t="shared" si="33"/>
        <v>78</v>
      </c>
      <c r="B101" s="68" t="str">
        <f t="shared" si="34"/>
        <v>amortização</v>
      </c>
      <c r="C101" s="158">
        <f t="shared" si="35"/>
        <v>800.62930043703363</v>
      </c>
      <c r="D101" s="158">
        <f t="shared" si="36"/>
        <v>13986.111111111111</v>
      </c>
      <c r="E101" s="157">
        <f t="shared" si="37"/>
        <v>83916.666666665871</v>
      </c>
      <c r="F101" s="158">
        <f t="shared" si="38"/>
        <v>14786.740411548144</v>
      </c>
      <c r="G101" s="160">
        <f t="shared" si="39"/>
        <v>14786.740411548144</v>
      </c>
      <c r="AA101" s="2">
        <f t="shared" si="48"/>
        <v>72</v>
      </c>
      <c r="AC101" s="9" t="str">
        <f t="shared" si="29"/>
        <v/>
      </c>
      <c r="AD101" s="9">
        <f t="shared" si="47"/>
        <v>13888.888888888889</v>
      </c>
      <c r="AF101" s="2" t="str">
        <f t="shared" si="49"/>
        <v/>
      </c>
      <c r="AG101" s="9" t="str">
        <f t="shared" si="50"/>
        <v/>
      </c>
      <c r="AH101" s="9" t="str">
        <f t="shared" si="51"/>
        <v/>
      </c>
      <c r="AL101" s="23">
        <f t="shared" si="40"/>
        <v>800.62930043703363</v>
      </c>
      <c r="AM101" s="23">
        <f t="shared" si="31"/>
        <v>800.62930043703363</v>
      </c>
      <c r="AN101" s="23">
        <f t="shared" si="53"/>
        <v>800.62930043703363</v>
      </c>
      <c r="AO101" s="23">
        <f t="shared" si="43"/>
        <v>1837.4925564290827</v>
      </c>
      <c r="AP101" s="23">
        <f t="shared" si="46"/>
        <v>3113.4646318192649</v>
      </c>
      <c r="AQ101" s="23">
        <f t="shared" ref="AQ101" si="54">E95*((1+$C$23)^6-1)</f>
        <v>8405.2526509006821</v>
      </c>
      <c r="AR101" s="23">
        <v>0</v>
      </c>
      <c r="AU101" s="23">
        <f t="shared" si="44"/>
        <v>13986.111111111111</v>
      </c>
      <c r="AV101" s="23">
        <f t="shared" si="42"/>
        <v>13986.111111111111</v>
      </c>
      <c r="AW101" s="23">
        <f>$E$23/($B$17-$B$16)*2</f>
        <v>27972.222222222223</v>
      </c>
      <c r="AX101" s="23">
        <f>$E$23/($B$17-$B$16)*3</f>
        <v>41958.333333333336</v>
      </c>
      <c r="AY101" s="23">
        <f>$E$23/($B$17-$B$16)*6</f>
        <v>83916.666666666672</v>
      </c>
      <c r="AZ101" s="23">
        <v>0</v>
      </c>
      <c r="BB101" s="203">
        <f t="shared" si="45"/>
        <v>244.75694444444247</v>
      </c>
    </row>
    <row r="102" spans="1:54" x14ac:dyDescent="0.25">
      <c r="A102" s="68">
        <f t="shared" si="33"/>
        <v>79</v>
      </c>
      <c r="B102" s="68" t="str">
        <f t="shared" si="34"/>
        <v>amortização</v>
      </c>
      <c r="C102" s="158">
        <f t="shared" si="35"/>
        <v>686.25368608888505</v>
      </c>
      <c r="D102" s="158">
        <f t="shared" si="36"/>
        <v>13986.111111111111</v>
      </c>
      <c r="E102" s="157">
        <f t="shared" si="37"/>
        <v>69930.555555554762</v>
      </c>
      <c r="F102" s="158">
        <f t="shared" si="38"/>
        <v>14672.364797199996</v>
      </c>
      <c r="G102" s="160">
        <f t="shared" si="39"/>
        <v>14672.364797199996</v>
      </c>
      <c r="AA102" s="2">
        <f t="shared" si="48"/>
        <v>73</v>
      </c>
      <c r="AC102" s="9" t="str">
        <f t="shared" si="29"/>
        <v/>
      </c>
      <c r="AD102" s="9">
        <f t="shared" si="47"/>
        <v>13888.888888888889</v>
      </c>
      <c r="AF102" s="2" t="str">
        <f t="shared" si="49"/>
        <v/>
      </c>
      <c r="AG102" s="9" t="str">
        <f t="shared" si="50"/>
        <v/>
      </c>
      <c r="AH102" s="9" t="str">
        <f t="shared" si="51"/>
        <v/>
      </c>
      <c r="AL102" s="23">
        <f t="shared" si="40"/>
        <v>686.25368608888505</v>
      </c>
      <c r="AM102" s="23">
        <f t="shared" si="31"/>
        <v>686.25368608888505</v>
      </c>
      <c r="AN102" s="23">
        <f t="shared" si="53"/>
        <v>686.25368608888505</v>
      </c>
      <c r="AO102" s="23">
        <v>0</v>
      </c>
      <c r="AP102" s="23">
        <v>0</v>
      </c>
      <c r="AQ102" s="23">
        <v>0</v>
      </c>
      <c r="AR102" s="23">
        <v>0</v>
      </c>
      <c r="AU102" s="23">
        <f t="shared" si="44"/>
        <v>13986.111111111111</v>
      </c>
      <c r="AV102" s="23">
        <f t="shared" si="42"/>
        <v>13986.111111111111</v>
      </c>
      <c r="AW102" s="23">
        <v>0</v>
      </c>
      <c r="AX102" s="23">
        <v>0</v>
      </c>
      <c r="AY102" s="23">
        <v>0</v>
      </c>
      <c r="AZ102" s="23">
        <v>0</v>
      </c>
      <c r="BB102" s="203">
        <f t="shared" si="45"/>
        <v>209.7916666666647</v>
      </c>
    </row>
    <row r="103" spans="1:54" x14ac:dyDescent="0.25">
      <c r="A103" s="68">
        <f t="shared" si="33"/>
        <v>80</v>
      </c>
      <c r="B103" s="68" t="str">
        <f t="shared" si="34"/>
        <v>amortização</v>
      </c>
      <c r="C103" s="158">
        <f t="shared" si="35"/>
        <v>571.87807174073646</v>
      </c>
      <c r="D103" s="158">
        <f t="shared" si="36"/>
        <v>13986.111111111111</v>
      </c>
      <c r="E103" s="157">
        <f t="shared" si="37"/>
        <v>55944.444444443652</v>
      </c>
      <c r="F103" s="158">
        <f t="shared" si="38"/>
        <v>14557.989182851848</v>
      </c>
      <c r="G103" s="160">
        <f t="shared" si="39"/>
        <v>14557.989182851848</v>
      </c>
      <c r="AA103" s="2">
        <f t="shared" si="48"/>
        <v>74</v>
      </c>
      <c r="AC103" s="9" t="str">
        <f t="shared" si="29"/>
        <v/>
      </c>
      <c r="AD103" s="9">
        <f t="shared" si="47"/>
        <v>13888.888888888889</v>
      </c>
      <c r="AF103" s="2" t="str">
        <f t="shared" si="49"/>
        <v/>
      </c>
      <c r="AG103" s="9" t="str">
        <f t="shared" si="50"/>
        <v/>
      </c>
      <c r="AH103" s="9" t="str">
        <f t="shared" si="51"/>
        <v/>
      </c>
      <c r="AL103" s="23">
        <f t="shared" si="40"/>
        <v>571.87807174073646</v>
      </c>
      <c r="AM103" s="23">
        <f t="shared" si="31"/>
        <v>571.87807174073646</v>
      </c>
      <c r="AN103" s="23">
        <f t="shared" si="53"/>
        <v>571.87807174073646</v>
      </c>
      <c r="AO103" s="23">
        <f>E101*((1+$C$23)^2-1)</f>
        <v>1378.1194173218087</v>
      </c>
      <c r="AP103" s="23">
        <v>0</v>
      </c>
      <c r="AQ103" s="23">
        <v>0</v>
      </c>
      <c r="AR103" s="23">
        <v>0</v>
      </c>
      <c r="AU103" s="23">
        <f t="shared" si="44"/>
        <v>13986.111111111111</v>
      </c>
      <c r="AV103" s="23">
        <f t="shared" si="42"/>
        <v>13986.111111111111</v>
      </c>
      <c r="AW103" s="23">
        <f>$E$23/($B$17-$B$16)*2</f>
        <v>27972.222222222223</v>
      </c>
      <c r="AX103" s="23">
        <v>0</v>
      </c>
      <c r="AY103" s="23">
        <v>0</v>
      </c>
      <c r="AZ103" s="23">
        <v>0</v>
      </c>
      <c r="BB103" s="203">
        <f t="shared" si="45"/>
        <v>174.8263888888869</v>
      </c>
    </row>
    <row r="104" spans="1:54" x14ac:dyDescent="0.25">
      <c r="A104" s="68">
        <f t="shared" si="33"/>
        <v>81</v>
      </c>
      <c r="B104" s="68" t="str">
        <f t="shared" si="34"/>
        <v>amortização</v>
      </c>
      <c r="C104" s="158">
        <f t="shared" si="35"/>
        <v>457.50245739258793</v>
      </c>
      <c r="D104" s="158">
        <f t="shared" si="36"/>
        <v>13986.111111111111</v>
      </c>
      <c r="E104" s="157">
        <f t="shared" si="37"/>
        <v>41958.333333332543</v>
      </c>
      <c r="F104" s="158">
        <f t="shared" si="38"/>
        <v>14443.613568503699</v>
      </c>
      <c r="G104" s="160">
        <f t="shared" si="39"/>
        <v>14443.613568503699</v>
      </c>
      <c r="AA104" s="2">
        <f t="shared" si="48"/>
        <v>75</v>
      </c>
      <c r="AC104" s="9" t="str">
        <f t="shared" si="29"/>
        <v/>
      </c>
      <c r="AD104" s="9">
        <f t="shared" si="47"/>
        <v>13888.888888888889</v>
      </c>
      <c r="AF104" s="2" t="str">
        <f t="shared" si="49"/>
        <v/>
      </c>
      <c r="AG104" s="9" t="str">
        <f t="shared" si="50"/>
        <v/>
      </c>
      <c r="AH104" s="9" t="str">
        <f t="shared" si="51"/>
        <v/>
      </c>
      <c r="AL104" s="23">
        <f t="shared" si="40"/>
        <v>457.50245739258793</v>
      </c>
      <c r="AM104" s="23">
        <f t="shared" si="31"/>
        <v>457.50245739258793</v>
      </c>
      <c r="AN104" s="23">
        <f t="shared" si="53"/>
        <v>457.50245739258793</v>
      </c>
      <c r="AO104" s="23">
        <v>0</v>
      </c>
      <c r="AP104" s="23">
        <f t="shared" si="46"/>
        <v>2075.6430878795036</v>
      </c>
      <c r="AQ104" s="23">
        <v>0</v>
      </c>
      <c r="AR104" s="23">
        <v>0</v>
      </c>
      <c r="AU104" s="23">
        <f t="shared" si="44"/>
        <v>13986.111111111111</v>
      </c>
      <c r="AV104" s="23">
        <f t="shared" si="42"/>
        <v>13986.111111111111</v>
      </c>
      <c r="AW104" s="23">
        <v>0</v>
      </c>
      <c r="AX104" s="23">
        <f>$E$23/($B$17-$B$16)*3</f>
        <v>41958.333333333336</v>
      </c>
      <c r="AY104" s="23">
        <v>0</v>
      </c>
      <c r="AZ104" s="23">
        <v>0</v>
      </c>
      <c r="BB104" s="203">
        <f t="shared" si="45"/>
        <v>139.86111111110912</v>
      </c>
    </row>
    <row r="105" spans="1:54" x14ac:dyDescent="0.25">
      <c r="A105" s="68">
        <f t="shared" si="33"/>
        <v>82</v>
      </c>
      <c r="B105" s="68" t="str">
        <f t="shared" si="34"/>
        <v>amortização</v>
      </c>
      <c r="C105" s="158">
        <f t="shared" si="35"/>
        <v>343.12684304443934</v>
      </c>
      <c r="D105" s="158">
        <f t="shared" si="36"/>
        <v>13986.111111111111</v>
      </c>
      <c r="E105" s="157">
        <f t="shared" si="37"/>
        <v>27972.222222221433</v>
      </c>
      <c r="F105" s="158">
        <f t="shared" si="38"/>
        <v>14329.237954155551</v>
      </c>
      <c r="G105" s="160">
        <f t="shared" si="39"/>
        <v>14329.237954155551</v>
      </c>
      <c r="AA105" s="2">
        <f t="shared" si="48"/>
        <v>76</v>
      </c>
      <c r="AC105" s="9" t="str">
        <f t="shared" si="29"/>
        <v/>
      </c>
      <c r="AD105" s="9">
        <f t="shared" si="47"/>
        <v>13888.888888888889</v>
      </c>
      <c r="AF105" s="2" t="str">
        <f t="shared" si="49"/>
        <v/>
      </c>
      <c r="AG105" s="9" t="str">
        <f t="shared" si="50"/>
        <v/>
      </c>
      <c r="AH105" s="9" t="str">
        <f t="shared" si="51"/>
        <v/>
      </c>
      <c r="AL105" s="23">
        <f t="shared" si="40"/>
        <v>343.12684304443934</v>
      </c>
      <c r="AM105" s="23">
        <f>IF($AN$17=1,AN105,IF($AN$17=2,AO105,IF($AN$17=3,AP105,IF($AN$17=4,AQ105,IF($AN$17=5,AR105)))))</f>
        <v>343.12684304443934</v>
      </c>
      <c r="AN105" s="23">
        <f t="shared" si="53"/>
        <v>343.12684304443934</v>
      </c>
      <c r="AO105" s="23">
        <f t="shared" ref="AO105:AO113" si="55">E103*((1+$C$23)^2-1)</f>
        <v>918.74627821453487</v>
      </c>
      <c r="AP105" s="23">
        <v>0</v>
      </c>
      <c r="AQ105" s="23">
        <v>0</v>
      </c>
      <c r="AR105" s="23">
        <v>0</v>
      </c>
      <c r="AU105" s="23">
        <f t="shared" si="44"/>
        <v>13986.111111111111</v>
      </c>
      <c r="AV105" s="23">
        <f t="shared" si="42"/>
        <v>13986.111111111111</v>
      </c>
      <c r="AW105" s="23">
        <f>$E$23/($B$17-$B$16)*2</f>
        <v>27972.222222222223</v>
      </c>
      <c r="AX105" s="23">
        <v>0</v>
      </c>
      <c r="AY105" s="23">
        <v>0</v>
      </c>
      <c r="AZ105" s="23">
        <v>0</v>
      </c>
      <c r="BB105" s="203">
        <f t="shared" si="45"/>
        <v>104.89583333333135</v>
      </c>
    </row>
    <row r="106" spans="1:54" x14ac:dyDescent="0.25">
      <c r="A106" s="68">
        <f t="shared" si="33"/>
        <v>83</v>
      </c>
      <c r="B106" s="68" t="str">
        <f t="shared" si="34"/>
        <v>amortização</v>
      </c>
      <c r="C106" s="158">
        <f t="shared" si="35"/>
        <v>228.75122869629075</v>
      </c>
      <c r="D106" s="158">
        <f t="shared" si="36"/>
        <v>13986.111111111111</v>
      </c>
      <c r="E106" s="157">
        <f t="shared" si="37"/>
        <v>13986.111111110322</v>
      </c>
      <c r="F106" s="158">
        <f t="shared" si="38"/>
        <v>14214.862339807401</v>
      </c>
      <c r="G106" s="160">
        <f t="shared" si="39"/>
        <v>14214.862339807401</v>
      </c>
      <c r="AA106" s="2">
        <f t="shared" si="48"/>
        <v>77</v>
      </c>
      <c r="AC106" s="9" t="str">
        <f t="shared" si="29"/>
        <v/>
      </c>
      <c r="AD106" s="9">
        <f t="shared" si="47"/>
        <v>13888.888888888889</v>
      </c>
      <c r="AF106" s="2" t="str">
        <f t="shared" si="49"/>
        <v/>
      </c>
      <c r="AG106" s="9" t="str">
        <f t="shared" si="50"/>
        <v/>
      </c>
      <c r="AH106" s="9" t="str">
        <f t="shared" si="51"/>
        <v/>
      </c>
      <c r="AL106" s="23">
        <f t="shared" si="40"/>
        <v>228.75122869629075</v>
      </c>
      <c r="AM106" s="23">
        <f t="shared" ref="AM106:AM131" si="56">IF($AN$17=1,AN106,IF($AN$17=2,AO106,IF($AN$17=3,AP106,IF($AN$17=4,AQ106,IF($AN$17=5,AR106)))))</f>
        <v>228.75122869629075</v>
      </c>
      <c r="AN106" s="23">
        <f t="shared" si="53"/>
        <v>228.75122869629075</v>
      </c>
      <c r="AO106" s="23">
        <v>0</v>
      </c>
      <c r="AP106" s="23">
        <v>0</v>
      </c>
      <c r="AQ106" s="23">
        <v>0</v>
      </c>
      <c r="AR106" s="23">
        <v>0</v>
      </c>
      <c r="AU106" s="23">
        <f t="shared" si="44"/>
        <v>13986.111111111111</v>
      </c>
      <c r="AV106" s="23">
        <f t="shared" si="42"/>
        <v>13986.111111111111</v>
      </c>
      <c r="AW106" s="23">
        <v>0</v>
      </c>
      <c r="AX106" s="23">
        <v>0</v>
      </c>
      <c r="AY106" s="23">
        <v>0</v>
      </c>
      <c r="AZ106" s="23">
        <v>0</v>
      </c>
      <c r="BB106" s="203">
        <f t="shared" si="45"/>
        <v>69.930555555553582</v>
      </c>
    </row>
    <row r="107" spans="1:54" x14ac:dyDescent="0.25">
      <c r="A107" s="68">
        <f t="shared" si="33"/>
        <v>84</v>
      </c>
      <c r="B107" s="68" t="str">
        <f t="shared" si="34"/>
        <v>amortização</v>
      </c>
      <c r="C107" s="158">
        <f t="shared" si="35"/>
        <v>114.37561434814215</v>
      </c>
      <c r="D107" s="158">
        <f t="shared" si="36"/>
        <v>13986.111111111111</v>
      </c>
      <c r="E107" s="157">
        <f t="shared" si="37"/>
        <v>-7.8944140113890171E-10</v>
      </c>
      <c r="F107" s="158">
        <f t="shared" si="38"/>
        <v>14100.486725459254</v>
      </c>
      <c r="G107" s="160">
        <f t="shared" si="39"/>
        <v>14100.486725459254</v>
      </c>
      <c r="AA107" s="2">
        <f t="shared" si="48"/>
        <v>78</v>
      </c>
      <c r="AC107" s="9" t="str">
        <f t="shared" ref="AC107:AC138" si="57">IF(AB107="","",IF(AA107&lt;=B$16,AC106,AC106-AD107))</f>
        <v/>
      </c>
      <c r="AD107" s="9">
        <f t="shared" si="47"/>
        <v>13888.888888888889</v>
      </c>
      <c r="AF107" s="2" t="str">
        <f t="shared" si="49"/>
        <v/>
      </c>
      <c r="AG107" s="9" t="str">
        <f t="shared" si="50"/>
        <v/>
      </c>
      <c r="AH107" s="9" t="str">
        <f t="shared" si="51"/>
        <v/>
      </c>
      <c r="AL107" s="23">
        <f t="shared" si="40"/>
        <v>114.37561434814215</v>
      </c>
      <c r="AM107" s="23">
        <f t="shared" si="56"/>
        <v>114.37561434814215</v>
      </c>
      <c r="AN107" s="23">
        <f t="shared" si="53"/>
        <v>114.37561434814215</v>
      </c>
      <c r="AO107" s="23">
        <f t="shared" si="55"/>
        <v>459.37313910726095</v>
      </c>
      <c r="AP107" s="23">
        <f>E104*((1+$C$23)^3-1)</f>
        <v>1037.821543939742</v>
      </c>
      <c r="AQ107" s="23">
        <f>E101*((1+$C$23)^6-1)</f>
        <v>4202.626325450321</v>
      </c>
      <c r="AR107" s="23">
        <f>E95*((1+$C$23)^12-1)</f>
        <v>17231.448333333519</v>
      </c>
      <c r="AU107" s="23">
        <f t="shared" si="44"/>
        <v>13986.111111111111</v>
      </c>
      <c r="AV107" s="23">
        <f t="shared" si="42"/>
        <v>13986.111111111111</v>
      </c>
      <c r="AW107" s="23">
        <f>$E$23/($B$17-$B$16)*2</f>
        <v>27972.222222222223</v>
      </c>
      <c r="AX107" s="23">
        <f>$E$23/($B$17-$B$16)*3</f>
        <v>41958.333333333336</v>
      </c>
      <c r="AY107" s="23">
        <f>$E$23/($B$17-$B$16)*6</f>
        <v>83916.666666666672</v>
      </c>
      <c r="AZ107" s="23">
        <f>$E$23/($B$17-$B$16)*12</f>
        <v>167833.33333333334</v>
      </c>
      <c r="BB107" s="203">
        <f t="shared" si="45"/>
        <v>34.965277777775803</v>
      </c>
    </row>
    <row r="108" spans="1:54" x14ac:dyDescent="0.25">
      <c r="A108" s="68" t="str">
        <f t="shared" si="33"/>
        <v/>
      </c>
      <c r="B108" s="68" t="str">
        <f t="shared" si="34"/>
        <v/>
      </c>
      <c r="C108" s="158" t="str">
        <f t="shared" si="35"/>
        <v/>
      </c>
      <c r="D108" s="158" t="str">
        <f t="shared" si="36"/>
        <v/>
      </c>
      <c r="E108" s="157" t="str">
        <f t="shared" si="37"/>
        <v/>
      </c>
      <c r="F108" s="158" t="str">
        <f t="shared" si="38"/>
        <v/>
      </c>
      <c r="G108" s="160" t="str">
        <f t="shared" si="39"/>
        <v/>
      </c>
      <c r="AA108" s="2">
        <f t="shared" si="48"/>
        <v>79</v>
      </c>
      <c r="AC108" s="9" t="str">
        <f t="shared" si="57"/>
        <v/>
      </c>
      <c r="AD108" s="9">
        <f t="shared" si="47"/>
        <v>13888.888888888889</v>
      </c>
      <c r="AF108" s="2" t="str">
        <f t="shared" si="49"/>
        <v/>
      </c>
      <c r="AG108" s="9" t="str">
        <f t="shared" si="50"/>
        <v/>
      </c>
      <c r="AH108" s="9" t="str">
        <f t="shared" si="51"/>
        <v/>
      </c>
      <c r="AL108" s="23">
        <f t="shared" si="40"/>
        <v>-6.4558936025749825E-12</v>
      </c>
      <c r="AM108" s="23">
        <f t="shared" si="56"/>
        <v>-6.4558936025749825E-12</v>
      </c>
      <c r="AN108" s="23">
        <f t="shared" si="53"/>
        <v>-6.4558936025749825E-12</v>
      </c>
      <c r="AO108" s="23">
        <v>0</v>
      </c>
      <c r="AP108" s="23">
        <v>0</v>
      </c>
      <c r="AQ108" s="23">
        <v>0</v>
      </c>
      <c r="AR108" s="23">
        <v>0</v>
      </c>
      <c r="AU108" s="23">
        <f t="shared" si="44"/>
        <v>13986.111111111111</v>
      </c>
      <c r="AV108" s="23">
        <f t="shared" si="42"/>
        <v>13986.111111111111</v>
      </c>
      <c r="AW108" s="23">
        <v>0</v>
      </c>
      <c r="AX108" s="23">
        <v>0</v>
      </c>
      <c r="AY108" s="23">
        <v>0</v>
      </c>
      <c r="AZ108" s="23">
        <v>0</v>
      </c>
      <c r="BB108" s="203">
        <f t="shared" si="45"/>
        <v>-1.9736035028472542E-12</v>
      </c>
    </row>
    <row r="109" spans="1:54" x14ac:dyDescent="0.25">
      <c r="A109" s="68" t="str">
        <f t="shared" si="33"/>
        <v/>
      </c>
      <c r="B109" s="68" t="str">
        <f t="shared" si="34"/>
        <v/>
      </c>
      <c r="C109" s="158" t="str">
        <f t="shared" si="35"/>
        <v/>
      </c>
      <c r="D109" s="158" t="str">
        <f t="shared" si="36"/>
        <v/>
      </c>
      <c r="E109" s="157" t="str">
        <f t="shared" si="37"/>
        <v/>
      </c>
      <c r="F109" s="158" t="str">
        <f t="shared" si="38"/>
        <v/>
      </c>
      <c r="G109" s="160" t="str">
        <f t="shared" si="39"/>
        <v/>
      </c>
      <c r="AA109" s="2">
        <f t="shared" si="48"/>
        <v>80</v>
      </c>
      <c r="AC109" s="9" t="str">
        <f t="shared" si="57"/>
        <v/>
      </c>
      <c r="AD109" s="9">
        <f t="shared" si="47"/>
        <v>13888.888888888889</v>
      </c>
      <c r="AF109" s="2" t="str">
        <f t="shared" si="49"/>
        <v/>
      </c>
      <c r="AG109" s="9" t="str">
        <f t="shared" si="50"/>
        <v/>
      </c>
      <c r="AH109" s="9" t="str">
        <f t="shared" si="51"/>
        <v/>
      </c>
      <c r="AL109" s="23" t="e">
        <f t="shared" si="40"/>
        <v>#VALUE!</v>
      </c>
      <c r="AM109" s="23" t="e">
        <f t="shared" si="56"/>
        <v>#VALUE!</v>
      </c>
      <c r="AN109" s="23" t="e">
        <f t="shared" si="53"/>
        <v>#VALUE!</v>
      </c>
      <c r="AO109" s="23">
        <f t="shared" si="55"/>
        <v>-1.2964582209500685E-11</v>
      </c>
      <c r="AP109" s="23">
        <v>0</v>
      </c>
      <c r="AQ109" s="23">
        <v>0</v>
      </c>
      <c r="AR109" s="23">
        <v>0</v>
      </c>
      <c r="AU109" s="23">
        <f t="shared" si="44"/>
        <v>13986.111111111111</v>
      </c>
      <c r="AV109" s="23">
        <f t="shared" si="42"/>
        <v>13986.111111111111</v>
      </c>
      <c r="AW109" s="23">
        <f>$E$23/($B$17-$B$16)*2</f>
        <v>27972.222222222223</v>
      </c>
      <c r="AX109" s="23">
        <v>0</v>
      </c>
      <c r="AY109" s="23">
        <v>0</v>
      </c>
      <c r="AZ109" s="23">
        <v>0</v>
      </c>
      <c r="BB109" s="203" t="e">
        <f t="shared" si="45"/>
        <v>#VALUE!</v>
      </c>
    </row>
    <row r="110" spans="1:54" x14ac:dyDescent="0.25">
      <c r="A110" s="68" t="str">
        <f t="shared" si="33"/>
        <v/>
      </c>
      <c r="B110" s="68" t="str">
        <f t="shared" si="34"/>
        <v/>
      </c>
      <c r="C110" s="158" t="str">
        <f t="shared" si="35"/>
        <v/>
      </c>
      <c r="D110" s="158" t="str">
        <f t="shared" si="36"/>
        <v/>
      </c>
      <c r="E110" s="157" t="str">
        <f t="shared" si="37"/>
        <v/>
      </c>
      <c r="F110" s="158" t="str">
        <f t="shared" si="38"/>
        <v/>
      </c>
      <c r="G110" s="160" t="str">
        <f t="shared" si="39"/>
        <v/>
      </c>
      <c r="AA110" s="2">
        <f t="shared" si="48"/>
        <v>81</v>
      </c>
      <c r="AC110" s="9" t="str">
        <f t="shared" si="57"/>
        <v/>
      </c>
      <c r="AD110" s="9">
        <f t="shared" si="47"/>
        <v>13888.888888888889</v>
      </c>
      <c r="AF110" s="2" t="str">
        <f t="shared" si="49"/>
        <v/>
      </c>
      <c r="AG110" s="9" t="str">
        <f t="shared" si="50"/>
        <v/>
      </c>
      <c r="AH110" s="9" t="str">
        <f t="shared" si="51"/>
        <v/>
      </c>
      <c r="AL110" s="23" t="e">
        <f t="shared" si="40"/>
        <v>#VALUE!</v>
      </c>
      <c r="AM110" s="23" t="e">
        <f t="shared" si="56"/>
        <v>#VALUE!</v>
      </c>
      <c r="AN110" s="23" t="e">
        <f t="shared" si="53"/>
        <v>#VALUE!</v>
      </c>
      <c r="AO110" s="23">
        <v>0</v>
      </c>
      <c r="AP110" s="23">
        <f t="shared" ref="AP110:AP116" si="58">E107*((1+$C$23)^3-1)</f>
        <v>-1.9526497567744438E-11</v>
      </c>
      <c r="AQ110" s="23">
        <v>0</v>
      </c>
      <c r="AR110" s="23">
        <v>0</v>
      </c>
      <c r="AU110" s="23">
        <f t="shared" si="44"/>
        <v>13986.111111111111</v>
      </c>
      <c r="AV110" s="23">
        <f t="shared" si="42"/>
        <v>13986.111111111111</v>
      </c>
      <c r="AW110" s="23">
        <v>0</v>
      </c>
      <c r="AX110" s="23">
        <f>$E$23/($B$17-$B$16)*3</f>
        <v>41958.333333333336</v>
      </c>
      <c r="AY110" s="23">
        <v>0</v>
      </c>
      <c r="AZ110" s="23">
        <v>0</v>
      </c>
      <c r="BB110" s="203" t="e">
        <f t="shared" si="45"/>
        <v>#VALUE!</v>
      </c>
    </row>
    <row r="111" spans="1:54" x14ac:dyDescent="0.25">
      <c r="A111" s="68" t="str">
        <f t="shared" si="33"/>
        <v/>
      </c>
      <c r="B111" s="68" t="str">
        <f t="shared" si="34"/>
        <v/>
      </c>
      <c r="C111" s="158" t="str">
        <f t="shared" si="35"/>
        <v/>
      </c>
      <c r="D111" s="158" t="str">
        <f t="shared" si="36"/>
        <v/>
      </c>
      <c r="E111" s="157" t="str">
        <f t="shared" si="37"/>
        <v/>
      </c>
      <c r="F111" s="158" t="str">
        <f t="shared" si="38"/>
        <v/>
      </c>
      <c r="G111" s="160" t="str">
        <f t="shared" si="39"/>
        <v/>
      </c>
      <c r="AA111" s="2">
        <f t="shared" si="48"/>
        <v>82</v>
      </c>
      <c r="AC111" s="9" t="str">
        <f t="shared" si="57"/>
        <v/>
      </c>
      <c r="AD111" s="9">
        <f t="shared" si="47"/>
        <v>13888.888888888889</v>
      </c>
      <c r="AF111" s="2" t="str">
        <f t="shared" si="49"/>
        <v/>
      </c>
      <c r="AG111" s="9" t="str">
        <f t="shared" si="50"/>
        <v/>
      </c>
      <c r="AH111" s="9" t="str">
        <f t="shared" si="51"/>
        <v/>
      </c>
      <c r="AL111" s="23" t="e">
        <f t="shared" si="40"/>
        <v>#VALUE!</v>
      </c>
      <c r="AM111" s="23" t="e">
        <f t="shared" si="56"/>
        <v>#VALUE!</v>
      </c>
      <c r="AN111" s="23" t="e">
        <f t="shared" si="53"/>
        <v>#VALUE!</v>
      </c>
      <c r="AO111" s="23" t="e">
        <f t="shared" si="55"/>
        <v>#VALUE!</v>
      </c>
      <c r="AP111" s="23">
        <v>0</v>
      </c>
      <c r="AQ111" s="23">
        <v>0</v>
      </c>
      <c r="AR111" s="23">
        <v>0</v>
      </c>
      <c r="AU111" s="23">
        <f t="shared" si="44"/>
        <v>13986.111111111111</v>
      </c>
      <c r="AV111" s="23">
        <f t="shared" si="42"/>
        <v>13986.111111111111</v>
      </c>
      <c r="AW111" s="23">
        <f>$E$23/($B$17-$B$16)*2</f>
        <v>27972.222222222223</v>
      </c>
      <c r="AX111" s="23">
        <v>0</v>
      </c>
      <c r="AY111" s="23">
        <v>0</v>
      </c>
      <c r="AZ111" s="23">
        <v>0</v>
      </c>
      <c r="BB111" s="203" t="e">
        <f t="shared" si="45"/>
        <v>#VALUE!</v>
      </c>
    </row>
    <row r="112" spans="1:54" x14ac:dyDescent="0.25">
      <c r="A112" s="68" t="str">
        <f t="shared" si="33"/>
        <v/>
      </c>
      <c r="B112" s="68" t="str">
        <f t="shared" si="34"/>
        <v/>
      </c>
      <c r="C112" s="158" t="str">
        <f t="shared" si="35"/>
        <v/>
      </c>
      <c r="D112" s="158" t="str">
        <f t="shared" si="36"/>
        <v/>
      </c>
      <c r="E112" s="157" t="str">
        <f t="shared" si="37"/>
        <v/>
      </c>
      <c r="F112" s="158" t="str">
        <f t="shared" si="38"/>
        <v/>
      </c>
      <c r="G112" s="160" t="str">
        <f t="shared" si="39"/>
        <v/>
      </c>
      <c r="AA112" s="2">
        <f t="shared" si="48"/>
        <v>83</v>
      </c>
      <c r="AC112" s="9" t="str">
        <f t="shared" si="57"/>
        <v/>
      </c>
      <c r="AD112" s="9">
        <f t="shared" si="47"/>
        <v>13888.888888888889</v>
      </c>
      <c r="AF112" s="2" t="str">
        <f t="shared" si="49"/>
        <v/>
      </c>
      <c r="AG112" s="9" t="str">
        <f t="shared" si="50"/>
        <v/>
      </c>
      <c r="AH112" s="9" t="str">
        <f t="shared" si="51"/>
        <v/>
      </c>
      <c r="AL112" s="23" t="e">
        <f t="shared" si="40"/>
        <v>#VALUE!</v>
      </c>
      <c r="AM112" s="23" t="e">
        <f t="shared" si="56"/>
        <v>#VALUE!</v>
      </c>
      <c r="AN112" s="23" t="e">
        <f t="shared" si="53"/>
        <v>#VALUE!</v>
      </c>
      <c r="AO112" s="23">
        <v>0</v>
      </c>
      <c r="AP112" s="23">
        <v>0</v>
      </c>
      <c r="AQ112" s="23">
        <v>0</v>
      </c>
      <c r="AR112" s="23">
        <v>0</v>
      </c>
      <c r="AU112" s="23">
        <f t="shared" si="44"/>
        <v>13986.111111111111</v>
      </c>
      <c r="AV112" s="23">
        <f t="shared" si="42"/>
        <v>13986.111111111111</v>
      </c>
      <c r="AW112" s="23">
        <v>0</v>
      </c>
      <c r="AX112" s="23">
        <v>0</v>
      </c>
      <c r="AY112" s="23">
        <v>0</v>
      </c>
      <c r="AZ112" s="23">
        <v>0</v>
      </c>
      <c r="BB112" s="203" t="e">
        <f t="shared" si="45"/>
        <v>#VALUE!</v>
      </c>
    </row>
    <row r="113" spans="1:54" x14ac:dyDescent="0.25">
      <c r="A113" s="68" t="str">
        <f t="shared" si="33"/>
        <v/>
      </c>
      <c r="B113" s="68" t="str">
        <f t="shared" si="34"/>
        <v/>
      </c>
      <c r="C113" s="158" t="str">
        <f t="shared" si="35"/>
        <v/>
      </c>
      <c r="D113" s="158" t="str">
        <f t="shared" si="36"/>
        <v/>
      </c>
      <c r="E113" s="157" t="str">
        <f t="shared" si="37"/>
        <v/>
      </c>
      <c r="F113" s="158" t="str">
        <f t="shared" si="38"/>
        <v/>
      </c>
      <c r="G113" s="160" t="str">
        <f t="shared" si="39"/>
        <v/>
      </c>
      <c r="AA113" s="2">
        <f t="shared" si="48"/>
        <v>84</v>
      </c>
      <c r="AC113" s="9" t="str">
        <f t="shared" si="57"/>
        <v/>
      </c>
      <c r="AD113" s="9">
        <f t="shared" si="47"/>
        <v>13888.888888888889</v>
      </c>
      <c r="AF113" s="2" t="str">
        <f t="shared" si="49"/>
        <v/>
      </c>
      <c r="AG113" s="9" t="str">
        <f t="shared" si="50"/>
        <v/>
      </c>
      <c r="AH113" s="9" t="str">
        <f t="shared" si="51"/>
        <v/>
      </c>
      <c r="AL113" s="23" t="e">
        <f t="shared" si="40"/>
        <v>#VALUE!</v>
      </c>
      <c r="AM113" s="23" t="e">
        <f t="shared" si="56"/>
        <v>#VALUE!</v>
      </c>
      <c r="AN113" s="23" t="e">
        <f t="shared" si="53"/>
        <v>#VALUE!</v>
      </c>
      <c r="AO113" s="23" t="e">
        <f t="shared" si="55"/>
        <v>#VALUE!</v>
      </c>
      <c r="AP113" s="23" t="e">
        <f t="shared" si="58"/>
        <v>#VALUE!</v>
      </c>
      <c r="AQ113" s="23">
        <f t="shared" ref="AQ113" si="59">E107*((1+$C$23)^6-1)</f>
        <v>-3.953597475463873E-11</v>
      </c>
      <c r="AR113" s="23">
        <v>0</v>
      </c>
      <c r="AU113" s="23">
        <f t="shared" si="44"/>
        <v>13986.111111111111</v>
      </c>
      <c r="AV113" s="23">
        <f t="shared" si="42"/>
        <v>13986.111111111111</v>
      </c>
      <c r="AW113" s="23">
        <f>$E$23/($B$17-$B$16)*2</f>
        <v>27972.222222222223</v>
      </c>
      <c r="AX113" s="23">
        <f>$E$23/($B$17-$B$16)*3</f>
        <v>41958.333333333336</v>
      </c>
      <c r="AY113" s="23">
        <f>$E$23/($B$17-$B$16)*6</f>
        <v>83916.666666666672</v>
      </c>
      <c r="AZ113" s="23">
        <v>0</v>
      </c>
      <c r="BB113" s="203" t="e">
        <f t="shared" si="45"/>
        <v>#VALUE!</v>
      </c>
    </row>
    <row r="114" spans="1:54" x14ac:dyDescent="0.25">
      <c r="A114" s="68" t="str">
        <f t="shared" si="33"/>
        <v/>
      </c>
      <c r="B114" s="68" t="str">
        <f t="shared" si="34"/>
        <v/>
      </c>
      <c r="C114" s="158" t="str">
        <f t="shared" si="35"/>
        <v/>
      </c>
      <c r="D114" s="158" t="str">
        <f t="shared" si="36"/>
        <v/>
      </c>
      <c r="E114" s="157" t="str">
        <f t="shared" si="37"/>
        <v/>
      </c>
      <c r="F114" s="158" t="str">
        <f t="shared" si="38"/>
        <v/>
      </c>
      <c r="G114" s="160" t="str">
        <f t="shared" si="39"/>
        <v/>
      </c>
      <c r="AA114" s="2" t="str">
        <f t="shared" si="48"/>
        <v/>
      </c>
      <c r="AC114" s="9" t="str">
        <f t="shared" si="57"/>
        <v/>
      </c>
      <c r="AD114" s="9" t="str">
        <f t="shared" si="47"/>
        <v/>
      </c>
      <c r="AF114" s="2" t="str">
        <f t="shared" si="49"/>
        <v/>
      </c>
      <c r="AG114" s="9" t="str">
        <f t="shared" si="50"/>
        <v/>
      </c>
      <c r="AH114" s="9" t="str">
        <f t="shared" si="51"/>
        <v/>
      </c>
      <c r="AL114" s="23" t="e">
        <f t="shared" si="40"/>
        <v>#VALUE!</v>
      </c>
      <c r="AM114" s="23" t="e">
        <f t="shared" si="56"/>
        <v>#VALUE!</v>
      </c>
      <c r="AN114" s="23" t="e">
        <f t="shared" si="53"/>
        <v>#VALUE!</v>
      </c>
      <c r="AO114" s="23">
        <v>0</v>
      </c>
      <c r="AP114" s="23">
        <v>0</v>
      </c>
      <c r="AQ114" s="23">
        <v>0</v>
      </c>
      <c r="AR114" s="23">
        <v>0</v>
      </c>
      <c r="AU114" s="23">
        <f t="shared" si="44"/>
        <v>13986.111111111111</v>
      </c>
      <c r="AV114" s="23">
        <f t="shared" si="42"/>
        <v>13986.111111111111</v>
      </c>
      <c r="AW114" s="23">
        <v>0</v>
      </c>
      <c r="AX114" s="23">
        <v>0</v>
      </c>
      <c r="AY114" s="23">
        <v>0</v>
      </c>
      <c r="AZ114" s="23">
        <v>0</v>
      </c>
      <c r="BB114" s="203" t="e">
        <f t="shared" si="45"/>
        <v>#VALUE!</v>
      </c>
    </row>
    <row r="115" spans="1:54" x14ac:dyDescent="0.25">
      <c r="A115" s="68" t="str">
        <f t="shared" si="33"/>
        <v/>
      </c>
      <c r="B115" s="68" t="str">
        <f t="shared" si="34"/>
        <v/>
      </c>
      <c r="C115" s="158" t="str">
        <f t="shared" si="35"/>
        <v/>
      </c>
      <c r="D115" s="158" t="str">
        <f t="shared" si="36"/>
        <v/>
      </c>
      <c r="E115" s="157" t="str">
        <f t="shared" si="37"/>
        <v/>
      </c>
      <c r="F115" s="158" t="str">
        <f t="shared" si="38"/>
        <v/>
      </c>
      <c r="G115" s="160" t="str">
        <f t="shared" si="39"/>
        <v/>
      </c>
      <c r="AA115" s="2" t="str">
        <f t="shared" si="48"/>
        <v/>
      </c>
      <c r="AC115" s="9" t="str">
        <f t="shared" si="57"/>
        <v/>
      </c>
      <c r="AD115" s="9" t="str">
        <f t="shared" si="47"/>
        <v/>
      </c>
      <c r="AF115" s="2" t="str">
        <f t="shared" si="49"/>
        <v/>
      </c>
      <c r="AG115" s="9" t="str">
        <f t="shared" si="50"/>
        <v/>
      </c>
      <c r="AH115" s="9" t="str">
        <f t="shared" si="51"/>
        <v/>
      </c>
      <c r="AL115" s="23" t="e">
        <f t="shared" si="40"/>
        <v>#VALUE!</v>
      </c>
      <c r="AM115" s="23" t="e">
        <f t="shared" si="56"/>
        <v>#VALUE!</v>
      </c>
      <c r="AN115" s="23" t="e">
        <f t="shared" si="53"/>
        <v>#VALUE!</v>
      </c>
      <c r="AO115" s="23" t="e">
        <f t="shared" ref="AO115:AO127" si="60">E113*((1+$C$23)^2-1)</f>
        <v>#VALUE!</v>
      </c>
      <c r="AP115" s="23">
        <v>0</v>
      </c>
      <c r="AQ115" s="23">
        <v>0</v>
      </c>
      <c r="AR115" s="23">
        <v>0</v>
      </c>
      <c r="AU115" s="23">
        <f t="shared" si="44"/>
        <v>13986.111111111111</v>
      </c>
      <c r="AV115" s="23">
        <f t="shared" si="42"/>
        <v>13986.111111111111</v>
      </c>
      <c r="AW115" s="23">
        <f>$E$23/($B$17-$B$16)*2</f>
        <v>27972.222222222223</v>
      </c>
      <c r="AX115" s="23">
        <v>0</v>
      </c>
      <c r="AY115" s="23">
        <v>0</v>
      </c>
      <c r="AZ115" s="23">
        <v>0</v>
      </c>
      <c r="BB115" s="203" t="e">
        <f t="shared" si="45"/>
        <v>#VALUE!</v>
      </c>
    </row>
    <row r="116" spans="1:54" x14ac:dyDescent="0.25">
      <c r="A116" s="68" t="str">
        <f t="shared" si="33"/>
        <v/>
      </c>
      <c r="B116" s="68" t="str">
        <f t="shared" si="34"/>
        <v/>
      </c>
      <c r="C116" s="158" t="str">
        <f t="shared" si="35"/>
        <v/>
      </c>
      <c r="D116" s="158" t="str">
        <f t="shared" si="36"/>
        <v/>
      </c>
      <c r="E116" s="157" t="str">
        <f t="shared" si="37"/>
        <v/>
      </c>
      <c r="F116" s="158" t="str">
        <f t="shared" si="38"/>
        <v/>
      </c>
      <c r="G116" s="160" t="str">
        <f t="shared" si="39"/>
        <v/>
      </c>
      <c r="AA116" s="2" t="str">
        <f t="shared" si="48"/>
        <v/>
      </c>
      <c r="AC116" s="9" t="str">
        <f t="shared" si="57"/>
        <v/>
      </c>
      <c r="AD116" s="9" t="str">
        <f t="shared" si="47"/>
        <v/>
      </c>
      <c r="AF116" s="2" t="str">
        <f t="shared" si="49"/>
        <v/>
      </c>
      <c r="AG116" s="9" t="str">
        <f t="shared" si="50"/>
        <v/>
      </c>
      <c r="AH116" s="9" t="str">
        <f t="shared" si="51"/>
        <v/>
      </c>
      <c r="AL116" s="23" t="e">
        <f t="shared" si="40"/>
        <v>#VALUE!</v>
      </c>
      <c r="AM116" s="23" t="e">
        <f t="shared" si="56"/>
        <v>#VALUE!</v>
      </c>
      <c r="AN116" s="23" t="e">
        <f t="shared" si="53"/>
        <v>#VALUE!</v>
      </c>
      <c r="AO116" s="23">
        <v>0</v>
      </c>
      <c r="AP116" s="23" t="e">
        <f t="shared" si="58"/>
        <v>#VALUE!</v>
      </c>
      <c r="AQ116" s="23">
        <v>0</v>
      </c>
      <c r="AR116" s="23">
        <v>0</v>
      </c>
      <c r="AU116" s="23">
        <f t="shared" si="44"/>
        <v>13986.111111111111</v>
      </c>
      <c r="AV116" s="23">
        <f t="shared" si="42"/>
        <v>13986.111111111111</v>
      </c>
      <c r="AW116" s="23">
        <v>0</v>
      </c>
      <c r="AX116" s="23">
        <f>$E$23/($B$17-$B$16)*3</f>
        <v>41958.333333333336</v>
      </c>
      <c r="AY116" s="23">
        <v>0</v>
      </c>
      <c r="AZ116" s="23">
        <v>0</v>
      </c>
      <c r="BB116" s="203" t="e">
        <f t="shared" si="45"/>
        <v>#VALUE!</v>
      </c>
    </row>
    <row r="117" spans="1:54" x14ac:dyDescent="0.25">
      <c r="A117" s="68" t="str">
        <f t="shared" si="33"/>
        <v/>
      </c>
      <c r="B117" s="68" t="str">
        <f t="shared" si="34"/>
        <v/>
      </c>
      <c r="C117" s="158" t="str">
        <f t="shared" si="35"/>
        <v/>
      </c>
      <c r="D117" s="158" t="str">
        <f t="shared" si="36"/>
        <v/>
      </c>
      <c r="E117" s="157" t="str">
        <f t="shared" si="37"/>
        <v/>
      </c>
      <c r="F117" s="158" t="str">
        <f t="shared" si="38"/>
        <v/>
      </c>
      <c r="G117" s="160" t="str">
        <f t="shared" si="39"/>
        <v/>
      </c>
      <c r="AA117" s="2" t="str">
        <f t="shared" si="48"/>
        <v/>
      </c>
      <c r="AC117" s="9" t="str">
        <f t="shared" si="57"/>
        <v/>
      </c>
      <c r="AD117" s="9" t="str">
        <f t="shared" si="47"/>
        <v/>
      </c>
      <c r="AF117" s="2" t="str">
        <f t="shared" si="49"/>
        <v/>
      </c>
      <c r="AG117" s="9" t="str">
        <f t="shared" si="50"/>
        <v/>
      </c>
      <c r="AH117" s="9" t="str">
        <f t="shared" si="51"/>
        <v/>
      </c>
      <c r="AL117" s="23" t="e">
        <f t="shared" si="40"/>
        <v>#VALUE!</v>
      </c>
      <c r="AM117" s="23" t="e">
        <f t="shared" si="56"/>
        <v>#VALUE!</v>
      </c>
      <c r="AN117" s="23" t="e">
        <f t="shared" si="53"/>
        <v>#VALUE!</v>
      </c>
      <c r="AO117" s="23" t="e">
        <f t="shared" si="60"/>
        <v>#VALUE!</v>
      </c>
      <c r="AP117" s="23">
        <v>0</v>
      </c>
      <c r="AQ117" s="23">
        <v>0</v>
      </c>
      <c r="AR117" s="23">
        <v>0</v>
      </c>
      <c r="AU117" s="23">
        <f t="shared" si="44"/>
        <v>13986.111111111111</v>
      </c>
      <c r="AV117" s="23">
        <f t="shared" si="42"/>
        <v>13986.111111111111</v>
      </c>
      <c r="AW117" s="23">
        <f>$E$23/($B$17-$B$16)*2</f>
        <v>27972.222222222223</v>
      </c>
      <c r="AX117" s="23">
        <v>0</v>
      </c>
      <c r="AY117" s="23">
        <v>0</v>
      </c>
      <c r="AZ117" s="23">
        <v>0</v>
      </c>
      <c r="BB117" s="203" t="e">
        <f t="shared" si="45"/>
        <v>#VALUE!</v>
      </c>
    </row>
    <row r="118" spans="1:54" x14ac:dyDescent="0.25">
      <c r="A118" s="68" t="str">
        <f t="shared" si="33"/>
        <v/>
      </c>
      <c r="B118" s="68" t="str">
        <f t="shared" si="34"/>
        <v/>
      </c>
      <c r="C118" s="158" t="str">
        <f t="shared" si="35"/>
        <v/>
      </c>
      <c r="D118" s="158" t="str">
        <f t="shared" si="36"/>
        <v/>
      </c>
      <c r="E118" s="157" t="str">
        <f t="shared" si="37"/>
        <v/>
      </c>
      <c r="F118" s="158" t="str">
        <f t="shared" si="38"/>
        <v/>
      </c>
      <c r="G118" s="160" t="str">
        <f t="shared" si="39"/>
        <v/>
      </c>
      <c r="AA118" s="2" t="str">
        <f t="shared" si="48"/>
        <v/>
      </c>
      <c r="AC118" s="9" t="str">
        <f t="shared" si="57"/>
        <v/>
      </c>
      <c r="AD118" s="9" t="str">
        <f t="shared" si="47"/>
        <v/>
      </c>
      <c r="AF118" s="2" t="str">
        <f t="shared" si="49"/>
        <v/>
      </c>
      <c r="AG118" s="9" t="str">
        <f t="shared" si="50"/>
        <v/>
      </c>
      <c r="AH118" s="9" t="str">
        <f t="shared" si="51"/>
        <v/>
      </c>
      <c r="AL118" s="23" t="e">
        <f t="shared" si="40"/>
        <v>#VALUE!</v>
      </c>
      <c r="AM118" s="23" t="e">
        <f t="shared" si="56"/>
        <v>#VALUE!</v>
      </c>
      <c r="AN118" s="23" t="e">
        <f t="shared" si="53"/>
        <v>#VALUE!</v>
      </c>
      <c r="AO118" s="23">
        <v>0</v>
      </c>
      <c r="AP118" s="23">
        <v>0</v>
      </c>
      <c r="AQ118" s="23">
        <v>0</v>
      </c>
      <c r="AR118" s="23">
        <v>0</v>
      </c>
      <c r="AU118" s="23">
        <f t="shared" si="44"/>
        <v>13986.111111111111</v>
      </c>
      <c r="AV118" s="23">
        <f t="shared" si="42"/>
        <v>13986.111111111111</v>
      </c>
      <c r="AW118" s="23">
        <v>0</v>
      </c>
      <c r="AX118" s="23">
        <v>0</v>
      </c>
      <c r="AY118" s="23">
        <v>0</v>
      </c>
      <c r="AZ118" s="23">
        <v>0</v>
      </c>
      <c r="BB118" s="203" t="e">
        <f t="shared" si="45"/>
        <v>#VALUE!</v>
      </c>
    </row>
    <row r="119" spans="1:54" x14ac:dyDescent="0.25">
      <c r="A119" s="68" t="str">
        <f t="shared" si="33"/>
        <v/>
      </c>
      <c r="B119" s="68" t="str">
        <f t="shared" si="34"/>
        <v/>
      </c>
      <c r="C119" s="158" t="str">
        <f t="shared" si="35"/>
        <v/>
      </c>
      <c r="D119" s="158" t="str">
        <f t="shared" si="36"/>
        <v/>
      </c>
      <c r="E119" s="157" t="str">
        <f t="shared" si="37"/>
        <v/>
      </c>
      <c r="F119" s="158" t="str">
        <f t="shared" si="38"/>
        <v/>
      </c>
      <c r="G119" s="160" t="str">
        <f t="shared" si="39"/>
        <v/>
      </c>
      <c r="AA119" s="2" t="str">
        <f t="shared" si="48"/>
        <v/>
      </c>
      <c r="AC119" s="9" t="str">
        <f t="shared" si="57"/>
        <v/>
      </c>
      <c r="AD119" s="9" t="str">
        <f t="shared" si="47"/>
        <v/>
      </c>
      <c r="AF119" s="2" t="str">
        <f t="shared" si="49"/>
        <v/>
      </c>
      <c r="AG119" s="9" t="str">
        <f t="shared" si="50"/>
        <v/>
      </c>
      <c r="AH119" s="9" t="str">
        <f t="shared" si="51"/>
        <v/>
      </c>
      <c r="AL119" s="23" t="e">
        <f t="shared" si="40"/>
        <v>#VALUE!</v>
      </c>
      <c r="AM119" s="23" t="e">
        <f t="shared" si="56"/>
        <v>#VALUE!</v>
      </c>
      <c r="AN119" s="23" t="e">
        <f t="shared" si="53"/>
        <v>#VALUE!</v>
      </c>
      <c r="AO119" s="23" t="e">
        <f t="shared" si="60"/>
        <v>#VALUE!</v>
      </c>
      <c r="AP119" s="23" t="e">
        <f t="shared" ref="AP119:AP131" si="61">E116*((1+$C$23)^3-1)</f>
        <v>#VALUE!</v>
      </c>
      <c r="AQ119" s="23" t="e">
        <f t="shared" ref="AQ119" si="62">E113*((1+$C$23)^6-1)</f>
        <v>#VALUE!</v>
      </c>
      <c r="AR119" s="23">
        <f>E107*((1+$C$23)^12-1)</f>
        <v>-8.1051948654932303E-11</v>
      </c>
      <c r="AU119" s="23">
        <f t="shared" si="44"/>
        <v>13986.111111111111</v>
      </c>
      <c r="AV119" s="23">
        <f t="shared" si="42"/>
        <v>13986.111111111111</v>
      </c>
      <c r="AW119" s="23">
        <f>$E$23/($B$17-$B$16)*2</f>
        <v>27972.222222222223</v>
      </c>
      <c r="AX119" s="23">
        <f>$E$23/($B$17-$B$16)*3</f>
        <v>41958.333333333336</v>
      </c>
      <c r="AY119" s="23">
        <f>$E$23/($B$17-$B$16)*6</f>
        <v>83916.666666666672</v>
      </c>
      <c r="AZ119" s="23">
        <f>$E$23/($B$17-$B$16)*12</f>
        <v>167833.33333333334</v>
      </c>
      <c r="BB119" s="203" t="e">
        <f t="shared" si="45"/>
        <v>#VALUE!</v>
      </c>
    </row>
    <row r="120" spans="1:54" x14ac:dyDescent="0.25">
      <c r="A120" s="68" t="str">
        <f t="shared" si="33"/>
        <v/>
      </c>
      <c r="B120" s="68" t="str">
        <f t="shared" si="34"/>
        <v/>
      </c>
      <c r="C120" s="158" t="str">
        <f t="shared" si="35"/>
        <v/>
      </c>
      <c r="D120" s="158" t="str">
        <f t="shared" si="36"/>
        <v/>
      </c>
      <c r="E120" s="157" t="str">
        <f t="shared" si="37"/>
        <v/>
      </c>
      <c r="F120" s="158" t="str">
        <f t="shared" si="38"/>
        <v/>
      </c>
      <c r="G120" s="160" t="str">
        <f t="shared" si="39"/>
        <v/>
      </c>
      <c r="AA120" s="2" t="str">
        <f t="shared" si="48"/>
        <v/>
      </c>
      <c r="AC120" s="9" t="str">
        <f t="shared" si="57"/>
        <v/>
      </c>
      <c r="AD120" s="9" t="str">
        <f t="shared" si="47"/>
        <v/>
      </c>
      <c r="AF120" s="2" t="str">
        <f t="shared" si="49"/>
        <v/>
      </c>
      <c r="AG120" s="9" t="str">
        <f t="shared" si="50"/>
        <v/>
      </c>
      <c r="AH120" s="9" t="str">
        <f t="shared" si="51"/>
        <v/>
      </c>
      <c r="AL120" s="23" t="e">
        <f t="shared" si="40"/>
        <v>#VALUE!</v>
      </c>
      <c r="AM120" s="23" t="e">
        <f t="shared" si="56"/>
        <v>#VALUE!</v>
      </c>
      <c r="AN120" s="23" t="e">
        <f t="shared" si="53"/>
        <v>#VALUE!</v>
      </c>
      <c r="AO120" s="23">
        <v>0</v>
      </c>
      <c r="AP120" s="23">
        <v>0</v>
      </c>
      <c r="AQ120" s="23">
        <v>0</v>
      </c>
      <c r="AR120" s="23">
        <v>0</v>
      </c>
      <c r="AU120" s="23">
        <f t="shared" si="44"/>
        <v>13986.111111111111</v>
      </c>
      <c r="AV120" s="23">
        <f t="shared" si="42"/>
        <v>13986.111111111111</v>
      </c>
      <c r="AW120" s="23">
        <v>0</v>
      </c>
      <c r="AX120" s="23">
        <v>0</v>
      </c>
      <c r="AY120" s="23">
        <v>0</v>
      </c>
      <c r="AZ120" s="23">
        <v>0</v>
      </c>
      <c r="BB120" s="203" t="e">
        <f t="shared" si="45"/>
        <v>#VALUE!</v>
      </c>
    </row>
    <row r="121" spans="1:54" x14ac:dyDescent="0.25">
      <c r="A121" s="68" t="str">
        <f t="shared" si="33"/>
        <v/>
      </c>
      <c r="B121" s="68" t="str">
        <f t="shared" si="34"/>
        <v/>
      </c>
      <c r="C121" s="158" t="str">
        <f t="shared" si="35"/>
        <v/>
      </c>
      <c r="D121" s="158" t="str">
        <f t="shared" si="36"/>
        <v/>
      </c>
      <c r="E121" s="157" t="str">
        <f t="shared" si="37"/>
        <v/>
      </c>
      <c r="F121" s="158" t="str">
        <f t="shared" si="38"/>
        <v/>
      </c>
      <c r="G121" s="160" t="str">
        <f t="shared" si="39"/>
        <v/>
      </c>
      <c r="AA121" s="2" t="str">
        <f t="shared" si="48"/>
        <v/>
      </c>
      <c r="AC121" s="9" t="str">
        <f t="shared" si="57"/>
        <v/>
      </c>
      <c r="AD121" s="9" t="str">
        <f t="shared" si="47"/>
        <v/>
      </c>
      <c r="AF121" s="2" t="str">
        <f t="shared" si="49"/>
        <v/>
      </c>
      <c r="AG121" s="9" t="str">
        <f t="shared" si="50"/>
        <v/>
      </c>
      <c r="AH121" s="9" t="str">
        <f t="shared" si="51"/>
        <v/>
      </c>
      <c r="AL121" s="23" t="e">
        <f t="shared" si="40"/>
        <v>#VALUE!</v>
      </c>
      <c r="AM121" s="23" t="e">
        <f t="shared" si="56"/>
        <v>#VALUE!</v>
      </c>
      <c r="AN121" s="23" t="e">
        <f t="shared" si="53"/>
        <v>#VALUE!</v>
      </c>
      <c r="AO121" s="23" t="e">
        <f t="shared" si="60"/>
        <v>#VALUE!</v>
      </c>
      <c r="AP121" s="23">
        <v>0</v>
      </c>
      <c r="AQ121" s="23">
        <v>0</v>
      </c>
      <c r="AR121" s="23">
        <v>0</v>
      </c>
      <c r="AU121" s="23">
        <f t="shared" si="44"/>
        <v>13986.111111111111</v>
      </c>
      <c r="AV121" s="23">
        <f t="shared" si="42"/>
        <v>13986.111111111111</v>
      </c>
      <c r="AW121" s="23">
        <f>$E$23/($B$17-$B$16)*2</f>
        <v>27972.222222222223</v>
      </c>
      <c r="AX121" s="23">
        <v>0</v>
      </c>
      <c r="AY121" s="23">
        <v>0</v>
      </c>
      <c r="AZ121" s="23">
        <v>0</v>
      </c>
      <c r="BB121" s="203" t="e">
        <f t="shared" si="45"/>
        <v>#VALUE!</v>
      </c>
    </row>
    <row r="122" spans="1:54" x14ac:dyDescent="0.25">
      <c r="A122" s="68" t="str">
        <f t="shared" si="33"/>
        <v/>
      </c>
      <c r="B122" s="68" t="str">
        <f t="shared" si="34"/>
        <v/>
      </c>
      <c r="C122" s="158" t="str">
        <f t="shared" si="35"/>
        <v/>
      </c>
      <c r="D122" s="158" t="str">
        <f t="shared" si="36"/>
        <v/>
      </c>
      <c r="E122" s="157" t="str">
        <f t="shared" si="37"/>
        <v/>
      </c>
      <c r="F122" s="158" t="str">
        <f t="shared" si="38"/>
        <v/>
      </c>
      <c r="G122" s="160" t="str">
        <f t="shared" si="39"/>
        <v/>
      </c>
      <c r="AA122" s="2" t="str">
        <f t="shared" si="48"/>
        <v/>
      </c>
      <c r="AC122" s="9" t="str">
        <f t="shared" si="57"/>
        <v/>
      </c>
      <c r="AD122" s="9" t="str">
        <f t="shared" si="47"/>
        <v/>
      </c>
      <c r="AF122" s="2" t="str">
        <f t="shared" si="49"/>
        <v/>
      </c>
      <c r="AG122" s="9" t="str">
        <f t="shared" si="50"/>
        <v/>
      </c>
      <c r="AH122" s="9" t="str">
        <f t="shared" si="51"/>
        <v/>
      </c>
      <c r="AL122" s="23" t="e">
        <f t="shared" si="40"/>
        <v>#VALUE!</v>
      </c>
      <c r="AM122" s="23" t="e">
        <f t="shared" si="56"/>
        <v>#VALUE!</v>
      </c>
      <c r="AN122" s="23" t="e">
        <f t="shared" si="53"/>
        <v>#VALUE!</v>
      </c>
      <c r="AO122" s="23">
        <v>0</v>
      </c>
      <c r="AP122" s="23" t="e">
        <f t="shared" si="61"/>
        <v>#VALUE!</v>
      </c>
      <c r="AQ122" s="23">
        <v>0</v>
      </c>
      <c r="AR122" s="23">
        <v>0</v>
      </c>
      <c r="AU122" s="23">
        <f t="shared" si="44"/>
        <v>13986.111111111111</v>
      </c>
      <c r="AV122" s="23">
        <f t="shared" si="42"/>
        <v>13986.111111111111</v>
      </c>
      <c r="AW122" s="23">
        <v>0</v>
      </c>
      <c r="AX122" s="23">
        <f>$E$23/($B$17-$B$16)*3</f>
        <v>41958.333333333336</v>
      </c>
      <c r="AY122" s="23">
        <v>0</v>
      </c>
      <c r="AZ122" s="23">
        <v>0</v>
      </c>
      <c r="BB122" s="203" t="e">
        <f t="shared" si="45"/>
        <v>#VALUE!</v>
      </c>
    </row>
    <row r="123" spans="1:54" x14ac:dyDescent="0.25">
      <c r="A123" s="68" t="str">
        <f t="shared" si="33"/>
        <v/>
      </c>
      <c r="B123" s="68" t="str">
        <f t="shared" si="34"/>
        <v/>
      </c>
      <c r="C123" s="158" t="str">
        <f t="shared" si="35"/>
        <v/>
      </c>
      <c r="D123" s="158" t="str">
        <f t="shared" si="36"/>
        <v/>
      </c>
      <c r="E123" s="157" t="str">
        <f t="shared" si="37"/>
        <v/>
      </c>
      <c r="F123" s="158" t="str">
        <f t="shared" si="38"/>
        <v/>
      </c>
      <c r="G123" s="160" t="str">
        <f t="shared" si="39"/>
        <v/>
      </c>
      <c r="AA123" s="2" t="str">
        <f t="shared" si="48"/>
        <v/>
      </c>
      <c r="AC123" s="9" t="str">
        <f t="shared" si="57"/>
        <v/>
      </c>
      <c r="AD123" s="9" t="str">
        <f t="shared" si="47"/>
        <v/>
      </c>
      <c r="AF123" s="2" t="str">
        <f t="shared" si="49"/>
        <v/>
      </c>
      <c r="AG123" s="9" t="str">
        <f t="shared" si="50"/>
        <v/>
      </c>
      <c r="AH123" s="9" t="str">
        <f t="shared" si="51"/>
        <v/>
      </c>
      <c r="AL123" s="23" t="e">
        <f t="shared" si="40"/>
        <v>#VALUE!</v>
      </c>
      <c r="AM123" s="23" t="e">
        <f t="shared" si="56"/>
        <v>#VALUE!</v>
      </c>
      <c r="AN123" s="23" t="e">
        <f t="shared" si="53"/>
        <v>#VALUE!</v>
      </c>
      <c r="AO123" s="23" t="e">
        <f t="shared" si="60"/>
        <v>#VALUE!</v>
      </c>
      <c r="AP123" s="23">
        <v>0</v>
      </c>
      <c r="AQ123" s="23">
        <v>0</v>
      </c>
      <c r="AR123" s="23">
        <v>0</v>
      </c>
      <c r="AU123" s="23">
        <f t="shared" si="44"/>
        <v>13986.111111111111</v>
      </c>
      <c r="AV123" s="23">
        <f t="shared" si="42"/>
        <v>13986.111111111111</v>
      </c>
      <c r="AW123" s="23">
        <f>$E$23/($B$17-$B$16)*2</f>
        <v>27972.222222222223</v>
      </c>
      <c r="AX123" s="23">
        <v>0</v>
      </c>
      <c r="AY123" s="23">
        <v>0</v>
      </c>
      <c r="AZ123" s="23">
        <v>0</v>
      </c>
      <c r="BB123" s="203" t="e">
        <f t="shared" si="45"/>
        <v>#VALUE!</v>
      </c>
    </row>
    <row r="124" spans="1:54" x14ac:dyDescent="0.25">
      <c r="A124" s="68" t="str">
        <f t="shared" si="33"/>
        <v/>
      </c>
      <c r="B124" s="68" t="str">
        <f t="shared" si="34"/>
        <v/>
      </c>
      <c r="C124" s="158" t="str">
        <f t="shared" si="35"/>
        <v/>
      </c>
      <c r="D124" s="158" t="str">
        <f t="shared" si="36"/>
        <v/>
      </c>
      <c r="E124" s="157" t="str">
        <f t="shared" si="37"/>
        <v/>
      </c>
      <c r="F124" s="158" t="str">
        <f t="shared" si="38"/>
        <v/>
      </c>
      <c r="G124" s="160" t="str">
        <f t="shared" si="39"/>
        <v/>
      </c>
      <c r="AA124" s="2" t="str">
        <f t="shared" si="48"/>
        <v/>
      </c>
      <c r="AC124" s="9" t="str">
        <f t="shared" si="57"/>
        <v/>
      </c>
      <c r="AD124" s="9" t="str">
        <f t="shared" si="47"/>
        <v/>
      </c>
      <c r="AF124" s="2" t="str">
        <f t="shared" si="49"/>
        <v/>
      </c>
      <c r="AG124" s="9" t="str">
        <f t="shared" si="50"/>
        <v/>
      </c>
      <c r="AH124" s="9" t="str">
        <f t="shared" si="51"/>
        <v/>
      </c>
      <c r="AL124" s="23" t="e">
        <f t="shared" si="40"/>
        <v>#VALUE!</v>
      </c>
      <c r="AM124" s="23" t="e">
        <f t="shared" si="56"/>
        <v>#VALUE!</v>
      </c>
      <c r="AN124" s="23" t="e">
        <f>E123*$C$23</f>
        <v>#VALUE!</v>
      </c>
      <c r="AO124" s="23">
        <v>0</v>
      </c>
      <c r="AP124" s="23">
        <v>0</v>
      </c>
      <c r="AQ124" s="23">
        <v>0</v>
      </c>
      <c r="AR124" s="23">
        <v>0</v>
      </c>
      <c r="AU124" s="23">
        <f t="shared" si="44"/>
        <v>13986.111111111111</v>
      </c>
      <c r="AV124" s="23">
        <f t="shared" si="42"/>
        <v>13986.111111111111</v>
      </c>
      <c r="AW124" s="23">
        <v>0</v>
      </c>
      <c r="AX124" s="23">
        <v>0</v>
      </c>
      <c r="AY124" s="23">
        <v>0</v>
      </c>
      <c r="AZ124" s="23">
        <v>0</v>
      </c>
      <c r="BB124" s="203" t="e">
        <f t="shared" si="45"/>
        <v>#VALUE!</v>
      </c>
    </row>
    <row r="125" spans="1:54" x14ac:dyDescent="0.25">
      <c r="A125" s="68" t="str">
        <f t="shared" si="33"/>
        <v/>
      </c>
      <c r="B125" s="68" t="str">
        <f t="shared" si="34"/>
        <v/>
      </c>
      <c r="C125" s="158" t="str">
        <f t="shared" si="35"/>
        <v/>
      </c>
      <c r="D125" s="158" t="str">
        <f t="shared" si="36"/>
        <v/>
      </c>
      <c r="E125" s="157" t="str">
        <f t="shared" si="37"/>
        <v/>
      </c>
      <c r="F125" s="158" t="str">
        <f t="shared" si="38"/>
        <v/>
      </c>
      <c r="G125" s="160" t="str">
        <f t="shared" si="39"/>
        <v/>
      </c>
      <c r="AA125" s="2" t="str">
        <f t="shared" si="48"/>
        <v/>
      </c>
      <c r="AC125" s="9" t="str">
        <f t="shared" si="57"/>
        <v/>
      </c>
      <c r="AD125" s="9" t="str">
        <f t="shared" si="47"/>
        <v/>
      </c>
      <c r="AF125" s="2" t="str">
        <f t="shared" si="49"/>
        <v/>
      </c>
      <c r="AG125" s="9" t="str">
        <f t="shared" si="50"/>
        <v/>
      </c>
      <c r="AH125" s="9" t="str">
        <f t="shared" si="51"/>
        <v/>
      </c>
      <c r="AL125" s="23" t="e">
        <f t="shared" si="40"/>
        <v>#VALUE!</v>
      </c>
      <c r="AM125" s="23" t="e">
        <f t="shared" si="56"/>
        <v>#VALUE!</v>
      </c>
      <c r="AN125" s="23" t="e">
        <f t="shared" ref="AN125:AN148" si="63">E124*$C$23</f>
        <v>#VALUE!</v>
      </c>
      <c r="AO125" s="23" t="e">
        <f t="shared" si="60"/>
        <v>#VALUE!</v>
      </c>
      <c r="AP125" s="23" t="e">
        <f t="shared" si="61"/>
        <v>#VALUE!</v>
      </c>
      <c r="AQ125" s="23" t="e">
        <f>E119*((1+$C$23)^6-1)</f>
        <v>#VALUE!</v>
      </c>
      <c r="AR125" s="23">
        <v>0</v>
      </c>
      <c r="AU125" s="23">
        <f t="shared" si="44"/>
        <v>13986.111111111111</v>
      </c>
      <c r="AV125" s="23">
        <f t="shared" si="42"/>
        <v>13986.111111111111</v>
      </c>
      <c r="AW125" s="23">
        <f>$E$23/($B$17-$B$16)*2</f>
        <v>27972.222222222223</v>
      </c>
      <c r="AX125" s="23">
        <f>$E$23/($B$17-$B$16)*3</f>
        <v>41958.333333333336</v>
      </c>
      <c r="AY125" s="23">
        <f>$E$23/($B$17-$B$16)*6</f>
        <v>83916.666666666672</v>
      </c>
      <c r="AZ125" s="23">
        <v>0</v>
      </c>
      <c r="BB125" s="203" t="e">
        <f t="shared" si="45"/>
        <v>#VALUE!</v>
      </c>
    </row>
    <row r="126" spans="1:54" x14ac:dyDescent="0.25">
      <c r="A126" s="68" t="str">
        <f t="shared" si="33"/>
        <v/>
      </c>
      <c r="B126" s="68" t="str">
        <f t="shared" si="34"/>
        <v/>
      </c>
      <c r="C126" s="158" t="str">
        <f t="shared" si="35"/>
        <v/>
      </c>
      <c r="D126" s="158" t="str">
        <f t="shared" si="36"/>
        <v/>
      </c>
      <c r="E126" s="157" t="str">
        <f t="shared" si="37"/>
        <v/>
      </c>
      <c r="F126" s="158" t="str">
        <f t="shared" si="38"/>
        <v/>
      </c>
      <c r="G126" s="160" t="str">
        <f t="shared" si="39"/>
        <v/>
      </c>
      <c r="AA126" s="2" t="str">
        <f t="shared" si="48"/>
        <v/>
      </c>
      <c r="AC126" s="9" t="str">
        <f t="shared" si="57"/>
        <v/>
      </c>
      <c r="AD126" s="9" t="str">
        <f t="shared" si="47"/>
        <v/>
      </c>
      <c r="AF126" s="2" t="str">
        <f t="shared" si="49"/>
        <v/>
      </c>
      <c r="AG126" s="9" t="str">
        <f t="shared" si="50"/>
        <v/>
      </c>
      <c r="AH126" s="9" t="str">
        <f t="shared" si="51"/>
        <v/>
      </c>
      <c r="AL126" s="23" t="e">
        <f t="shared" si="40"/>
        <v>#VALUE!</v>
      </c>
      <c r="AM126" s="23" t="e">
        <f t="shared" si="56"/>
        <v>#VALUE!</v>
      </c>
      <c r="AN126" s="23" t="e">
        <f t="shared" si="63"/>
        <v>#VALUE!</v>
      </c>
      <c r="AO126" s="23">
        <v>0</v>
      </c>
      <c r="AP126" s="23">
        <v>0</v>
      </c>
      <c r="AQ126" s="23">
        <v>0</v>
      </c>
      <c r="AR126" s="23">
        <v>0</v>
      </c>
      <c r="AU126" s="23">
        <f t="shared" si="44"/>
        <v>13986.111111111111</v>
      </c>
      <c r="AV126" s="23">
        <f t="shared" si="42"/>
        <v>13986.111111111111</v>
      </c>
      <c r="AW126" s="23">
        <v>0</v>
      </c>
      <c r="AX126" s="23">
        <v>0</v>
      </c>
      <c r="AY126" s="23">
        <v>0</v>
      </c>
      <c r="AZ126" s="23">
        <v>0</v>
      </c>
      <c r="BB126" s="203" t="e">
        <f t="shared" si="45"/>
        <v>#VALUE!</v>
      </c>
    </row>
    <row r="127" spans="1:54" x14ac:dyDescent="0.25">
      <c r="A127" s="68" t="str">
        <f t="shared" si="33"/>
        <v/>
      </c>
      <c r="B127" s="68" t="str">
        <f t="shared" si="34"/>
        <v/>
      </c>
      <c r="C127" s="158" t="str">
        <f t="shared" si="35"/>
        <v/>
      </c>
      <c r="D127" s="158" t="str">
        <f t="shared" si="36"/>
        <v/>
      </c>
      <c r="E127" s="157" t="str">
        <f t="shared" si="37"/>
        <v/>
      </c>
      <c r="F127" s="158" t="str">
        <f t="shared" si="38"/>
        <v/>
      </c>
      <c r="G127" s="160" t="str">
        <f t="shared" si="39"/>
        <v/>
      </c>
      <c r="AA127" s="2" t="str">
        <f t="shared" si="48"/>
        <v/>
      </c>
      <c r="AC127" s="9" t="str">
        <f t="shared" si="57"/>
        <v/>
      </c>
      <c r="AD127" s="9" t="str">
        <f t="shared" si="47"/>
        <v/>
      </c>
      <c r="AF127" s="2" t="str">
        <f t="shared" si="49"/>
        <v/>
      </c>
      <c r="AG127" s="9" t="str">
        <f t="shared" si="50"/>
        <v/>
      </c>
      <c r="AH127" s="9" t="str">
        <f t="shared" si="51"/>
        <v/>
      </c>
      <c r="AL127" s="23" t="e">
        <f t="shared" si="40"/>
        <v>#VALUE!</v>
      </c>
      <c r="AM127" s="23" t="e">
        <f t="shared" si="56"/>
        <v>#VALUE!</v>
      </c>
      <c r="AN127" s="23" t="e">
        <f t="shared" si="63"/>
        <v>#VALUE!</v>
      </c>
      <c r="AO127" s="23" t="e">
        <f t="shared" si="60"/>
        <v>#VALUE!</v>
      </c>
      <c r="AP127" s="23">
        <v>0</v>
      </c>
      <c r="AQ127" s="23">
        <v>0</v>
      </c>
      <c r="AR127" s="23">
        <v>0</v>
      </c>
      <c r="AU127" s="23">
        <f t="shared" si="44"/>
        <v>13986.111111111111</v>
      </c>
      <c r="AV127" s="23">
        <f t="shared" si="42"/>
        <v>13986.111111111111</v>
      </c>
      <c r="AW127" s="23">
        <f>$E$23/($B$17-$B$16)*2</f>
        <v>27972.222222222223</v>
      </c>
      <c r="AX127" s="23">
        <v>0</v>
      </c>
      <c r="AY127" s="23">
        <v>0</v>
      </c>
      <c r="AZ127" s="23">
        <v>0</v>
      </c>
      <c r="BB127" s="203" t="e">
        <f t="shared" si="45"/>
        <v>#VALUE!</v>
      </c>
    </row>
    <row r="128" spans="1:54" x14ac:dyDescent="0.25">
      <c r="A128" s="68" t="str">
        <f t="shared" si="33"/>
        <v/>
      </c>
      <c r="B128" s="68" t="str">
        <f t="shared" si="34"/>
        <v/>
      </c>
      <c r="C128" s="158" t="str">
        <f t="shared" si="35"/>
        <v/>
      </c>
      <c r="D128" s="158" t="str">
        <f t="shared" si="36"/>
        <v/>
      </c>
      <c r="E128" s="157" t="str">
        <f t="shared" si="37"/>
        <v/>
      </c>
      <c r="F128" s="158" t="str">
        <f t="shared" si="38"/>
        <v/>
      </c>
      <c r="G128" s="160" t="str">
        <f t="shared" si="39"/>
        <v/>
      </c>
      <c r="AA128" s="2" t="str">
        <f t="shared" si="48"/>
        <v/>
      </c>
      <c r="AC128" s="9" t="str">
        <f t="shared" si="57"/>
        <v/>
      </c>
      <c r="AD128" s="9" t="str">
        <f t="shared" si="47"/>
        <v/>
      </c>
      <c r="AF128" s="2" t="str">
        <f t="shared" si="49"/>
        <v/>
      </c>
      <c r="AG128" s="9" t="str">
        <f t="shared" si="50"/>
        <v/>
      </c>
      <c r="AH128" s="9" t="str">
        <f t="shared" si="51"/>
        <v/>
      </c>
      <c r="AL128" s="23" t="e">
        <f t="shared" si="40"/>
        <v>#VALUE!</v>
      </c>
      <c r="AM128" s="23" t="e">
        <f t="shared" si="56"/>
        <v>#VALUE!</v>
      </c>
      <c r="AN128" s="23" t="e">
        <f t="shared" si="63"/>
        <v>#VALUE!</v>
      </c>
      <c r="AO128" s="23">
        <v>0</v>
      </c>
      <c r="AP128" s="23" t="e">
        <f t="shared" si="61"/>
        <v>#VALUE!</v>
      </c>
      <c r="AQ128" s="23">
        <v>0</v>
      </c>
      <c r="AR128" s="23">
        <v>0</v>
      </c>
      <c r="AU128" s="23">
        <f t="shared" si="44"/>
        <v>13986.111111111111</v>
      </c>
      <c r="AV128" s="23">
        <f t="shared" si="42"/>
        <v>13986.111111111111</v>
      </c>
      <c r="AW128" s="23">
        <v>0</v>
      </c>
      <c r="AX128" s="23">
        <f>$E$23/($B$17-$B$16)*3</f>
        <v>41958.333333333336</v>
      </c>
      <c r="AY128" s="23">
        <v>0</v>
      </c>
      <c r="AZ128" s="23">
        <v>0</v>
      </c>
      <c r="BB128" s="203" t="e">
        <f t="shared" si="45"/>
        <v>#VALUE!</v>
      </c>
    </row>
    <row r="129" spans="1:54" x14ac:dyDescent="0.25">
      <c r="A129" s="68" t="str">
        <f t="shared" si="33"/>
        <v/>
      </c>
      <c r="B129" s="68" t="str">
        <f t="shared" si="34"/>
        <v/>
      </c>
      <c r="C129" s="158" t="str">
        <f t="shared" si="35"/>
        <v/>
      </c>
      <c r="D129" s="158" t="str">
        <f t="shared" si="36"/>
        <v/>
      </c>
      <c r="E129" s="157" t="str">
        <f t="shared" si="37"/>
        <v/>
      </c>
      <c r="F129" s="158" t="str">
        <f t="shared" si="38"/>
        <v/>
      </c>
      <c r="G129" s="160" t="str">
        <f t="shared" si="39"/>
        <v/>
      </c>
      <c r="AA129" s="2" t="str">
        <f t="shared" si="48"/>
        <v/>
      </c>
      <c r="AC129" s="9" t="str">
        <f t="shared" si="57"/>
        <v/>
      </c>
      <c r="AD129" s="9" t="str">
        <f t="shared" si="47"/>
        <v/>
      </c>
      <c r="AF129" s="2" t="str">
        <f t="shared" si="49"/>
        <v/>
      </c>
      <c r="AG129" s="9" t="str">
        <f t="shared" si="50"/>
        <v/>
      </c>
      <c r="AH129" s="9" t="str">
        <f t="shared" si="51"/>
        <v/>
      </c>
      <c r="AL129" s="23" t="e">
        <f t="shared" si="40"/>
        <v>#VALUE!</v>
      </c>
      <c r="AM129" s="23" t="e">
        <f t="shared" si="56"/>
        <v>#VALUE!</v>
      </c>
      <c r="AN129" s="23" t="e">
        <f t="shared" si="63"/>
        <v>#VALUE!</v>
      </c>
      <c r="AO129" s="23" t="e">
        <f>E127*((1+$C$23)^2-1)</f>
        <v>#VALUE!</v>
      </c>
      <c r="AP129" s="23">
        <v>0</v>
      </c>
      <c r="AQ129" s="23">
        <v>0</v>
      </c>
      <c r="AR129" s="23">
        <v>0</v>
      </c>
      <c r="AU129" s="23">
        <f t="shared" si="44"/>
        <v>13986.111111111111</v>
      </c>
      <c r="AV129" s="23">
        <f t="shared" si="42"/>
        <v>13986.111111111111</v>
      </c>
      <c r="AW129" s="23">
        <f>$E$23/($B$17-$B$16)*2</f>
        <v>27972.222222222223</v>
      </c>
      <c r="AX129" s="23">
        <v>0</v>
      </c>
      <c r="AY129" s="23">
        <v>0</v>
      </c>
      <c r="AZ129" s="23">
        <v>0</v>
      </c>
      <c r="BB129" s="203" t="e">
        <f t="shared" si="45"/>
        <v>#VALUE!</v>
      </c>
    </row>
    <row r="130" spans="1:54" x14ac:dyDescent="0.25">
      <c r="A130" s="68" t="str">
        <f t="shared" si="33"/>
        <v/>
      </c>
      <c r="B130" s="68" t="str">
        <f t="shared" si="34"/>
        <v/>
      </c>
      <c r="C130" s="158" t="str">
        <f t="shared" si="35"/>
        <v/>
      </c>
      <c r="D130" s="158" t="str">
        <f t="shared" si="36"/>
        <v/>
      </c>
      <c r="E130" s="157" t="str">
        <f t="shared" si="37"/>
        <v/>
      </c>
      <c r="F130" s="158" t="str">
        <f t="shared" si="38"/>
        <v/>
      </c>
      <c r="G130" s="160" t="str">
        <f t="shared" si="39"/>
        <v/>
      </c>
      <c r="AA130" s="2" t="str">
        <f t="shared" si="48"/>
        <v/>
      </c>
      <c r="AC130" s="9" t="str">
        <f t="shared" si="57"/>
        <v/>
      </c>
      <c r="AD130" s="9" t="str">
        <f t="shared" si="47"/>
        <v/>
      </c>
      <c r="AF130" s="2" t="str">
        <f t="shared" si="49"/>
        <v/>
      </c>
      <c r="AG130" s="9" t="str">
        <f t="shared" si="50"/>
        <v/>
      </c>
      <c r="AH130" s="9" t="str">
        <f t="shared" si="51"/>
        <v/>
      </c>
      <c r="AL130" s="23" t="e">
        <f t="shared" si="40"/>
        <v>#VALUE!</v>
      </c>
      <c r="AM130" s="23" t="e">
        <f t="shared" si="56"/>
        <v>#VALUE!</v>
      </c>
      <c r="AN130" s="23" t="e">
        <f t="shared" si="63"/>
        <v>#VALUE!</v>
      </c>
      <c r="AO130" s="23">
        <v>0</v>
      </c>
      <c r="AP130" s="23">
        <v>0</v>
      </c>
      <c r="AQ130" s="23">
        <v>0</v>
      </c>
      <c r="AR130" s="23">
        <v>0</v>
      </c>
      <c r="AU130" s="23">
        <f t="shared" si="44"/>
        <v>13986.111111111111</v>
      </c>
      <c r="AV130" s="23">
        <f t="shared" si="42"/>
        <v>13986.111111111111</v>
      </c>
      <c r="AW130" s="23">
        <v>0</v>
      </c>
      <c r="AX130" s="23">
        <v>0</v>
      </c>
      <c r="AY130" s="23">
        <v>0</v>
      </c>
      <c r="AZ130" s="23">
        <v>0</v>
      </c>
      <c r="BB130" s="203" t="e">
        <f t="shared" si="45"/>
        <v>#VALUE!</v>
      </c>
    </row>
    <row r="131" spans="1:54" x14ac:dyDescent="0.25">
      <c r="A131" s="68" t="str">
        <f t="shared" si="33"/>
        <v/>
      </c>
      <c r="B131" s="68" t="str">
        <f t="shared" si="34"/>
        <v/>
      </c>
      <c r="C131" s="158" t="str">
        <f t="shared" si="35"/>
        <v/>
      </c>
      <c r="D131" s="158" t="str">
        <f t="shared" si="36"/>
        <v/>
      </c>
      <c r="E131" s="157" t="str">
        <f t="shared" si="37"/>
        <v/>
      </c>
      <c r="F131" s="158" t="str">
        <f t="shared" si="38"/>
        <v/>
      </c>
      <c r="G131" s="160" t="str">
        <f t="shared" si="39"/>
        <v/>
      </c>
      <c r="AA131" s="2" t="str">
        <f t="shared" si="48"/>
        <v/>
      </c>
      <c r="AC131" s="9" t="str">
        <f t="shared" si="57"/>
        <v/>
      </c>
      <c r="AD131" s="9" t="str">
        <f t="shared" si="47"/>
        <v/>
      </c>
      <c r="AF131" s="2" t="str">
        <f t="shared" si="49"/>
        <v/>
      </c>
      <c r="AG131" s="9" t="str">
        <f t="shared" si="50"/>
        <v/>
      </c>
      <c r="AH131" s="9" t="str">
        <f t="shared" si="51"/>
        <v/>
      </c>
      <c r="AL131" s="23" t="e">
        <f t="shared" si="40"/>
        <v>#VALUE!</v>
      </c>
      <c r="AM131" s="23" t="e">
        <f t="shared" si="56"/>
        <v>#VALUE!</v>
      </c>
      <c r="AN131" s="23" t="e">
        <f t="shared" si="63"/>
        <v>#VALUE!</v>
      </c>
      <c r="AO131" s="23" t="e">
        <f t="shared" ref="AO131:AO139" si="64">E129*((1+$C$23)^2-1)</f>
        <v>#VALUE!</v>
      </c>
      <c r="AP131" s="23" t="e">
        <f t="shared" si="61"/>
        <v>#VALUE!</v>
      </c>
      <c r="AQ131" s="23" t="e">
        <f t="shared" ref="AQ131" si="65">E125*((1+$C$23)^6-1)</f>
        <v>#VALUE!</v>
      </c>
      <c r="AR131" s="23" t="e">
        <f>E119*((1+$C$23)^12-1)</f>
        <v>#VALUE!</v>
      </c>
      <c r="AU131" s="23">
        <f t="shared" si="44"/>
        <v>13986.111111111111</v>
      </c>
      <c r="AV131" s="23">
        <f t="shared" si="42"/>
        <v>13986.111111111111</v>
      </c>
      <c r="AW131" s="23">
        <f>$E$23/($B$17-$B$16)*2</f>
        <v>27972.222222222223</v>
      </c>
      <c r="AX131" s="23">
        <f>$E$23/($B$17-$B$16)*3</f>
        <v>41958.333333333336</v>
      </c>
      <c r="AY131" s="23">
        <f>$E$23/($B$17-$B$16)*6</f>
        <v>83916.666666666672</v>
      </c>
      <c r="AZ131" s="23">
        <f>$E$23/($B$17-$B$16)*12</f>
        <v>167833.33333333334</v>
      </c>
      <c r="BB131" s="203" t="e">
        <f t="shared" si="45"/>
        <v>#VALUE!</v>
      </c>
    </row>
    <row r="132" spans="1:54" x14ac:dyDescent="0.25">
      <c r="A132" s="68" t="str">
        <f t="shared" si="33"/>
        <v/>
      </c>
      <c r="B132" s="68" t="str">
        <f t="shared" si="34"/>
        <v/>
      </c>
      <c r="C132" s="158" t="str">
        <f t="shared" si="35"/>
        <v/>
      </c>
      <c r="D132" s="158" t="str">
        <f t="shared" si="36"/>
        <v/>
      </c>
      <c r="E132" s="157" t="str">
        <f t="shared" si="37"/>
        <v/>
      </c>
      <c r="F132" s="158" t="str">
        <f t="shared" si="38"/>
        <v/>
      </c>
      <c r="G132" s="160" t="str">
        <f t="shared" si="39"/>
        <v/>
      </c>
      <c r="AA132" s="2" t="str">
        <f t="shared" si="48"/>
        <v/>
      </c>
      <c r="AC132" s="9" t="str">
        <f t="shared" si="57"/>
        <v/>
      </c>
      <c r="AD132" s="9" t="str">
        <f t="shared" si="47"/>
        <v/>
      </c>
      <c r="AF132" s="2" t="str">
        <f t="shared" si="49"/>
        <v/>
      </c>
      <c r="AG132" s="9" t="str">
        <f t="shared" si="50"/>
        <v/>
      </c>
      <c r="AH132" s="9" t="str">
        <f t="shared" si="51"/>
        <v/>
      </c>
      <c r="AL132" s="23" t="e">
        <f t="shared" si="40"/>
        <v>#VALUE!</v>
      </c>
      <c r="AM132" s="23" t="e">
        <f>IF($AN$17=1,AN132,IF($AN$17=2,AO132,IF($AN$17=3,AP132,IF($AN$17=4,AQ132,IF($AN$17=5,AR132)))))</f>
        <v>#VALUE!</v>
      </c>
      <c r="AN132" s="23" t="e">
        <f t="shared" si="63"/>
        <v>#VALUE!</v>
      </c>
      <c r="AO132" s="23">
        <v>0</v>
      </c>
      <c r="AP132" s="23">
        <v>0</v>
      </c>
      <c r="AQ132" s="23">
        <v>0</v>
      </c>
      <c r="AR132" s="23">
        <v>0</v>
      </c>
      <c r="AU132" s="23">
        <f t="shared" si="44"/>
        <v>13986.111111111111</v>
      </c>
      <c r="AV132" s="23">
        <f t="shared" si="42"/>
        <v>13986.111111111111</v>
      </c>
      <c r="AW132" s="23">
        <v>0</v>
      </c>
      <c r="AX132" s="23">
        <v>0</v>
      </c>
      <c r="AY132" s="23">
        <v>0</v>
      </c>
      <c r="AZ132" s="23">
        <v>0</v>
      </c>
      <c r="BB132" s="203" t="e">
        <f t="shared" si="45"/>
        <v>#VALUE!</v>
      </c>
    </row>
    <row r="133" spans="1:54" x14ac:dyDescent="0.25">
      <c r="A133" s="68" t="str">
        <f t="shared" si="33"/>
        <v/>
      </c>
      <c r="B133" s="68" t="str">
        <f t="shared" si="34"/>
        <v/>
      </c>
      <c r="C133" s="158" t="str">
        <f t="shared" si="35"/>
        <v/>
      </c>
      <c r="D133" s="158" t="str">
        <f t="shared" si="36"/>
        <v/>
      </c>
      <c r="E133" s="157" t="str">
        <f t="shared" si="37"/>
        <v/>
      </c>
      <c r="F133" s="158" t="str">
        <f t="shared" si="38"/>
        <v/>
      </c>
      <c r="G133" s="160" t="str">
        <f t="shared" si="39"/>
        <v/>
      </c>
      <c r="AA133" s="2" t="str">
        <f t="shared" si="48"/>
        <v/>
      </c>
      <c r="AC133" s="9" t="str">
        <f t="shared" si="57"/>
        <v/>
      </c>
      <c r="AD133" s="9" t="str">
        <f t="shared" si="47"/>
        <v/>
      </c>
      <c r="AF133" s="2" t="str">
        <f t="shared" si="49"/>
        <v/>
      </c>
      <c r="AG133" s="9" t="str">
        <f t="shared" si="50"/>
        <v/>
      </c>
      <c r="AH133" s="9" t="str">
        <f t="shared" si="51"/>
        <v/>
      </c>
      <c r="AL133" s="23" t="e">
        <f t="shared" si="40"/>
        <v>#VALUE!</v>
      </c>
      <c r="AM133" s="23" t="e">
        <f t="shared" ref="AM133:AM158" si="66">IF($AN$17=1,AN133,IF($AN$17=2,AO133,IF($AN$17=3,AP133,IF($AN$17=4,AQ133,IF($AN$17=5,AR133)))))</f>
        <v>#VALUE!</v>
      </c>
      <c r="AN133" s="23" t="e">
        <f t="shared" si="63"/>
        <v>#VALUE!</v>
      </c>
      <c r="AO133" s="23" t="e">
        <f t="shared" si="64"/>
        <v>#VALUE!</v>
      </c>
      <c r="AP133" s="23">
        <v>0</v>
      </c>
      <c r="AQ133" s="23">
        <v>0</v>
      </c>
      <c r="AR133" s="23">
        <v>0</v>
      </c>
      <c r="AU133" s="23">
        <f t="shared" si="44"/>
        <v>13986.111111111111</v>
      </c>
      <c r="AV133" s="23">
        <f t="shared" si="42"/>
        <v>13986.111111111111</v>
      </c>
      <c r="AW133" s="23">
        <f>$E$23/($B$17-$B$16)*2</f>
        <v>27972.222222222223</v>
      </c>
      <c r="AX133" s="23">
        <v>0</v>
      </c>
      <c r="AY133" s="23">
        <v>0</v>
      </c>
      <c r="AZ133" s="23">
        <v>0</v>
      </c>
      <c r="BB133" s="203" t="e">
        <f t="shared" si="45"/>
        <v>#VALUE!</v>
      </c>
    </row>
    <row r="134" spans="1:54" x14ac:dyDescent="0.25">
      <c r="A134" s="68" t="str">
        <f t="shared" si="33"/>
        <v/>
      </c>
      <c r="B134" s="68" t="str">
        <f t="shared" si="34"/>
        <v/>
      </c>
      <c r="C134" s="158" t="str">
        <f t="shared" si="35"/>
        <v/>
      </c>
      <c r="D134" s="158" t="str">
        <f t="shared" si="36"/>
        <v/>
      </c>
      <c r="E134" s="157" t="str">
        <f t="shared" si="37"/>
        <v/>
      </c>
      <c r="F134" s="158" t="str">
        <f t="shared" si="38"/>
        <v/>
      </c>
      <c r="G134" s="160" t="str">
        <f t="shared" si="39"/>
        <v/>
      </c>
      <c r="AA134" s="2" t="str">
        <f t="shared" si="48"/>
        <v/>
      </c>
      <c r="AC134" s="9" t="str">
        <f t="shared" si="57"/>
        <v/>
      </c>
      <c r="AD134" s="9" t="str">
        <f t="shared" si="47"/>
        <v/>
      </c>
      <c r="AF134" s="2" t="str">
        <f t="shared" si="49"/>
        <v/>
      </c>
      <c r="AG134" s="9" t="str">
        <f t="shared" si="50"/>
        <v/>
      </c>
      <c r="AH134" s="9" t="str">
        <f t="shared" si="51"/>
        <v/>
      </c>
      <c r="AL134" s="23" t="e">
        <f t="shared" si="40"/>
        <v>#VALUE!</v>
      </c>
      <c r="AM134" s="23" t="e">
        <f t="shared" si="66"/>
        <v>#VALUE!</v>
      </c>
      <c r="AN134" s="23" t="e">
        <f t="shared" si="63"/>
        <v>#VALUE!</v>
      </c>
      <c r="AO134" s="23">
        <v>0</v>
      </c>
      <c r="AP134" s="23" t="e">
        <f>E131*((1+$C$23)^3-1)</f>
        <v>#VALUE!</v>
      </c>
      <c r="AQ134" s="23">
        <v>0</v>
      </c>
      <c r="AR134" s="23">
        <v>0</v>
      </c>
      <c r="AU134" s="23">
        <f t="shared" si="44"/>
        <v>13986.111111111111</v>
      </c>
      <c r="AV134" s="23">
        <f t="shared" si="42"/>
        <v>13986.111111111111</v>
      </c>
      <c r="AW134" s="23">
        <v>0</v>
      </c>
      <c r="AX134" s="23">
        <f>$E$23/($B$17-$B$16)*3</f>
        <v>41958.333333333336</v>
      </c>
      <c r="AY134" s="23">
        <v>0</v>
      </c>
      <c r="AZ134" s="23">
        <v>0</v>
      </c>
      <c r="BB134" s="203" t="e">
        <f t="shared" si="45"/>
        <v>#VALUE!</v>
      </c>
    </row>
    <row r="135" spans="1:54" x14ac:dyDescent="0.25">
      <c r="A135" s="68" t="str">
        <f t="shared" si="33"/>
        <v/>
      </c>
      <c r="B135" s="68" t="str">
        <f t="shared" si="34"/>
        <v/>
      </c>
      <c r="C135" s="158" t="str">
        <f t="shared" si="35"/>
        <v/>
      </c>
      <c r="D135" s="158" t="str">
        <f t="shared" si="36"/>
        <v/>
      </c>
      <c r="E135" s="157" t="str">
        <f t="shared" si="37"/>
        <v/>
      </c>
      <c r="F135" s="158" t="str">
        <f t="shared" si="38"/>
        <v/>
      </c>
      <c r="G135" s="160" t="str">
        <f t="shared" si="39"/>
        <v/>
      </c>
      <c r="AA135" s="2" t="str">
        <f t="shared" si="48"/>
        <v/>
      </c>
      <c r="AC135" s="9" t="str">
        <f t="shared" si="57"/>
        <v/>
      </c>
      <c r="AD135" s="9" t="str">
        <f t="shared" si="47"/>
        <v/>
      </c>
      <c r="AF135" s="2" t="str">
        <f t="shared" si="49"/>
        <v/>
      </c>
      <c r="AG135" s="9" t="str">
        <f t="shared" si="50"/>
        <v/>
      </c>
      <c r="AH135" s="9" t="str">
        <f t="shared" si="51"/>
        <v/>
      </c>
      <c r="AL135" s="23" t="e">
        <f t="shared" si="40"/>
        <v>#VALUE!</v>
      </c>
      <c r="AM135" s="23" t="e">
        <f t="shared" si="66"/>
        <v>#VALUE!</v>
      </c>
      <c r="AN135" s="23" t="e">
        <f t="shared" si="63"/>
        <v>#VALUE!</v>
      </c>
      <c r="AO135" s="23" t="e">
        <f t="shared" si="64"/>
        <v>#VALUE!</v>
      </c>
      <c r="AP135" s="23">
        <v>0</v>
      </c>
      <c r="AQ135" s="23">
        <v>0</v>
      </c>
      <c r="AR135" s="23">
        <v>0</v>
      </c>
      <c r="AU135" s="23">
        <f t="shared" si="44"/>
        <v>13986.111111111111</v>
      </c>
      <c r="AV135" s="23">
        <f t="shared" si="42"/>
        <v>13986.111111111111</v>
      </c>
      <c r="AW135" s="23">
        <f>$E$23/($B$17-$B$16)*2</f>
        <v>27972.222222222223</v>
      </c>
      <c r="AX135" s="23">
        <v>0</v>
      </c>
      <c r="AY135" s="23">
        <v>0</v>
      </c>
      <c r="AZ135" s="23">
        <v>0</v>
      </c>
      <c r="BB135" s="203" t="e">
        <f t="shared" si="45"/>
        <v>#VALUE!</v>
      </c>
    </row>
    <row r="136" spans="1:54" x14ac:dyDescent="0.25">
      <c r="A136" s="68" t="str">
        <f t="shared" si="33"/>
        <v/>
      </c>
      <c r="B136" s="68" t="str">
        <f t="shared" si="34"/>
        <v/>
      </c>
      <c r="C136" s="158" t="str">
        <f t="shared" si="35"/>
        <v/>
      </c>
      <c r="D136" s="158" t="str">
        <f t="shared" si="36"/>
        <v/>
      </c>
      <c r="E136" s="157" t="str">
        <f t="shared" si="37"/>
        <v/>
      </c>
      <c r="F136" s="158" t="str">
        <f t="shared" si="38"/>
        <v/>
      </c>
      <c r="G136" s="160" t="str">
        <f t="shared" si="39"/>
        <v/>
      </c>
      <c r="AA136" s="2" t="str">
        <f t="shared" si="48"/>
        <v/>
      </c>
      <c r="AC136" s="9" t="str">
        <f t="shared" si="57"/>
        <v/>
      </c>
      <c r="AD136" s="9" t="str">
        <f t="shared" si="47"/>
        <v/>
      </c>
      <c r="AF136" s="2" t="str">
        <f t="shared" si="49"/>
        <v/>
      </c>
      <c r="AG136" s="9" t="str">
        <f t="shared" si="50"/>
        <v/>
      </c>
      <c r="AH136" s="9" t="str">
        <f t="shared" si="51"/>
        <v/>
      </c>
      <c r="AL136" s="23" t="e">
        <f t="shared" si="40"/>
        <v>#VALUE!</v>
      </c>
      <c r="AM136" s="23" t="e">
        <f t="shared" si="66"/>
        <v>#VALUE!</v>
      </c>
      <c r="AN136" s="23" t="e">
        <f t="shared" si="63"/>
        <v>#VALUE!</v>
      </c>
      <c r="AO136" s="23">
        <v>0</v>
      </c>
      <c r="AP136" s="23">
        <v>0</v>
      </c>
      <c r="AQ136" s="23">
        <v>0</v>
      </c>
      <c r="AR136" s="23">
        <v>0</v>
      </c>
      <c r="AU136" s="23">
        <f t="shared" si="44"/>
        <v>13986.111111111111</v>
      </c>
      <c r="AV136" s="23">
        <f t="shared" si="42"/>
        <v>13986.111111111111</v>
      </c>
      <c r="AW136" s="23">
        <v>0</v>
      </c>
      <c r="AX136" s="23">
        <v>0</v>
      </c>
      <c r="AY136" s="23">
        <v>0</v>
      </c>
      <c r="AZ136" s="23">
        <v>0</v>
      </c>
      <c r="BB136" s="203" t="e">
        <f t="shared" si="45"/>
        <v>#VALUE!</v>
      </c>
    </row>
    <row r="137" spans="1:54" x14ac:dyDescent="0.25">
      <c r="A137" s="68" t="str">
        <f t="shared" si="33"/>
        <v/>
      </c>
      <c r="B137" s="68" t="str">
        <f t="shared" si="34"/>
        <v/>
      </c>
      <c r="C137" s="158" t="str">
        <f t="shared" si="35"/>
        <v/>
      </c>
      <c r="D137" s="158" t="str">
        <f t="shared" si="36"/>
        <v/>
      </c>
      <c r="E137" s="157" t="str">
        <f t="shared" si="37"/>
        <v/>
      </c>
      <c r="F137" s="158" t="str">
        <f t="shared" si="38"/>
        <v/>
      </c>
      <c r="G137" s="160" t="str">
        <f t="shared" si="39"/>
        <v/>
      </c>
      <c r="AA137" s="2" t="str">
        <f t="shared" si="48"/>
        <v/>
      </c>
      <c r="AC137" s="9" t="str">
        <f t="shared" si="57"/>
        <v/>
      </c>
      <c r="AD137" s="9" t="str">
        <f t="shared" si="47"/>
        <v/>
      </c>
      <c r="AF137" s="2" t="str">
        <f t="shared" si="49"/>
        <v/>
      </c>
      <c r="AG137" s="9" t="str">
        <f t="shared" si="50"/>
        <v/>
      </c>
      <c r="AH137" s="9" t="str">
        <f t="shared" si="51"/>
        <v/>
      </c>
      <c r="AL137" s="23" t="e">
        <f t="shared" si="40"/>
        <v>#VALUE!</v>
      </c>
      <c r="AM137" s="23" t="e">
        <f t="shared" si="66"/>
        <v>#VALUE!</v>
      </c>
      <c r="AN137" s="23" t="e">
        <f t="shared" si="63"/>
        <v>#VALUE!</v>
      </c>
      <c r="AO137" s="23" t="e">
        <f t="shared" si="64"/>
        <v>#VALUE!</v>
      </c>
      <c r="AP137" s="23" t="e">
        <f t="shared" ref="AP137:AP143" si="67">E134*((1+$C$23)^3-1)</f>
        <v>#VALUE!</v>
      </c>
      <c r="AQ137" s="23" t="e">
        <f t="shared" ref="AQ137" si="68">E131*((1+$C$23)^6-1)</f>
        <v>#VALUE!</v>
      </c>
      <c r="AR137" s="23">
        <v>0</v>
      </c>
      <c r="AU137" s="23">
        <f t="shared" si="44"/>
        <v>13986.111111111111</v>
      </c>
      <c r="AV137" s="23">
        <f t="shared" si="42"/>
        <v>13986.111111111111</v>
      </c>
      <c r="AW137" s="23">
        <f>$E$23/($B$17-$B$16)*2</f>
        <v>27972.222222222223</v>
      </c>
      <c r="AX137" s="23">
        <f>$E$23/($B$17-$B$16)*3</f>
        <v>41958.333333333336</v>
      </c>
      <c r="AY137" s="23">
        <f>$E$23/($B$17-$B$16)*6</f>
        <v>83916.666666666672</v>
      </c>
      <c r="AZ137" s="23">
        <v>0</v>
      </c>
      <c r="BB137" s="203" t="e">
        <f t="shared" si="45"/>
        <v>#VALUE!</v>
      </c>
    </row>
    <row r="138" spans="1:54" x14ac:dyDescent="0.25">
      <c r="A138" s="68" t="str">
        <f t="shared" si="33"/>
        <v/>
      </c>
      <c r="B138" s="68" t="str">
        <f t="shared" si="34"/>
        <v/>
      </c>
      <c r="C138" s="158" t="str">
        <f t="shared" si="35"/>
        <v/>
      </c>
      <c r="D138" s="158" t="str">
        <f t="shared" si="36"/>
        <v/>
      </c>
      <c r="E138" s="157" t="str">
        <f t="shared" si="37"/>
        <v/>
      </c>
      <c r="F138" s="158" t="str">
        <f t="shared" si="38"/>
        <v/>
      </c>
      <c r="G138" s="160" t="str">
        <f t="shared" si="39"/>
        <v/>
      </c>
      <c r="AA138" s="2" t="str">
        <f t="shared" si="48"/>
        <v/>
      </c>
      <c r="AC138" s="9" t="str">
        <f t="shared" si="57"/>
        <v/>
      </c>
      <c r="AD138" s="9" t="str">
        <f t="shared" si="47"/>
        <v/>
      </c>
      <c r="AF138" s="2" t="str">
        <f t="shared" si="49"/>
        <v/>
      </c>
      <c r="AG138" s="9" t="str">
        <f t="shared" si="50"/>
        <v/>
      </c>
      <c r="AH138" s="9" t="str">
        <f t="shared" si="51"/>
        <v/>
      </c>
      <c r="AL138" s="23" t="e">
        <f t="shared" si="40"/>
        <v>#VALUE!</v>
      </c>
      <c r="AM138" s="23" t="e">
        <f t="shared" si="66"/>
        <v>#VALUE!</v>
      </c>
      <c r="AN138" s="23" t="e">
        <f t="shared" si="63"/>
        <v>#VALUE!</v>
      </c>
      <c r="AO138" s="23">
        <v>0</v>
      </c>
      <c r="AP138" s="23">
        <v>0</v>
      </c>
      <c r="AQ138" s="23">
        <v>0</v>
      </c>
      <c r="AR138" s="23">
        <v>0</v>
      </c>
      <c r="AU138" s="23">
        <f t="shared" si="44"/>
        <v>13986.111111111111</v>
      </c>
      <c r="AV138" s="23">
        <f t="shared" si="42"/>
        <v>13986.111111111111</v>
      </c>
      <c r="AW138" s="23">
        <v>0</v>
      </c>
      <c r="AX138" s="23">
        <v>0</v>
      </c>
      <c r="AY138" s="23">
        <v>0</v>
      </c>
      <c r="AZ138" s="23">
        <v>0</v>
      </c>
      <c r="BB138" s="203" t="e">
        <f t="shared" si="45"/>
        <v>#VALUE!</v>
      </c>
    </row>
    <row r="139" spans="1:54" x14ac:dyDescent="0.25">
      <c r="A139" s="68" t="str">
        <f t="shared" si="33"/>
        <v/>
      </c>
      <c r="B139" s="68" t="str">
        <f t="shared" si="34"/>
        <v/>
      </c>
      <c r="C139" s="158" t="str">
        <f t="shared" si="35"/>
        <v/>
      </c>
      <c r="D139" s="158" t="str">
        <f t="shared" si="36"/>
        <v/>
      </c>
      <c r="E139" s="157" t="str">
        <f t="shared" si="37"/>
        <v/>
      </c>
      <c r="F139" s="158" t="str">
        <f t="shared" si="38"/>
        <v/>
      </c>
      <c r="G139" s="160" t="str">
        <f t="shared" si="39"/>
        <v/>
      </c>
      <c r="AA139" s="2" t="str">
        <f t="shared" si="48"/>
        <v/>
      </c>
      <c r="AC139" s="9" t="str">
        <f t="shared" ref="AC139:AC170" si="69">IF(AB139="","",IF(AA139&lt;=B$16,AC138,AC138-AD139))</f>
        <v/>
      </c>
      <c r="AD139" s="9" t="str">
        <f t="shared" si="47"/>
        <v/>
      </c>
      <c r="AF139" s="2" t="str">
        <f t="shared" si="49"/>
        <v/>
      </c>
      <c r="AG139" s="9" t="str">
        <f t="shared" si="50"/>
        <v/>
      </c>
      <c r="AH139" s="9" t="str">
        <f t="shared" si="51"/>
        <v/>
      </c>
      <c r="AL139" s="23" t="e">
        <f t="shared" si="40"/>
        <v>#VALUE!</v>
      </c>
      <c r="AM139" s="23" t="e">
        <f t="shared" si="66"/>
        <v>#VALUE!</v>
      </c>
      <c r="AN139" s="23" t="e">
        <f t="shared" si="63"/>
        <v>#VALUE!</v>
      </c>
      <c r="AO139" s="23" t="e">
        <f t="shared" si="64"/>
        <v>#VALUE!</v>
      </c>
      <c r="AP139" s="23">
        <v>0</v>
      </c>
      <c r="AQ139" s="23">
        <v>0</v>
      </c>
      <c r="AR139" s="23">
        <v>0</v>
      </c>
      <c r="AU139" s="23">
        <f t="shared" si="44"/>
        <v>13986.111111111111</v>
      </c>
      <c r="AV139" s="23">
        <f t="shared" si="42"/>
        <v>13986.111111111111</v>
      </c>
      <c r="AW139" s="23">
        <f>$E$23/($B$17-$B$16)*2</f>
        <v>27972.222222222223</v>
      </c>
      <c r="AX139" s="23">
        <v>0</v>
      </c>
      <c r="AY139" s="23">
        <v>0</v>
      </c>
      <c r="AZ139" s="23">
        <v>0</v>
      </c>
      <c r="BB139" s="203" t="e">
        <f t="shared" si="45"/>
        <v>#VALUE!</v>
      </c>
    </row>
    <row r="140" spans="1:54" x14ac:dyDescent="0.25">
      <c r="A140" s="68" t="str">
        <f t="shared" si="33"/>
        <v/>
      </c>
      <c r="B140" s="68" t="str">
        <f t="shared" si="34"/>
        <v/>
      </c>
      <c r="C140" s="158" t="str">
        <f t="shared" si="35"/>
        <v/>
      </c>
      <c r="D140" s="158" t="str">
        <f t="shared" si="36"/>
        <v/>
      </c>
      <c r="E140" s="157" t="str">
        <f t="shared" si="37"/>
        <v/>
      </c>
      <c r="F140" s="158" t="str">
        <f t="shared" si="38"/>
        <v/>
      </c>
      <c r="G140" s="160" t="str">
        <f t="shared" si="39"/>
        <v/>
      </c>
      <c r="AA140" s="2" t="str">
        <f t="shared" si="48"/>
        <v/>
      </c>
      <c r="AC140" s="9" t="str">
        <f t="shared" si="69"/>
        <v/>
      </c>
      <c r="AD140" s="9" t="str">
        <f t="shared" si="47"/>
        <v/>
      </c>
      <c r="AF140" s="2" t="str">
        <f t="shared" si="49"/>
        <v/>
      </c>
      <c r="AG140" s="9" t="str">
        <f t="shared" si="50"/>
        <v/>
      </c>
      <c r="AH140" s="9" t="str">
        <f t="shared" si="51"/>
        <v/>
      </c>
      <c r="AL140" s="23" t="e">
        <f t="shared" si="40"/>
        <v>#VALUE!</v>
      </c>
      <c r="AM140" s="23" t="e">
        <f t="shared" si="66"/>
        <v>#VALUE!</v>
      </c>
      <c r="AN140" s="23" t="e">
        <f t="shared" si="63"/>
        <v>#VALUE!</v>
      </c>
      <c r="AO140" s="23">
        <v>0</v>
      </c>
      <c r="AP140" s="23" t="e">
        <f t="shared" si="67"/>
        <v>#VALUE!</v>
      </c>
      <c r="AQ140" s="23">
        <v>0</v>
      </c>
      <c r="AR140" s="23">
        <v>0</v>
      </c>
      <c r="AU140" s="23">
        <f t="shared" si="44"/>
        <v>13986.111111111111</v>
      </c>
      <c r="AV140" s="23">
        <f t="shared" si="42"/>
        <v>13986.111111111111</v>
      </c>
      <c r="AW140" s="23">
        <v>0</v>
      </c>
      <c r="AX140" s="23">
        <f>$E$23/($B$17-$B$16)*3</f>
        <v>41958.333333333336</v>
      </c>
      <c r="AY140" s="23">
        <v>0</v>
      </c>
      <c r="AZ140" s="23">
        <v>0</v>
      </c>
      <c r="BB140" s="203" t="e">
        <f t="shared" si="45"/>
        <v>#VALUE!</v>
      </c>
    </row>
    <row r="141" spans="1:54" x14ac:dyDescent="0.25">
      <c r="A141" s="68" t="str">
        <f t="shared" si="33"/>
        <v/>
      </c>
      <c r="B141" s="68" t="str">
        <f t="shared" si="34"/>
        <v/>
      </c>
      <c r="C141" s="158" t="str">
        <f t="shared" si="35"/>
        <v/>
      </c>
      <c r="D141" s="158" t="str">
        <f t="shared" si="36"/>
        <v/>
      </c>
      <c r="E141" s="157" t="str">
        <f t="shared" si="37"/>
        <v/>
      </c>
      <c r="F141" s="158" t="str">
        <f t="shared" si="38"/>
        <v/>
      </c>
      <c r="G141" s="160" t="str">
        <f t="shared" si="39"/>
        <v/>
      </c>
      <c r="AA141" s="2" t="str">
        <f t="shared" si="48"/>
        <v/>
      </c>
      <c r="AC141" s="9" t="str">
        <f t="shared" si="69"/>
        <v/>
      </c>
      <c r="AD141" s="9" t="str">
        <f t="shared" si="47"/>
        <v/>
      </c>
      <c r="AF141" s="2" t="str">
        <f t="shared" si="49"/>
        <v/>
      </c>
      <c r="AG141" s="9" t="str">
        <f t="shared" si="50"/>
        <v/>
      </c>
      <c r="AH141" s="9" t="str">
        <f t="shared" si="51"/>
        <v/>
      </c>
      <c r="AL141" s="23" t="e">
        <f t="shared" si="40"/>
        <v>#VALUE!</v>
      </c>
      <c r="AM141" s="23" t="e">
        <f t="shared" si="66"/>
        <v>#VALUE!</v>
      </c>
      <c r="AN141" s="23" t="e">
        <f t="shared" si="63"/>
        <v>#VALUE!</v>
      </c>
      <c r="AO141" s="23" t="e">
        <f t="shared" ref="AO141:AO153" si="70">E139*((1+$C$23)^2-1)</f>
        <v>#VALUE!</v>
      </c>
      <c r="AP141" s="23">
        <v>0</v>
      </c>
      <c r="AQ141" s="23">
        <v>0</v>
      </c>
      <c r="AR141" s="23">
        <v>0</v>
      </c>
      <c r="AU141" s="23">
        <f t="shared" si="44"/>
        <v>13986.111111111111</v>
      </c>
      <c r="AV141" s="23">
        <f t="shared" si="42"/>
        <v>13986.111111111111</v>
      </c>
      <c r="AW141" s="23">
        <f>$E$23/($B$17-$B$16)*2</f>
        <v>27972.222222222223</v>
      </c>
      <c r="AX141" s="23">
        <v>0</v>
      </c>
      <c r="AY141" s="23">
        <v>0</v>
      </c>
      <c r="AZ141" s="23">
        <v>0</v>
      </c>
      <c r="BB141" s="203" t="e">
        <f t="shared" si="45"/>
        <v>#VALUE!</v>
      </c>
    </row>
    <row r="142" spans="1:54" x14ac:dyDescent="0.25">
      <c r="A142" s="68" t="str">
        <f t="shared" si="33"/>
        <v/>
      </c>
      <c r="B142" s="68" t="str">
        <f t="shared" si="34"/>
        <v/>
      </c>
      <c r="C142" s="158" t="str">
        <f t="shared" si="35"/>
        <v/>
      </c>
      <c r="D142" s="158" t="str">
        <f t="shared" si="36"/>
        <v/>
      </c>
      <c r="E142" s="157" t="str">
        <f t="shared" si="37"/>
        <v/>
      </c>
      <c r="F142" s="158" t="str">
        <f t="shared" si="38"/>
        <v/>
      </c>
      <c r="G142" s="160" t="str">
        <f t="shared" si="39"/>
        <v/>
      </c>
      <c r="AA142" s="2" t="str">
        <f t="shared" si="48"/>
        <v/>
      </c>
      <c r="AC142" s="9" t="str">
        <f t="shared" si="69"/>
        <v/>
      </c>
      <c r="AD142" s="9" t="str">
        <f t="shared" si="47"/>
        <v/>
      </c>
      <c r="AF142" s="2" t="str">
        <f t="shared" si="49"/>
        <v/>
      </c>
      <c r="AG142" s="9" t="str">
        <f t="shared" si="50"/>
        <v/>
      </c>
      <c r="AH142" s="9" t="str">
        <f t="shared" si="51"/>
        <v/>
      </c>
      <c r="AL142" s="23" t="e">
        <f t="shared" si="40"/>
        <v>#VALUE!</v>
      </c>
      <c r="AM142" s="23" t="e">
        <f t="shared" si="66"/>
        <v>#VALUE!</v>
      </c>
      <c r="AN142" s="23" t="e">
        <f t="shared" si="63"/>
        <v>#VALUE!</v>
      </c>
      <c r="AO142" s="23">
        <v>0</v>
      </c>
      <c r="AP142" s="23">
        <v>0</v>
      </c>
      <c r="AQ142" s="23">
        <v>0</v>
      </c>
      <c r="AR142" s="23">
        <v>0</v>
      </c>
      <c r="AU142" s="23">
        <f t="shared" si="44"/>
        <v>13986.111111111111</v>
      </c>
      <c r="AV142" s="23">
        <f t="shared" si="42"/>
        <v>13986.111111111111</v>
      </c>
      <c r="AW142" s="23">
        <v>0</v>
      </c>
      <c r="AX142" s="23">
        <v>0</v>
      </c>
      <c r="AY142" s="23">
        <v>0</v>
      </c>
      <c r="AZ142" s="23">
        <v>0</v>
      </c>
      <c r="BB142" s="203" t="e">
        <f t="shared" si="45"/>
        <v>#VALUE!</v>
      </c>
    </row>
    <row r="143" spans="1:54" x14ac:dyDescent="0.25">
      <c r="A143" s="68" t="str">
        <f t="shared" si="33"/>
        <v/>
      </c>
      <c r="B143" s="68" t="str">
        <f t="shared" si="34"/>
        <v/>
      </c>
      <c r="C143" s="158" t="str">
        <f t="shared" si="35"/>
        <v/>
      </c>
      <c r="D143" s="158" t="str">
        <f t="shared" si="36"/>
        <v/>
      </c>
      <c r="E143" s="157" t="str">
        <f t="shared" si="37"/>
        <v/>
      </c>
      <c r="F143" s="158" t="str">
        <f t="shared" si="38"/>
        <v/>
      </c>
      <c r="G143" s="160" t="str">
        <f t="shared" si="39"/>
        <v/>
      </c>
      <c r="AA143" s="2" t="str">
        <f t="shared" si="48"/>
        <v/>
      </c>
      <c r="AC143" s="9" t="str">
        <f t="shared" si="69"/>
        <v/>
      </c>
      <c r="AD143" s="9" t="str">
        <f t="shared" si="47"/>
        <v/>
      </c>
      <c r="AF143" s="2" t="str">
        <f t="shared" si="49"/>
        <v/>
      </c>
      <c r="AG143" s="9" t="str">
        <f t="shared" si="50"/>
        <v/>
      </c>
      <c r="AH143" s="9" t="str">
        <f t="shared" si="51"/>
        <v/>
      </c>
      <c r="AL143" s="23" t="e">
        <f t="shared" si="40"/>
        <v>#VALUE!</v>
      </c>
      <c r="AM143" s="23" t="e">
        <f t="shared" si="66"/>
        <v>#VALUE!</v>
      </c>
      <c r="AN143" s="23" t="e">
        <f t="shared" si="63"/>
        <v>#VALUE!</v>
      </c>
      <c r="AO143" s="23" t="e">
        <f t="shared" si="70"/>
        <v>#VALUE!</v>
      </c>
      <c r="AP143" s="23" t="e">
        <f t="shared" si="67"/>
        <v>#VALUE!</v>
      </c>
      <c r="AQ143" s="23" t="e">
        <f>E137*((1+$C$23)^6-1)</f>
        <v>#VALUE!</v>
      </c>
      <c r="AR143" s="23" t="e">
        <f>E131*((1+$C$23)^12-1)</f>
        <v>#VALUE!</v>
      </c>
      <c r="AU143" s="23">
        <f t="shared" si="44"/>
        <v>13986.111111111111</v>
      </c>
      <c r="AV143" s="23">
        <f t="shared" si="42"/>
        <v>13986.111111111111</v>
      </c>
      <c r="AW143" s="23">
        <f>$E$23/($B$17-$B$16)*2</f>
        <v>27972.222222222223</v>
      </c>
      <c r="AX143" s="23">
        <f>$E$23/($B$17-$B$16)*3</f>
        <v>41958.333333333336</v>
      </c>
      <c r="AY143" s="23">
        <f>$E$23/($B$17-$B$16)*6</f>
        <v>83916.666666666672</v>
      </c>
      <c r="AZ143" s="23">
        <f>$E$23/($B$17-$B$16)*12</f>
        <v>167833.33333333334</v>
      </c>
      <c r="BB143" s="203" t="e">
        <f t="shared" si="45"/>
        <v>#VALUE!</v>
      </c>
    </row>
    <row r="144" spans="1:54" x14ac:dyDescent="0.25">
      <c r="A144" s="68" t="str">
        <f t="shared" si="33"/>
        <v/>
      </c>
      <c r="B144" s="68" t="str">
        <f t="shared" si="34"/>
        <v/>
      </c>
      <c r="C144" s="158" t="str">
        <f t="shared" si="35"/>
        <v/>
      </c>
      <c r="D144" s="158" t="str">
        <f t="shared" si="36"/>
        <v/>
      </c>
      <c r="E144" s="157" t="str">
        <f t="shared" si="37"/>
        <v/>
      </c>
      <c r="F144" s="158" t="str">
        <f t="shared" si="38"/>
        <v/>
      </c>
      <c r="G144" s="160" t="str">
        <f t="shared" si="39"/>
        <v/>
      </c>
      <c r="AA144" s="2" t="str">
        <f t="shared" si="48"/>
        <v/>
      </c>
      <c r="AC144" s="9" t="str">
        <f t="shared" si="69"/>
        <v/>
      </c>
      <c r="AD144" s="9" t="str">
        <f t="shared" si="47"/>
        <v/>
      </c>
      <c r="AF144" s="2" t="str">
        <f t="shared" si="49"/>
        <v/>
      </c>
      <c r="AG144" s="9" t="str">
        <f t="shared" si="50"/>
        <v/>
      </c>
      <c r="AH144" s="9" t="str">
        <f t="shared" si="51"/>
        <v/>
      </c>
      <c r="AL144" s="23" t="e">
        <f t="shared" si="40"/>
        <v>#VALUE!</v>
      </c>
      <c r="AM144" s="23" t="e">
        <f t="shared" si="66"/>
        <v>#VALUE!</v>
      </c>
      <c r="AN144" s="23" t="e">
        <f t="shared" si="63"/>
        <v>#VALUE!</v>
      </c>
      <c r="AO144" s="23">
        <v>0</v>
      </c>
      <c r="AP144" s="23">
        <v>0</v>
      </c>
      <c r="AQ144" s="23">
        <v>0</v>
      </c>
      <c r="AR144" s="23">
        <v>0</v>
      </c>
      <c r="AU144" s="23">
        <f t="shared" si="44"/>
        <v>13986.111111111111</v>
      </c>
      <c r="AV144" s="23">
        <f t="shared" si="42"/>
        <v>13986.111111111111</v>
      </c>
      <c r="AW144" s="23">
        <v>0</v>
      </c>
      <c r="AX144" s="23">
        <v>0</v>
      </c>
      <c r="AY144" s="23">
        <v>0</v>
      </c>
      <c r="AZ144" s="23">
        <v>0</v>
      </c>
      <c r="BB144" s="203" t="e">
        <f t="shared" si="45"/>
        <v>#VALUE!</v>
      </c>
    </row>
    <row r="145" spans="1:54" x14ac:dyDescent="0.25">
      <c r="A145" s="68" t="str">
        <f t="shared" si="33"/>
        <v/>
      </c>
      <c r="B145" s="68" t="str">
        <f t="shared" si="34"/>
        <v/>
      </c>
      <c r="C145" s="158" t="str">
        <f t="shared" si="35"/>
        <v/>
      </c>
      <c r="D145" s="158" t="str">
        <f t="shared" si="36"/>
        <v/>
      </c>
      <c r="E145" s="157" t="str">
        <f t="shared" si="37"/>
        <v/>
      </c>
      <c r="F145" s="158" t="str">
        <f t="shared" si="38"/>
        <v/>
      </c>
      <c r="G145" s="160" t="str">
        <f t="shared" si="39"/>
        <v/>
      </c>
      <c r="AA145" s="2" t="str">
        <f t="shared" si="48"/>
        <v/>
      </c>
      <c r="AC145" s="9" t="str">
        <f t="shared" si="69"/>
        <v/>
      </c>
      <c r="AD145" s="9" t="str">
        <f t="shared" si="47"/>
        <v/>
      </c>
      <c r="AF145" s="2" t="str">
        <f t="shared" si="49"/>
        <v/>
      </c>
      <c r="AG145" s="9" t="str">
        <f t="shared" si="50"/>
        <v/>
      </c>
      <c r="AH145" s="9" t="str">
        <f t="shared" si="51"/>
        <v/>
      </c>
      <c r="AL145" s="23" t="e">
        <f t="shared" si="40"/>
        <v>#VALUE!</v>
      </c>
      <c r="AM145" s="23" t="e">
        <f t="shared" si="66"/>
        <v>#VALUE!</v>
      </c>
      <c r="AN145" s="23" t="e">
        <f t="shared" si="63"/>
        <v>#VALUE!</v>
      </c>
      <c r="AO145" s="23" t="e">
        <f t="shared" si="70"/>
        <v>#VALUE!</v>
      </c>
      <c r="AP145" s="23">
        <v>0</v>
      </c>
      <c r="AQ145" s="23">
        <v>0</v>
      </c>
      <c r="AR145" s="23">
        <v>0</v>
      </c>
      <c r="AU145" s="23">
        <f t="shared" si="44"/>
        <v>13986.111111111111</v>
      </c>
      <c r="AV145" s="23">
        <f t="shared" si="42"/>
        <v>13986.111111111111</v>
      </c>
      <c r="AW145" s="23">
        <f>$E$23/($B$17-$B$16)*2</f>
        <v>27972.222222222223</v>
      </c>
      <c r="AX145" s="23">
        <v>0</v>
      </c>
      <c r="AY145" s="23">
        <v>0</v>
      </c>
      <c r="AZ145" s="23">
        <v>0</v>
      </c>
      <c r="BB145" s="203" t="e">
        <f t="shared" si="45"/>
        <v>#VALUE!</v>
      </c>
    </row>
    <row r="146" spans="1:54" x14ac:dyDescent="0.25">
      <c r="A146" s="68" t="str">
        <f t="shared" si="33"/>
        <v/>
      </c>
      <c r="B146" s="68" t="str">
        <f t="shared" si="34"/>
        <v/>
      </c>
      <c r="C146" s="158" t="str">
        <f t="shared" si="35"/>
        <v/>
      </c>
      <c r="D146" s="158" t="str">
        <f t="shared" si="36"/>
        <v/>
      </c>
      <c r="E146" s="157" t="str">
        <f t="shared" si="37"/>
        <v/>
      </c>
      <c r="F146" s="158" t="str">
        <f t="shared" si="38"/>
        <v/>
      </c>
      <c r="G146" s="160" t="str">
        <f t="shared" si="39"/>
        <v/>
      </c>
      <c r="AA146" s="2" t="str">
        <f t="shared" si="48"/>
        <v/>
      </c>
      <c r="AC146" s="9" t="str">
        <f t="shared" si="69"/>
        <v/>
      </c>
      <c r="AD146" s="9" t="str">
        <f t="shared" si="47"/>
        <v/>
      </c>
      <c r="AF146" s="2" t="str">
        <f t="shared" si="49"/>
        <v/>
      </c>
      <c r="AG146" s="9" t="str">
        <f t="shared" si="50"/>
        <v/>
      </c>
      <c r="AH146" s="9" t="str">
        <f t="shared" si="51"/>
        <v/>
      </c>
      <c r="AL146" s="23" t="e">
        <f t="shared" si="40"/>
        <v>#VALUE!</v>
      </c>
      <c r="AM146" s="23" t="e">
        <f t="shared" si="66"/>
        <v>#VALUE!</v>
      </c>
      <c r="AN146" s="23" t="e">
        <f t="shared" si="63"/>
        <v>#VALUE!</v>
      </c>
      <c r="AO146" s="23">
        <v>0</v>
      </c>
      <c r="AP146" s="23" t="e">
        <f t="shared" ref="AP146:AP158" si="71">E143*((1+$C$23)^3-1)</f>
        <v>#VALUE!</v>
      </c>
      <c r="AQ146" s="23">
        <v>0</v>
      </c>
      <c r="AR146" s="23">
        <v>0</v>
      </c>
      <c r="AU146" s="23">
        <f t="shared" si="44"/>
        <v>13986.111111111111</v>
      </c>
      <c r="AV146" s="23">
        <f t="shared" si="42"/>
        <v>13986.111111111111</v>
      </c>
      <c r="AW146" s="23">
        <v>0</v>
      </c>
      <c r="AX146" s="23">
        <f>$E$23/($B$17-$B$16)*3</f>
        <v>41958.333333333336</v>
      </c>
      <c r="AY146" s="23">
        <v>0</v>
      </c>
      <c r="AZ146" s="23">
        <v>0</v>
      </c>
      <c r="BB146" s="203" t="e">
        <f t="shared" si="45"/>
        <v>#VALUE!</v>
      </c>
    </row>
    <row r="147" spans="1:54" x14ac:dyDescent="0.25">
      <c r="A147" s="68" t="str">
        <f t="shared" si="33"/>
        <v/>
      </c>
      <c r="B147" s="68" t="str">
        <f t="shared" si="34"/>
        <v/>
      </c>
      <c r="C147" s="158" t="str">
        <f t="shared" si="35"/>
        <v/>
      </c>
      <c r="D147" s="158" t="str">
        <f t="shared" si="36"/>
        <v/>
      </c>
      <c r="E147" s="157" t="str">
        <f t="shared" si="37"/>
        <v/>
      </c>
      <c r="F147" s="158" t="str">
        <f t="shared" si="38"/>
        <v/>
      </c>
      <c r="G147" s="160" t="str">
        <f t="shared" si="39"/>
        <v/>
      </c>
      <c r="AA147" s="2" t="str">
        <f t="shared" si="48"/>
        <v/>
      </c>
      <c r="AC147" s="9" t="str">
        <f t="shared" si="69"/>
        <v/>
      </c>
      <c r="AD147" s="9" t="str">
        <f t="shared" si="47"/>
        <v/>
      </c>
      <c r="AF147" s="2" t="str">
        <f t="shared" si="49"/>
        <v/>
      </c>
      <c r="AG147" s="9" t="str">
        <f t="shared" si="50"/>
        <v/>
      </c>
      <c r="AH147" s="9" t="str">
        <f t="shared" si="51"/>
        <v/>
      </c>
      <c r="AL147" s="23" t="e">
        <f t="shared" si="40"/>
        <v>#VALUE!</v>
      </c>
      <c r="AM147" s="23" t="e">
        <f t="shared" si="66"/>
        <v>#VALUE!</v>
      </c>
      <c r="AN147" s="23" t="e">
        <f t="shared" si="63"/>
        <v>#VALUE!</v>
      </c>
      <c r="AO147" s="23" t="e">
        <f t="shared" si="70"/>
        <v>#VALUE!</v>
      </c>
      <c r="AP147" s="23">
        <v>0</v>
      </c>
      <c r="AQ147" s="23">
        <v>0</v>
      </c>
      <c r="AR147" s="23">
        <v>0</v>
      </c>
      <c r="AU147" s="23">
        <f t="shared" si="44"/>
        <v>13986.111111111111</v>
      </c>
      <c r="AV147" s="23">
        <f t="shared" si="42"/>
        <v>13986.111111111111</v>
      </c>
      <c r="AW147" s="23">
        <f>$E$23/($B$17-$B$16)*2</f>
        <v>27972.222222222223</v>
      </c>
      <c r="AX147" s="23">
        <v>0</v>
      </c>
      <c r="AY147" s="23">
        <v>0</v>
      </c>
      <c r="AZ147" s="23">
        <v>0</v>
      </c>
      <c r="BB147" s="203" t="e">
        <f t="shared" si="45"/>
        <v>#VALUE!</v>
      </c>
    </row>
    <row r="148" spans="1:54" x14ac:dyDescent="0.25">
      <c r="A148" s="68" t="str">
        <f t="shared" si="33"/>
        <v/>
      </c>
      <c r="B148" s="68" t="str">
        <f t="shared" si="34"/>
        <v/>
      </c>
      <c r="C148" s="158" t="str">
        <f t="shared" si="35"/>
        <v/>
      </c>
      <c r="D148" s="158" t="str">
        <f t="shared" si="36"/>
        <v/>
      </c>
      <c r="E148" s="157" t="str">
        <f t="shared" si="37"/>
        <v/>
      </c>
      <c r="F148" s="158" t="str">
        <f t="shared" si="38"/>
        <v/>
      </c>
      <c r="G148" s="160" t="str">
        <f t="shared" si="39"/>
        <v/>
      </c>
      <c r="AA148" s="2" t="str">
        <f t="shared" si="48"/>
        <v/>
      </c>
      <c r="AC148" s="9" t="str">
        <f t="shared" si="69"/>
        <v/>
      </c>
      <c r="AD148" s="9" t="str">
        <f t="shared" si="47"/>
        <v/>
      </c>
      <c r="AF148" s="2" t="str">
        <f t="shared" si="49"/>
        <v/>
      </c>
      <c r="AG148" s="9" t="str">
        <f t="shared" si="50"/>
        <v/>
      </c>
      <c r="AH148" s="9" t="str">
        <f t="shared" si="51"/>
        <v/>
      </c>
      <c r="AL148" s="23" t="e">
        <f t="shared" si="40"/>
        <v>#VALUE!</v>
      </c>
      <c r="AM148" s="23" t="e">
        <f t="shared" si="66"/>
        <v>#VALUE!</v>
      </c>
      <c r="AN148" s="23" t="e">
        <f t="shared" si="63"/>
        <v>#VALUE!</v>
      </c>
      <c r="AO148" s="23">
        <v>0</v>
      </c>
      <c r="AP148" s="23">
        <v>0</v>
      </c>
      <c r="AQ148" s="23">
        <v>0</v>
      </c>
      <c r="AR148" s="23">
        <v>0</v>
      </c>
      <c r="AU148" s="23">
        <f t="shared" si="44"/>
        <v>13986.111111111111</v>
      </c>
      <c r="AV148" s="23">
        <f t="shared" si="42"/>
        <v>13986.111111111111</v>
      </c>
      <c r="AW148" s="23">
        <v>0</v>
      </c>
      <c r="AX148" s="23">
        <v>0</v>
      </c>
      <c r="AY148" s="23">
        <v>0</v>
      </c>
      <c r="AZ148" s="23">
        <v>0</v>
      </c>
      <c r="BB148" s="203" t="e">
        <f t="shared" si="45"/>
        <v>#VALUE!</v>
      </c>
    </row>
    <row r="149" spans="1:54" x14ac:dyDescent="0.25">
      <c r="A149" s="68" t="str">
        <f t="shared" si="33"/>
        <v/>
      </c>
      <c r="B149" s="68" t="str">
        <f t="shared" si="34"/>
        <v/>
      </c>
      <c r="C149" s="158" t="str">
        <f t="shared" si="35"/>
        <v/>
      </c>
      <c r="D149" s="158" t="str">
        <f t="shared" si="36"/>
        <v/>
      </c>
      <c r="E149" s="157" t="str">
        <f t="shared" si="37"/>
        <v/>
      </c>
      <c r="F149" s="158" t="str">
        <f t="shared" si="38"/>
        <v/>
      </c>
      <c r="G149" s="160" t="str">
        <f t="shared" si="39"/>
        <v/>
      </c>
      <c r="AA149" s="2" t="str">
        <f t="shared" si="48"/>
        <v/>
      </c>
      <c r="AC149" s="9" t="str">
        <f t="shared" si="69"/>
        <v/>
      </c>
      <c r="AD149" s="9" t="str">
        <f t="shared" si="47"/>
        <v/>
      </c>
      <c r="AF149" s="2" t="str">
        <f t="shared" si="49"/>
        <v/>
      </c>
      <c r="AG149" s="9" t="str">
        <f t="shared" si="50"/>
        <v/>
      </c>
      <c r="AH149" s="9" t="str">
        <f t="shared" si="51"/>
        <v/>
      </c>
      <c r="AL149" s="23" t="e">
        <f t="shared" si="40"/>
        <v>#VALUE!</v>
      </c>
      <c r="AM149" s="23" t="e">
        <f t="shared" si="66"/>
        <v>#VALUE!</v>
      </c>
      <c r="AN149" s="23" t="e">
        <f>E148*$C$23</f>
        <v>#VALUE!</v>
      </c>
      <c r="AO149" s="23" t="e">
        <f t="shared" si="70"/>
        <v>#VALUE!</v>
      </c>
      <c r="AP149" s="23" t="e">
        <f t="shared" si="71"/>
        <v>#VALUE!</v>
      </c>
      <c r="AQ149" s="23" t="e">
        <f t="shared" ref="AQ149" si="72">E143*((1+$C$23)^6-1)</f>
        <v>#VALUE!</v>
      </c>
      <c r="AR149" s="23">
        <v>0</v>
      </c>
      <c r="AU149" s="23">
        <f t="shared" si="44"/>
        <v>13986.111111111111</v>
      </c>
      <c r="AV149" s="23">
        <f t="shared" si="42"/>
        <v>13986.111111111111</v>
      </c>
      <c r="AW149" s="23">
        <f>$E$23/($B$17-$B$16)*2</f>
        <v>27972.222222222223</v>
      </c>
      <c r="AX149" s="23">
        <f>$E$23/($B$17-$B$16)*3</f>
        <v>41958.333333333336</v>
      </c>
      <c r="AY149" s="23">
        <f>$E$23/($B$17-$B$16)*6</f>
        <v>83916.666666666672</v>
      </c>
      <c r="AZ149" s="23">
        <v>0</v>
      </c>
      <c r="BB149" s="203" t="e">
        <f t="shared" si="45"/>
        <v>#VALUE!</v>
      </c>
    </row>
    <row r="150" spans="1:54" x14ac:dyDescent="0.25">
      <c r="A150" s="68" t="str">
        <f t="shared" si="33"/>
        <v/>
      </c>
      <c r="B150" s="68" t="str">
        <f t="shared" si="34"/>
        <v/>
      </c>
      <c r="C150" s="158" t="str">
        <f t="shared" si="35"/>
        <v/>
      </c>
      <c r="D150" s="158" t="str">
        <f t="shared" si="36"/>
        <v/>
      </c>
      <c r="E150" s="157" t="str">
        <f t="shared" si="37"/>
        <v/>
      </c>
      <c r="F150" s="158" t="str">
        <f t="shared" si="38"/>
        <v/>
      </c>
      <c r="G150" s="160" t="str">
        <f t="shared" si="39"/>
        <v/>
      </c>
      <c r="AA150" s="2" t="str">
        <f t="shared" si="48"/>
        <v/>
      </c>
      <c r="AC150" s="9" t="str">
        <f t="shared" si="69"/>
        <v/>
      </c>
      <c r="AD150" s="9" t="str">
        <f t="shared" si="47"/>
        <v/>
      </c>
      <c r="AF150" s="2" t="str">
        <f t="shared" si="49"/>
        <v/>
      </c>
      <c r="AG150" s="9" t="str">
        <f t="shared" si="50"/>
        <v/>
      </c>
      <c r="AH150" s="9" t="str">
        <f t="shared" si="51"/>
        <v/>
      </c>
      <c r="AL150" s="23" t="e">
        <f t="shared" si="40"/>
        <v>#VALUE!</v>
      </c>
      <c r="AM150" s="23" t="e">
        <f t="shared" si="66"/>
        <v>#VALUE!</v>
      </c>
      <c r="AN150" s="23" t="e">
        <f t="shared" ref="AN150:AN173" si="73">E149*$C$23</f>
        <v>#VALUE!</v>
      </c>
      <c r="AO150" s="23">
        <v>0</v>
      </c>
      <c r="AP150" s="23">
        <v>0</v>
      </c>
      <c r="AQ150" s="23">
        <v>0</v>
      </c>
      <c r="AR150" s="23">
        <v>0</v>
      </c>
      <c r="AU150" s="23">
        <f t="shared" si="44"/>
        <v>13986.111111111111</v>
      </c>
      <c r="AV150" s="23">
        <f t="shared" si="42"/>
        <v>13986.111111111111</v>
      </c>
      <c r="AW150" s="23">
        <v>0</v>
      </c>
      <c r="AX150" s="23">
        <v>0</v>
      </c>
      <c r="AY150" s="23">
        <v>0</v>
      </c>
      <c r="AZ150" s="23">
        <v>0</v>
      </c>
      <c r="BB150" s="203" t="e">
        <f t="shared" si="45"/>
        <v>#VALUE!</v>
      </c>
    </row>
    <row r="151" spans="1:54" x14ac:dyDescent="0.25">
      <c r="A151" s="68" t="str">
        <f t="shared" ref="A151:A178" si="74">IF(A150&lt;B$17,A150+1,"")</f>
        <v/>
      </c>
      <c r="B151" s="68" t="str">
        <f t="shared" ref="B151:B178" si="75">IF(A151="","",IF(A151&lt;=B$16,"carência","amortização"))</f>
        <v/>
      </c>
      <c r="C151" s="158" t="str">
        <f t="shared" ref="C151:C178" si="76">IF(B151="","",IF($AN$18=TRUE,AL151,AM151))</f>
        <v/>
      </c>
      <c r="D151" s="158" t="str">
        <f t="shared" ref="D151:D178" si="77">IF(C151="","",IF(A151&lt;=B$16,0,E$23/(B$17-B$16)))</f>
        <v/>
      </c>
      <c r="E151" s="157" t="str">
        <f t="shared" ref="E151:E178" si="78">IF(F151="","",E150-D151)</f>
        <v/>
      </c>
      <c r="F151" s="158" t="str">
        <f t="shared" ref="F151:F178" si="79">IF(D151="","",D151+C151)</f>
        <v/>
      </c>
      <c r="G151" s="160" t="str">
        <f t="shared" ref="G151:G178" si="80">IF(E151="","",D151+C151)</f>
        <v/>
      </c>
      <c r="AA151" s="2" t="str">
        <f t="shared" si="48"/>
        <v/>
      </c>
      <c r="AC151" s="9" t="str">
        <f t="shared" si="69"/>
        <v/>
      </c>
      <c r="AD151" s="9" t="str">
        <f t="shared" si="47"/>
        <v/>
      </c>
      <c r="AF151" s="2" t="str">
        <f t="shared" si="49"/>
        <v/>
      </c>
      <c r="AG151" s="9" t="str">
        <f t="shared" si="50"/>
        <v/>
      </c>
      <c r="AH151" s="9" t="str">
        <f t="shared" si="51"/>
        <v/>
      </c>
      <c r="AL151" s="23" t="e">
        <f t="shared" si="40"/>
        <v>#VALUE!</v>
      </c>
      <c r="AM151" s="23" t="e">
        <f t="shared" si="66"/>
        <v>#VALUE!</v>
      </c>
      <c r="AN151" s="23" t="e">
        <f t="shared" si="73"/>
        <v>#VALUE!</v>
      </c>
      <c r="AO151" s="23" t="e">
        <f t="shared" si="70"/>
        <v>#VALUE!</v>
      </c>
      <c r="AP151" s="23">
        <v>0</v>
      </c>
      <c r="AQ151" s="23">
        <v>0</v>
      </c>
      <c r="AR151" s="23">
        <v>0</v>
      </c>
      <c r="AU151" s="23">
        <f t="shared" si="44"/>
        <v>13986.111111111111</v>
      </c>
      <c r="AV151" s="23">
        <f t="shared" si="42"/>
        <v>13986.111111111111</v>
      </c>
      <c r="AW151" s="23">
        <f>$E$23/($B$17-$B$16)*2</f>
        <v>27972.222222222223</v>
      </c>
      <c r="AX151" s="23">
        <v>0</v>
      </c>
      <c r="AY151" s="23">
        <v>0</v>
      </c>
      <c r="AZ151" s="23">
        <v>0</v>
      </c>
      <c r="BB151" s="203" t="e">
        <f t="shared" si="45"/>
        <v>#VALUE!</v>
      </c>
    </row>
    <row r="152" spans="1:54" x14ac:dyDescent="0.25">
      <c r="A152" s="68" t="str">
        <f t="shared" si="74"/>
        <v/>
      </c>
      <c r="B152" s="68" t="str">
        <f t="shared" si="75"/>
        <v/>
      </c>
      <c r="C152" s="158" t="str">
        <f t="shared" si="76"/>
        <v/>
      </c>
      <c r="D152" s="158" t="str">
        <f t="shared" si="77"/>
        <v/>
      </c>
      <c r="E152" s="157" t="str">
        <f t="shared" si="78"/>
        <v/>
      </c>
      <c r="F152" s="158" t="str">
        <f t="shared" si="79"/>
        <v/>
      </c>
      <c r="G152" s="160" t="str">
        <f t="shared" si="80"/>
        <v/>
      </c>
      <c r="AA152" s="2" t="str">
        <f t="shared" si="48"/>
        <v/>
      </c>
      <c r="AC152" s="9" t="str">
        <f t="shared" si="69"/>
        <v/>
      </c>
      <c r="AD152" s="9" t="str">
        <f t="shared" si="47"/>
        <v/>
      </c>
      <c r="AF152" s="2" t="str">
        <f t="shared" si="49"/>
        <v/>
      </c>
      <c r="AG152" s="9" t="str">
        <f t="shared" si="50"/>
        <v/>
      </c>
      <c r="AH152" s="9" t="str">
        <f t="shared" si="51"/>
        <v/>
      </c>
      <c r="AL152" s="23" t="e">
        <f t="shared" ref="AL152:AL215" si="81">IF(A152&lt;=$B$16,AM152,E151*$C$23)</f>
        <v>#VALUE!</v>
      </c>
      <c r="AM152" s="23" t="e">
        <f t="shared" si="66"/>
        <v>#VALUE!</v>
      </c>
      <c r="AN152" s="23" t="e">
        <f t="shared" si="73"/>
        <v>#VALUE!</v>
      </c>
      <c r="AO152" s="23">
        <v>0</v>
      </c>
      <c r="AP152" s="23" t="e">
        <f t="shared" si="71"/>
        <v>#VALUE!</v>
      </c>
      <c r="AQ152" s="23">
        <v>0</v>
      </c>
      <c r="AR152" s="23">
        <v>0</v>
      </c>
      <c r="AU152" s="23">
        <f t="shared" si="44"/>
        <v>13986.111111111111</v>
      </c>
      <c r="AV152" s="23">
        <f t="shared" ref="AV152:AV215" si="82">$E$23/($B$17-$B$16)</f>
        <v>13986.111111111111</v>
      </c>
      <c r="AW152" s="23">
        <v>0</v>
      </c>
      <c r="AX152" s="23">
        <f>$E$23/($B$17-$B$16)*3</f>
        <v>41958.333333333336</v>
      </c>
      <c r="AY152" s="23">
        <v>0</v>
      </c>
      <c r="AZ152" s="23">
        <v>0</v>
      </c>
      <c r="BB152" s="203" t="e">
        <f t="shared" si="45"/>
        <v>#VALUE!</v>
      </c>
    </row>
    <row r="153" spans="1:54" x14ac:dyDescent="0.25">
      <c r="A153" s="68" t="str">
        <f t="shared" si="74"/>
        <v/>
      </c>
      <c r="B153" s="68" t="str">
        <f t="shared" si="75"/>
        <v/>
      </c>
      <c r="C153" s="158" t="str">
        <f t="shared" si="76"/>
        <v/>
      </c>
      <c r="D153" s="158" t="str">
        <f t="shared" si="77"/>
        <v/>
      </c>
      <c r="E153" s="157" t="str">
        <f t="shared" si="78"/>
        <v/>
      </c>
      <c r="F153" s="158" t="str">
        <f t="shared" si="79"/>
        <v/>
      </c>
      <c r="G153" s="160" t="str">
        <f t="shared" si="80"/>
        <v/>
      </c>
      <c r="AA153" s="2" t="str">
        <f t="shared" si="48"/>
        <v/>
      </c>
      <c r="AC153" s="9" t="str">
        <f t="shared" si="69"/>
        <v/>
      </c>
      <c r="AD153" s="9" t="str">
        <f t="shared" si="47"/>
        <v/>
      </c>
      <c r="AF153" s="2" t="str">
        <f t="shared" si="49"/>
        <v/>
      </c>
      <c r="AG153" s="9" t="str">
        <f t="shared" si="50"/>
        <v/>
      </c>
      <c r="AH153" s="9" t="str">
        <f t="shared" si="51"/>
        <v/>
      </c>
      <c r="AL153" s="23" t="e">
        <f t="shared" si="81"/>
        <v>#VALUE!</v>
      </c>
      <c r="AM153" s="23" t="e">
        <f t="shared" si="66"/>
        <v>#VALUE!</v>
      </c>
      <c r="AN153" s="23" t="e">
        <f t="shared" si="73"/>
        <v>#VALUE!</v>
      </c>
      <c r="AO153" s="23" t="e">
        <f t="shared" si="70"/>
        <v>#VALUE!</v>
      </c>
      <c r="AP153" s="23">
        <v>0</v>
      </c>
      <c r="AQ153" s="23">
        <v>0</v>
      </c>
      <c r="AR153" s="23">
        <v>0</v>
      </c>
      <c r="AU153" s="23">
        <f t="shared" ref="AU153:AU216" si="83">IF($AV$17=1,AV153,IF($AV$17=2,AW153,IF($AV$17=3,AX153,IF($AV$17=4,AY153,IF($AV$17=5,AZ153)))))</f>
        <v>13986.111111111111</v>
      </c>
      <c r="AV153" s="23">
        <f t="shared" si="82"/>
        <v>13986.111111111111</v>
      </c>
      <c r="AW153" s="23">
        <f>$E$23/($B$17-$B$16)*2</f>
        <v>27972.222222222223</v>
      </c>
      <c r="AX153" s="23">
        <v>0</v>
      </c>
      <c r="AY153" s="23">
        <v>0</v>
      </c>
      <c r="AZ153" s="23">
        <v>0</v>
      </c>
      <c r="BB153" s="203" t="e">
        <f t="shared" ref="BB153:BB203" si="84">E152*0.0025</f>
        <v>#VALUE!</v>
      </c>
    </row>
    <row r="154" spans="1:54" x14ac:dyDescent="0.25">
      <c r="A154" s="68" t="str">
        <f t="shared" si="74"/>
        <v/>
      </c>
      <c r="B154" s="68" t="str">
        <f t="shared" si="75"/>
        <v/>
      </c>
      <c r="C154" s="158" t="str">
        <f t="shared" si="76"/>
        <v/>
      </c>
      <c r="D154" s="158" t="str">
        <f t="shared" si="77"/>
        <v/>
      </c>
      <c r="E154" s="157" t="str">
        <f t="shared" si="78"/>
        <v/>
      </c>
      <c r="F154" s="158" t="str">
        <f t="shared" si="79"/>
        <v/>
      </c>
      <c r="G154" s="160" t="str">
        <f t="shared" si="80"/>
        <v/>
      </c>
      <c r="AA154" s="2" t="str">
        <f t="shared" si="48"/>
        <v/>
      </c>
      <c r="AC154" s="9" t="str">
        <f t="shared" si="69"/>
        <v/>
      </c>
      <c r="AD154" s="9" t="str">
        <f t="shared" si="47"/>
        <v/>
      </c>
      <c r="AF154" s="2" t="str">
        <f t="shared" si="49"/>
        <v/>
      </c>
      <c r="AG154" s="9" t="str">
        <f t="shared" si="50"/>
        <v/>
      </c>
      <c r="AH154" s="9" t="str">
        <f t="shared" si="51"/>
        <v/>
      </c>
      <c r="AL154" s="23" t="e">
        <f t="shared" si="81"/>
        <v>#VALUE!</v>
      </c>
      <c r="AM154" s="23" t="e">
        <f t="shared" si="66"/>
        <v>#VALUE!</v>
      </c>
      <c r="AN154" s="23" t="e">
        <f t="shared" si="73"/>
        <v>#VALUE!</v>
      </c>
      <c r="AO154" s="23">
        <v>0</v>
      </c>
      <c r="AP154" s="23">
        <v>0</v>
      </c>
      <c r="AQ154" s="23">
        <v>0</v>
      </c>
      <c r="AR154" s="23">
        <v>0</v>
      </c>
      <c r="AU154" s="23">
        <f t="shared" si="83"/>
        <v>13986.111111111111</v>
      </c>
      <c r="AV154" s="23">
        <f t="shared" si="82"/>
        <v>13986.111111111111</v>
      </c>
      <c r="AW154" s="23">
        <v>0</v>
      </c>
      <c r="AX154" s="23">
        <v>0</v>
      </c>
      <c r="AY154" s="23">
        <v>0</v>
      </c>
      <c r="AZ154" s="23">
        <v>0</v>
      </c>
      <c r="BB154" s="203" t="e">
        <f t="shared" si="84"/>
        <v>#VALUE!</v>
      </c>
    </row>
    <row r="155" spans="1:54" x14ac:dyDescent="0.25">
      <c r="A155" s="68" t="str">
        <f t="shared" si="74"/>
        <v/>
      </c>
      <c r="B155" s="68" t="str">
        <f t="shared" si="75"/>
        <v/>
      </c>
      <c r="C155" s="158" t="str">
        <f t="shared" si="76"/>
        <v/>
      </c>
      <c r="D155" s="158" t="str">
        <f t="shared" si="77"/>
        <v/>
      </c>
      <c r="E155" s="157" t="str">
        <f t="shared" si="78"/>
        <v/>
      </c>
      <c r="F155" s="158" t="str">
        <f t="shared" si="79"/>
        <v/>
      </c>
      <c r="G155" s="160" t="str">
        <f t="shared" si="80"/>
        <v/>
      </c>
      <c r="AA155" s="2" t="str">
        <f t="shared" si="48"/>
        <v/>
      </c>
      <c r="AC155" s="9" t="str">
        <f t="shared" si="69"/>
        <v/>
      </c>
      <c r="AD155" s="9" t="str">
        <f t="shared" si="47"/>
        <v/>
      </c>
      <c r="AF155" s="2" t="str">
        <f t="shared" si="49"/>
        <v/>
      </c>
      <c r="AG155" s="9" t="str">
        <f t="shared" si="50"/>
        <v/>
      </c>
      <c r="AH155" s="9" t="str">
        <f t="shared" si="51"/>
        <v/>
      </c>
      <c r="AL155" s="23" t="e">
        <f t="shared" si="81"/>
        <v>#VALUE!</v>
      </c>
      <c r="AM155" s="23" t="e">
        <f t="shared" si="66"/>
        <v>#VALUE!</v>
      </c>
      <c r="AN155" s="23" t="e">
        <f t="shared" si="73"/>
        <v>#VALUE!</v>
      </c>
      <c r="AO155" s="23" t="e">
        <f>E153*((1+$C$23)^2-1)</f>
        <v>#VALUE!</v>
      </c>
      <c r="AP155" s="23" t="e">
        <f t="shared" si="71"/>
        <v>#VALUE!</v>
      </c>
      <c r="AQ155" s="23" t="e">
        <f t="shared" ref="AQ155" si="85">E149*((1+$C$23)^6-1)</f>
        <v>#VALUE!</v>
      </c>
      <c r="AR155" s="23" t="e">
        <f>E143*((1+$C$23)^12-1)</f>
        <v>#VALUE!</v>
      </c>
      <c r="AU155" s="23">
        <f t="shared" si="83"/>
        <v>13986.111111111111</v>
      </c>
      <c r="AV155" s="23">
        <f t="shared" si="82"/>
        <v>13986.111111111111</v>
      </c>
      <c r="AW155" s="23">
        <f>$E$23/($B$17-$B$16)*2</f>
        <v>27972.222222222223</v>
      </c>
      <c r="AX155" s="23">
        <f>$E$23/($B$17-$B$16)*3</f>
        <v>41958.333333333336</v>
      </c>
      <c r="AY155" s="23">
        <f>$E$23/($B$17-$B$16)*6</f>
        <v>83916.666666666672</v>
      </c>
      <c r="AZ155" s="23">
        <f>$E$23/($B$17-$B$16)*12</f>
        <v>167833.33333333334</v>
      </c>
      <c r="BB155" s="203" t="e">
        <f t="shared" si="84"/>
        <v>#VALUE!</v>
      </c>
    </row>
    <row r="156" spans="1:54" x14ac:dyDescent="0.25">
      <c r="A156" s="68" t="str">
        <f t="shared" si="74"/>
        <v/>
      </c>
      <c r="B156" s="68" t="str">
        <f t="shared" si="75"/>
        <v/>
      </c>
      <c r="C156" s="158" t="str">
        <f t="shared" si="76"/>
        <v/>
      </c>
      <c r="D156" s="158" t="str">
        <f t="shared" si="77"/>
        <v/>
      </c>
      <c r="E156" s="157" t="str">
        <f t="shared" si="78"/>
        <v/>
      </c>
      <c r="F156" s="158" t="str">
        <f t="shared" si="79"/>
        <v/>
      </c>
      <c r="G156" s="160" t="str">
        <f t="shared" si="80"/>
        <v/>
      </c>
      <c r="AA156" s="2" t="str">
        <f t="shared" si="48"/>
        <v/>
      </c>
      <c r="AC156" s="9" t="str">
        <f t="shared" si="69"/>
        <v/>
      </c>
      <c r="AD156" s="9" t="str">
        <f t="shared" si="47"/>
        <v/>
      </c>
      <c r="AF156" s="2" t="str">
        <f t="shared" si="49"/>
        <v/>
      </c>
      <c r="AG156" s="9" t="str">
        <f t="shared" si="50"/>
        <v/>
      </c>
      <c r="AH156" s="9" t="str">
        <f t="shared" si="51"/>
        <v/>
      </c>
      <c r="AL156" s="23" t="e">
        <f t="shared" si="81"/>
        <v>#VALUE!</v>
      </c>
      <c r="AM156" s="23" t="e">
        <f t="shared" si="66"/>
        <v>#VALUE!</v>
      </c>
      <c r="AN156" s="23" t="e">
        <f t="shared" si="73"/>
        <v>#VALUE!</v>
      </c>
      <c r="AO156" s="23">
        <v>0</v>
      </c>
      <c r="AP156" s="23">
        <v>0</v>
      </c>
      <c r="AQ156" s="23">
        <v>0</v>
      </c>
      <c r="AR156" s="23">
        <v>0</v>
      </c>
      <c r="AU156" s="23">
        <f t="shared" si="83"/>
        <v>13986.111111111111</v>
      </c>
      <c r="AV156" s="23">
        <f t="shared" si="82"/>
        <v>13986.111111111111</v>
      </c>
      <c r="AW156" s="23">
        <v>0</v>
      </c>
      <c r="AX156" s="23">
        <v>0</v>
      </c>
      <c r="AY156" s="23">
        <v>0</v>
      </c>
      <c r="AZ156" s="23">
        <v>0</v>
      </c>
      <c r="BB156" s="203" t="e">
        <f t="shared" si="84"/>
        <v>#VALUE!</v>
      </c>
    </row>
    <row r="157" spans="1:54" x14ac:dyDescent="0.25">
      <c r="A157" s="68" t="str">
        <f t="shared" si="74"/>
        <v/>
      </c>
      <c r="B157" s="68" t="str">
        <f t="shared" si="75"/>
        <v/>
      </c>
      <c r="C157" s="158" t="str">
        <f t="shared" si="76"/>
        <v/>
      </c>
      <c r="D157" s="158" t="str">
        <f t="shared" si="77"/>
        <v/>
      </c>
      <c r="E157" s="157" t="str">
        <f t="shared" si="78"/>
        <v/>
      </c>
      <c r="F157" s="158" t="str">
        <f t="shared" si="79"/>
        <v/>
      </c>
      <c r="G157" s="160" t="str">
        <f t="shared" si="80"/>
        <v/>
      </c>
      <c r="AA157" s="2" t="str">
        <f t="shared" si="48"/>
        <v/>
      </c>
      <c r="AC157" s="9" t="str">
        <f t="shared" si="69"/>
        <v/>
      </c>
      <c r="AD157" s="9" t="str">
        <f t="shared" ref="AD157:AD220" si="86">IF(AA157="","",IF(AA157&lt;=B$16,0,B$15/(B$17-B$16)))</f>
        <v/>
      </c>
      <c r="AF157" s="2" t="str">
        <f t="shared" si="49"/>
        <v/>
      </c>
      <c r="AG157" s="9" t="str">
        <f t="shared" si="50"/>
        <v/>
      </c>
      <c r="AH157" s="9" t="str">
        <f t="shared" si="51"/>
        <v/>
      </c>
      <c r="AL157" s="23" t="e">
        <f t="shared" si="81"/>
        <v>#VALUE!</v>
      </c>
      <c r="AM157" s="23" t="e">
        <f t="shared" si="66"/>
        <v>#VALUE!</v>
      </c>
      <c r="AN157" s="23" t="e">
        <f t="shared" si="73"/>
        <v>#VALUE!</v>
      </c>
      <c r="AO157" s="23" t="e">
        <f t="shared" ref="AO157:AO165" si="87">E155*((1+$C$23)^2-1)</f>
        <v>#VALUE!</v>
      </c>
      <c r="AP157" s="23">
        <v>0</v>
      </c>
      <c r="AQ157" s="23">
        <v>0</v>
      </c>
      <c r="AR157" s="23">
        <v>0</v>
      </c>
      <c r="AU157" s="23">
        <f t="shared" si="83"/>
        <v>13986.111111111111</v>
      </c>
      <c r="AV157" s="23">
        <f t="shared" si="82"/>
        <v>13986.111111111111</v>
      </c>
      <c r="AW157" s="23">
        <f>$E$23/($B$17-$B$16)*2</f>
        <v>27972.222222222223</v>
      </c>
      <c r="AX157" s="23">
        <v>0</v>
      </c>
      <c r="AY157" s="23">
        <v>0</v>
      </c>
      <c r="AZ157" s="23">
        <v>0</v>
      </c>
      <c r="BB157" s="203" t="e">
        <f t="shared" si="84"/>
        <v>#VALUE!</v>
      </c>
    </row>
    <row r="158" spans="1:54" x14ac:dyDescent="0.25">
      <c r="A158" s="68" t="str">
        <f t="shared" si="74"/>
        <v/>
      </c>
      <c r="B158" s="68" t="str">
        <f t="shared" si="75"/>
        <v/>
      </c>
      <c r="C158" s="158" t="str">
        <f t="shared" si="76"/>
        <v/>
      </c>
      <c r="D158" s="158" t="str">
        <f t="shared" si="77"/>
        <v/>
      </c>
      <c r="E158" s="157" t="str">
        <f t="shared" si="78"/>
        <v/>
      </c>
      <c r="F158" s="158" t="str">
        <f t="shared" si="79"/>
        <v/>
      </c>
      <c r="G158" s="160" t="str">
        <f t="shared" si="80"/>
        <v/>
      </c>
      <c r="AA158" s="2" t="str">
        <f t="shared" ref="AA158:AA221" si="88">IF(AA157&lt;B$17,AA157+1,"")</f>
        <v/>
      </c>
      <c r="AC158" s="9" t="str">
        <f t="shared" si="69"/>
        <v/>
      </c>
      <c r="AD158" s="9" t="str">
        <f t="shared" si="86"/>
        <v/>
      </c>
      <c r="AF158" s="2" t="str">
        <f t="shared" si="49"/>
        <v/>
      </c>
      <c r="AG158" s="9" t="str">
        <f t="shared" si="50"/>
        <v/>
      </c>
      <c r="AH158" s="9" t="str">
        <f t="shared" si="51"/>
        <v/>
      </c>
      <c r="AL158" s="23" t="e">
        <f t="shared" si="81"/>
        <v>#VALUE!</v>
      </c>
      <c r="AM158" s="23" t="e">
        <f t="shared" si="66"/>
        <v>#VALUE!</v>
      </c>
      <c r="AN158" s="23" t="e">
        <f t="shared" si="73"/>
        <v>#VALUE!</v>
      </c>
      <c r="AO158" s="23">
        <v>0</v>
      </c>
      <c r="AP158" s="23" t="e">
        <f t="shared" si="71"/>
        <v>#VALUE!</v>
      </c>
      <c r="AQ158" s="23">
        <v>0</v>
      </c>
      <c r="AR158" s="23">
        <v>0</v>
      </c>
      <c r="AU158" s="23">
        <f t="shared" si="83"/>
        <v>13986.111111111111</v>
      </c>
      <c r="AV158" s="23">
        <f t="shared" si="82"/>
        <v>13986.111111111111</v>
      </c>
      <c r="AW158" s="23">
        <v>0</v>
      </c>
      <c r="AX158" s="23">
        <f>$E$23/($B$17-$B$16)*3</f>
        <v>41958.333333333336</v>
      </c>
      <c r="AY158" s="23">
        <v>0</v>
      </c>
      <c r="AZ158" s="23">
        <v>0</v>
      </c>
      <c r="BB158" s="203" t="e">
        <f t="shared" si="84"/>
        <v>#VALUE!</v>
      </c>
    </row>
    <row r="159" spans="1:54" x14ac:dyDescent="0.25">
      <c r="A159" s="68" t="str">
        <f t="shared" si="74"/>
        <v/>
      </c>
      <c r="B159" s="68" t="str">
        <f t="shared" si="75"/>
        <v/>
      </c>
      <c r="C159" s="158" t="str">
        <f t="shared" si="76"/>
        <v/>
      </c>
      <c r="D159" s="158" t="str">
        <f t="shared" si="77"/>
        <v/>
      </c>
      <c r="E159" s="157" t="str">
        <f t="shared" si="78"/>
        <v/>
      </c>
      <c r="F159" s="158" t="str">
        <f t="shared" si="79"/>
        <v/>
      </c>
      <c r="G159" s="160" t="str">
        <f t="shared" si="80"/>
        <v/>
      </c>
      <c r="AA159" s="2" t="str">
        <f t="shared" si="88"/>
        <v/>
      </c>
      <c r="AC159" s="9" t="str">
        <f t="shared" si="69"/>
        <v/>
      </c>
      <c r="AD159" s="9" t="str">
        <f t="shared" si="86"/>
        <v/>
      </c>
      <c r="AF159" s="2" t="str">
        <f t="shared" ref="AF159:AF180" si="89">IF(AE159="","",AB159-AB$29)</f>
        <v/>
      </c>
      <c r="AG159" s="9" t="str">
        <f t="shared" ref="AG159:AG222" si="90">IF(AF159="","",IF(AF159&lt;365,AF159*AC$25*AD159,365*AD159*AC$25))</f>
        <v/>
      </c>
      <c r="AH159" s="9" t="str">
        <f t="shared" ref="AH159:AH222" si="91">IF(AF159="","",IF(AF159&lt;365,AF159*AC$26*AD159,365*AD159*AC$26))</f>
        <v/>
      </c>
      <c r="AL159" s="23" t="e">
        <f t="shared" si="81"/>
        <v>#VALUE!</v>
      </c>
      <c r="AM159" s="23" t="e">
        <f>IF($AN$17=1,AN159,IF($AN$17=2,AO159,IF($AN$17=3,AP159,IF($AN$17=4,AQ159,IF($AN$17=5,AR159)))))</f>
        <v>#VALUE!</v>
      </c>
      <c r="AN159" s="23" t="e">
        <f t="shared" si="73"/>
        <v>#VALUE!</v>
      </c>
      <c r="AO159" s="23" t="e">
        <f t="shared" si="87"/>
        <v>#VALUE!</v>
      </c>
      <c r="AP159" s="23">
        <v>0</v>
      </c>
      <c r="AQ159" s="23">
        <v>0</v>
      </c>
      <c r="AR159" s="23">
        <v>0</v>
      </c>
      <c r="AU159" s="23">
        <f t="shared" si="83"/>
        <v>13986.111111111111</v>
      </c>
      <c r="AV159" s="23">
        <f t="shared" si="82"/>
        <v>13986.111111111111</v>
      </c>
      <c r="AW159" s="23">
        <f>$E$23/($B$17-$B$16)*2</f>
        <v>27972.222222222223</v>
      </c>
      <c r="AX159" s="23">
        <v>0</v>
      </c>
      <c r="AY159" s="23">
        <v>0</v>
      </c>
      <c r="AZ159" s="23">
        <v>0</v>
      </c>
      <c r="BB159" s="203" t="e">
        <f t="shared" si="84"/>
        <v>#VALUE!</v>
      </c>
    </row>
    <row r="160" spans="1:54" x14ac:dyDescent="0.25">
      <c r="A160" s="68" t="str">
        <f t="shared" si="74"/>
        <v/>
      </c>
      <c r="B160" s="68" t="str">
        <f t="shared" si="75"/>
        <v/>
      </c>
      <c r="C160" s="158" t="str">
        <f t="shared" si="76"/>
        <v/>
      </c>
      <c r="D160" s="158" t="str">
        <f t="shared" si="77"/>
        <v/>
      </c>
      <c r="E160" s="157" t="str">
        <f t="shared" si="78"/>
        <v/>
      </c>
      <c r="F160" s="158" t="str">
        <f t="shared" si="79"/>
        <v/>
      </c>
      <c r="G160" s="160" t="str">
        <f t="shared" si="80"/>
        <v/>
      </c>
      <c r="AA160" s="2" t="str">
        <f t="shared" si="88"/>
        <v/>
      </c>
      <c r="AC160" s="9" t="str">
        <f t="shared" si="69"/>
        <v/>
      </c>
      <c r="AD160" s="9" t="str">
        <f t="shared" si="86"/>
        <v/>
      </c>
      <c r="AF160" s="2" t="str">
        <f t="shared" si="89"/>
        <v/>
      </c>
      <c r="AG160" s="9" t="str">
        <f t="shared" si="90"/>
        <v/>
      </c>
      <c r="AH160" s="9" t="str">
        <f t="shared" si="91"/>
        <v/>
      </c>
      <c r="AL160" s="23" t="e">
        <f t="shared" si="81"/>
        <v>#VALUE!</v>
      </c>
      <c r="AM160" s="23" t="e">
        <f t="shared" ref="AM160:AM185" si="92">IF($AN$17=1,AN160,IF($AN$17=2,AO160,IF($AN$17=3,AP160,IF($AN$17=4,AQ160,IF($AN$17=5,AR160)))))</f>
        <v>#VALUE!</v>
      </c>
      <c r="AN160" s="23" t="e">
        <f t="shared" si="73"/>
        <v>#VALUE!</v>
      </c>
      <c r="AO160" s="23">
        <v>0</v>
      </c>
      <c r="AP160" s="23">
        <v>0</v>
      </c>
      <c r="AQ160" s="23">
        <v>0</v>
      </c>
      <c r="AR160" s="23">
        <v>0</v>
      </c>
      <c r="AU160" s="23">
        <f t="shared" si="83"/>
        <v>13986.111111111111</v>
      </c>
      <c r="AV160" s="23">
        <f t="shared" si="82"/>
        <v>13986.111111111111</v>
      </c>
      <c r="AW160" s="23">
        <v>0</v>
      </c>
      <c r="AX160" s="23">
        <v>0</v>
      </c>
      <c r="AY160" s="23">
        <v>0</v>
      </c>
      <c r="AZ160" s="23">
        <v>0</v>
      </c>
      <c r="BB160" s="203" t="e">
        <f t="shared" si="84"/>
        <v>#VALUE!</v>
      </c>
    </row>
    <row r="161" spans="1:54" x14ac:dyDescent="0.25">
      <c r="A161" s="68" t="str">
        <f t="shared" si="74"/>
        <v/>
      </c>
      <c r="B161" s="68" t="str">
        <f t="shared" si="75"/>
        <v/>
      </c>
      <c r="C161" s="158" t="str">
        <f t="shared" si="76"/>
        <v/>
      </c>
      <c r="D161" s="158" t="str">
        <f t="shared" si="77"/>
        <v/>
      </c>
      <c r="E161" s="157" t="str">
        <f t="shared" si="78"/>
        <v/>
      </c>
      <c r="F161" s="158" t="str">
        <f t="shared" si="79"/>
        <v/>
      </c>
      <c r="G161" s="160" t="str">
        <f t="shared" si="80"/>
        <v/>
      </c>
      <c r="AA161" s="2" t="str">
        <f t="shared" si="88"/>
        <v/>
      </c>
      <c r="AC161" s="9" t="str">
        <f t="shared" si="69"/>
        <v/>
      </c>
      <c r="AD161" s="9" t="str">
        <f t="shared" si="86"/>
        <v/>
      </c>
      <c r="AF161" s="2" t="str">
        <f t="shared" si="89"/>
        <v/>
      </c>
      <c r="AG161" s="9" t="str">
        <f t="shared" si="90"/>
        <v/>
      </c>
      <c r="AH161" s="9" t="str">
        <f t="shared" si="91"/>
        <v/>
      </c>
      <c r="AL161" s="23" t="e">
        <f t="shared" si="81"/>
        <v>#VALUE!</v>
      </c>
      <c r="AM161" s="23" t="e">
        <f t="shared" si="92"/>
        <v>#VALUE!</v>
      </c>
      <c r="AN161" s="23" t="e">
        <f t="shared" si="73"/>
        <v>#VALUE!</v>
      </c>
      <c r="AO161" s="23" t="e">
        <f t="shared" si="87"/>
        <v>#VALUE!</v>
      </c>
      <c r="AP161" s="23" t="e">
        <f>E158*((1+$C$23)^3-1)</f>
        <v>#VALUE!</v>
      </c>
      <c r="AQ161" s="23" t="e">
        <f>E155*((1+$C$23)^6-1)</f>
        <v>#VALUE!</v>
      </c>
      <c r="AR161" s="23">
        <v>0</v>
      </c>
      <c r="AU161" s="23">
        <f t="shared" si="83"/>
        <v>13986.111111111111</v>
      </c>
      <c r="AV161" s="23">
        <f t="shared" si="82"/>
        <v>13986.111111111111</v>
      </c>
      <c r="AW161" s="23">
        <f>$E$23/($B$17-$B$16)*2</f>
        <v>27972.222222222223</v>
      </c>
      <c r="AX161" s="23">
        <f>$E$23/($B$17-$B$16)*3</f>
        <v>41958.333333333336</v>
      </c>
      <c r="AY161" s="23">
        <f>$E$23/($B$17-$B$16)*6</f>
        <v>83916.666666666672</v>
      </c>
      <c r="AZ161" s="23">
        <v>0</v>
      </c>
      <c r="BB161" s="203" t="e">
        <f t="shared" si="84"/>
        <v>#VALUE!</v>
      </c>
    </row>
    <row r="162" spans="1:54" x14ac:dyDescent="0.25">
      <c r="A162" s="68" t="str">
        <f t="shared" si="74"/>
        <v/>
      </c>
      <c r="B162" s="68" t="str">
        <f t="shared" si="75"/>
        <v/>
      </c>
      <c r="C162" s="158" t="str">
        <f t="shared" si="76"/>
        <v/>
      </c>
      <c r="D162" s="158" t="str">
        <f t="shared" si="77"/>
        <v/>
      </c>
      <c r="E162" s="157" t="str">
        <f t="shared" si="78"/>
        <v/>
      </c>
      <c r="F162" s="158" t="str">
        <f t="shared" si="79"/>
        <v/>
      </c>
      <c r="G162" s="160" t="str">
        <f t="shared" si="80"/>
        <v/>
      </c>
      <c r="AA162" s="2" t="str">
        <f t="shared" si="88"/>
        <v/>
      </c>
      <c r="AC162" s="9" t="str">
        <f t="shared" si="69"/>
        <v/>
      </c>
      <c r="AD162" s="9" t="str">
        <f t="shared" si="86"/>
        <v/>
      </c>
      <c r="AF162" s="2" t="str">
        <f t="shared" si="89"/>
        <v/>
      </c>
      <c r="AG162" s="9" t="str">
        <f t="shared" si="90"/>
        <v/>
      </c>
      <c r="AH162" s="9" t="str">
        <f t="shared" si="91"/>
        <v/>
      </c>
      <c r="AL162" s="23" t="e">
        <f t="shared" si="81"/>
        <v>#VALUE!</v>
      </c>
      <c r="AM162" s="23" t="e">
        <f t="shared" si="92"/>
        <v>#VALUE!</v>
      </c>
      <c r="AN162" s="23" t="e">
        <f t="shared" si="73"/>
        <v>#VALUE!</v>
      </c>
      <c r="AO162" s="23">
        <v>0</v>
      </c>
      <c r="AP162" s="23">
        <v>0</v>
      </c>
      <c r="AQ162" s="23">
        <v>0</v>
      </c>
      <c r="AR162" s="23">
        <v>0</v>
      </c>
      <c r="AU162" s="23">
        <f t="shared" si="83"/>
        <v>13986.111111111111</v>
      </c>
      <c r="AV162" s="23">
        <f t="shared" si="82"/>
        <v>13986.111111111111</v>
      </c>
      <c r="AW162" s="23">
        <v>0</v>
      </c>
      <c r="AX162" s="23">
        <v>0</v>
      </c>
      <c r="AY162" s="23">
        <v>0</v>
      </c>
      <c r="AZ162" s="23">
        <v>0</v>
      </c>
      <c r="BB162" s="203" t="e">
        <f t="shared" si="84"/>
        <v>#VALUE!</v>
      </c>
    </row>
    <row r="163" spans="1:54" x14ac:dyDescent="0.25">
      <c r="A163" s="68" t="str">
        <f t="shared" si="74"/>
        <v/>
      </c>
      <c r="B163" s="68" t="str">
        <f t="shared" si="75"/>
        <v/>
      </c>
      <c r="C163" s="158" t="str">
        <f t="shared" si="76"/>
        <v/>
      </c>
      <c r="D163" s="158" t="str">
        <f t="shared" si="77"/>
        <v/>
      </c>
      <c r="E163" s="157" t="str">
        <f t="shared" si="78"/>
        <v/>
      </c>
      <c r="F163" s="158" t="str">
        <f t="shared" si="79"/>
        <v/>
      </c>
      <c r="G163" s="160" t="str">
        <f t="shared" si="80"/>
        <v/>
      </c>
      <c r="AA163" s="2" t="str">
        <f t="shared" si="88"/>
        <v/>
      </c>
      <c r="AC163" s="9" t="str">
        <f t="shared" si="69"/>
        <v/>
      </c>
      <c r="AD163" s="9" t="str">
        <f t="shared" si="86"/>
        <v/>
      </c>
      <c r="AF163" s="2" t="str">
        <f t="shared" si="89"/>
        <v/>
      </c>
      <c r="AG163" s="9" t="str">
        <f t="shared" si="90"/>
        <v/>
      </c>
      <c r="AH163" s="9" t="str">
        <f t="shared" si="91"/>
        <v/>
      </c>
      <c r="AL163" s="23" t="e">
        <f t="shared" si="81"/>
        <v>#VALUE!</v>
      </c>
      <c r="AM163" s="23" t="e">
        <f t="shared" si="92"/>
        <v>#VALUE!</v>
      </c>
      <c r="AN163" s="23" t="e">
        <f t="shared" si="73"/>
        <v>#VALUE!</v>
      </c>
      <c r="AO163" s="23" t="e">
        <f t="shared" si="87"/>
        <v>#VALUE!</v>
      </c>
      <c r="AP163" s="23">
        <v>0</v>
      </c>
      <c r="AQ163" s="23">
        <v>0</v>
      </c>
      <c r="AR163" s="23">
        <v>0</v>
      </c>
      <c r="AU163" s="23">
        <f t="shared" si="83"/>
        <v>13986.111111111111</v>
      </c>
      <c r="AV163" s="23">
        <f t="shared" si="82"/>
        <v>13986.111111111111</v>
      </c>
      <c r="AW163" s="23">
        <f>$E$23/($B$17-$B$16)*2</f>
        <v>27972.222222222223</v>
      </c>
      <c r="AX163" s="23">
        <v>0</v>
      </c>
      <c r="AY163" s="23">
        <v>0</v>
      </c>
      <c r="AZ163" s="23">
        <v>0</v>
      </c>
      <c r="BB163" s="203" t="e">
        <f t="shared" si="84"/>
        <v>#VALUE!</v>
      </c>
    </row>
    <row r="164" spans="1:54" x14ac:dyDescent="0.25">
      <c r="A164" s="68" t="str">
        <f t="shared" si="74"/>
        <v/>
      </c>
      <c r="B164" s="68" t="str">
        <f t="shared" si="75"/>
        <v/>
      </c>
      <c r="C164" s="158" t="str">
        <f t="shared" si="76"/>
        <v/>
      </c>
      <c r="D164" s="158" t="str">
        <f t="shared" si="77"/>
        <v/>
      </c>
      <c r="E164" s="157" t="str">
        <f t="shared" si="78"/>
        <v/>
      </c>
      <c r="F164" s="158" t="str">
        <f t="shared" si="79"/>
        <v/>
      </c>
      <c r="G164" s="160" t="str">
        <f t="shared" si="80"/>
        <v/>
      </c>
      <c r="AA164" s="2" t="str">
        <f t="shared" si="88"/>
        <v/>
      </c>
      <c r="AC164" s="9" t="str">
        <f t="shared" si="69"/>
        <v/>
      </c>
      <c r="AD164" s="9" t="str">
        <f t="shared" si="86"/>
        <v/>
      </c>
      <c r="AF164" s="2" t="str">
        <f t="shared" si="89"/>
        <v/>
      </c>
      <c r="AG164" s="9" t="str">
        <f t="shared" si="90"/>
        <v/>
      </c>
      <c r="AH164" s="9" t="str">
        <f t="shared" si="91"/>
        <v/>
      </c>
      <c r="AL164" s="23" t="e">
        <f t="shared" si="81"/>
        <v>#VALUE!</v>
      </c>
      <c r="AM164" s="23" t="e">
        <f t="shared" si="92"/>
        <v>#VALUE!</v>
      </c>
      <c r="AN164" s="23" t="e">
        <f t="shared" si="73"/>
        <v>#VALUE!</v>
      </c>
      <c r="AO164" s="23">
        <v>0</v>
      </c>
      <c r="AP164" s="23" t="e">
        <f t="shared" ref="AP164:AP170" si="93">E161*((1+$C$23)^3-1)</f>
        <v>#VALUE!</v>
      </c>
      <c r="AQ164" s="23">
        <v>0</v>
      </c>
      <c r="AR164" s="23">
        <v>0</v>
      </c>
      <c r="AU164" s="23">
        <f t="shared" si="83"/>
        <v>13986.111111111111</v>
      </c>
      <c r="AV164" s="23">
        <f t="shared" si="82"/>
        <v>13986.111111111111</v>
      </c>
      <c r="AW164" s="23">
        <v>0</v>
      </c>
      <c r="AX164" s="23">
        <f>$E$23/($B$17-$B$16)*3</f>
        <v>41958.333333333336</v>
      </c>
      <c r="AY164" s="23">
        <v>0</v>
      </c>
      <c r="AZ164" s="23">
        <v>0</v>
      </c>
      <c r="BB164" s="203" t="e">
        <f t="shared" si="84"/>
        <v>#VALUE!</v>
      </c>
    </row>
    <row r="165" spans="1:54" x14ac:dyDescent="0.25">
      <c r="A165" s="68" t="str">
        <f t="shared" si="74"/>
        <v/>
      </c>
      <c r="B165" s="68" t="str">
        <f t="shared" si="75"/>
        <v/>
      </c>
      <c r="C165" s="158" t="str">
        <f t="shared" si="76"/>
        <v/>
      </c>
      <c r="D165" s="158" t="str">
        <f t="shared" si="77"/>
        <v/>
      </c>
      <c r="E165" s="157" t="str">
        <f t="shared" si="78"/>
        <v/>
      </c>
      <c r="F165" s="158" t="str">
        <f t="shared" si="79"/>
        <v/>
      </c>
      <c r="G165" s="160" t="str">
        <f t="shared" si="80"/>
        <v/>
      </c>
      <c r="AA165" s="2" t="str">
        <f t="shared" si="88"/>
        <v/>
      </c>
      <c r="AC165" s="9" t="str">
        <f t="shared" si="69"/>
        <v/>
      </c>
      <c r="AD165" s="9" t="str">
        <f t="shared" si="86"/>
        <v/>
      </c>
      <c r="AF165" s="2" t="str">
        <f t="shared" si="89"/>
        <v/>
      </c>
      <c r="AG165" s="9" t="str">
        <f t="shared" si="90"/>
        <v/>
      </c>
      <c r="AH165" s="9" t="str">
        <f t="shared" si="91"/>
        <v/>
      </c>
      <c r="AL165" s="23" t="e">
        <f t="shared" si="81"/>
        <v>#VALUE!</v>
      </c>
      <c r="AM165" s="23" t="e">
        <f t="shared" si="92"/>
        <v>#VALUE!</v>
      </c>
      <c r="AN165" s="23" t="e">
        <f t="shared" si="73"/>
        <v>#VALUE!</v>
      </c>
      <c r="AO165" s="23" t="e">
        <f t="shared" si="87"/>
        <v>#VALUE!</v>
      </c>
      <c r="AP165" s="23">
        <v>0</v>
      </c>
      <c r="AQ165" s="23">
        <v>0</v>
      </c>
      <c r="AR165" s="23">
        <v>0</v>
      </c>
      <c r="AU165" s="23">
        <f t="shared" si="83"/>
        <v>13986.111111111111</v>
      </c>
      <c r="AV165" s="23">
        <f t="shared" si="82"/>
        <v>13986.111111111111</v>
      </c>
      <c r="AW165" s="23">
        <f>$E$23/($B$17-$B$16)*2</f>
        <v>27972.222222222223</v>
      </c>
      <c r="AX165" s="23">
        <v>0</v>
      </c>
      <c r="AY165" s="23">
        <v>0</v>
      </c>
      <c r="AZ165" s="23">
        <v>0</v>
      </c>
      <c r="BB165" s="203" t="e">
        <f t="shared" si="84"/>
        <v>#VALUE!</v>
      </c>
    </row>
    <row r="166" spans="1:54" x14ac:dyDescent="0.25">
      <c r="A166" s="68" t="str">
        <f t="shared" si="74"/>
        <v/>
      </c>
      <c r="B166" s="68" t="str">
        <f t="shared" si="75"/>
        <v/>
      </c>
      <c r="C166" s="158" t="str">
        <f t="shared" si="76"/>
        <v/>
      </c>
      <c r="D166" s="158" t="str">
        <f t="shared" si="77"/>
        <v/>
      </c>
      <c r="E166" s="157" t="str">
        <f t="shared" si="78"/>
        <v/>
      </c>
      <c r="F166" s="158" t="str">
        <f t="shared" si="79"/>
        <v/>
      </c>
      <c r="G166" s="160" t="str">
        <f t="shared" si="80"/>
        <v/>
      </c>
      <c r="AA166" s="2" t="str">
        <f t="shared" si="88"/>
        <v/>
      </c>
      <c r="AC166" s="9" t="str">
        <f t="shared" si="69"/>
        <v/>
      </c>
      <c r="AD166" s="9" t="str">
        <f t="shared" si="86"/>
        <v/>
      </c>
      <c r="AF166" s="2" t="str">
        <f t="shared" si="89"/>
        <v/>
      </c>
      <c r="AG166" s="9" t="str">
        <f t="shared" si="90"/>
        <v/>
      </c>
      <c r="AH166" s="9" t="str">
        <f t="shared" si="91"/>
        <v/>
      </c>
      <c r="AL166" s="23" t="e">
        <f t="shared" si="81"/>
        <v>#VALUE!</v>
      </c>
      <c r="AM166" s="23" t="e">
        <f t="shared" si="92"/>
        <v>#VALUE!</v>
      </c>
      <c r="AN166" s="23" t="e">
        <f t="shared" si="73"/>
        <v>#VALUE!</v>
      </c>
      <c r="AO166" s="23">
        <v>0</v>
      </c>
      <c r="AP166" s="23">
        <v>0</v>
      </c>
      <c r="AQ166" s="23">
        <v>0</v>
      </c>
      <c r="AR166" s="23">
        <v>0</v>
      </c>
      <c r="AU166" s="23">
        <f t="shared" si="83"/>
        <v>13986.111111111111</v>
      </c>
      <c r="AV166" s="23">
        <f t="shared" si="82"/>
        <v>13986.111111111111</v>
      </c>
      <c r="AW166" s="23">
        <v>0</v>
      </c>
      <c r="AX166" s="23">
        <v>0</v>
      </c>
      <c r="AY166" s="23">
        <v>0</v>
      </c>
      <c r="AZ166" s="23">
        <v>0</v>
      </c>
      <c r="BB166" s="203" t="e">
        <f t="shared" si="84"/>
        <v>#VALUE!</v>
      </c>
    </row>
    <row r="167" spans="1:54" x14ac:dyDescent="0.25">
      <c r="A167" s="68" t="str">
        <f t="shared" si="74"/>
        <v/>
      </c>
      <c r="B167" s="68" t="str">
        <f t="shared" si="75"/>
        <v/>
      </c>
      <c r="C167" s="158" t="str">
        <f t="shared" si="76"/>
        <v/>
      </c>
      <c r="D167" s="158" t="str">
        <f t="shared" si="77"/>
        <v/>
      </c>
      <c r="E167" s="157" t="str">
        <f t="shared" si="78"/>
        <v/>
      </c>
      <c r="F167" s="158" t="str">
        <f t="shared" si="79"/>
        <v/>
      </c>
      <c r="G167" s="160" t="str">
        <f t="shared" si="80"/>
        <v/>
      </c>
      <c r="AA167" s="2" t="str">
        <f t="shared" si="88"/>
        <v/>
      </c>
      <c r="AC167" s="9" t="str">
        <f t="shared" si="69"/>
        <v/>
      </c>
      <c r="AD167" s="9" t="str">
        <f t="shared" si="86"/>
        <v/>
      </c>
      <c r="AF167" s="2" t="str">
        <f t="shared" si="89"/>
        <v/>
      </c>
      <c r="AG167" s="9" t="str">
        <f t="shared" si="90"/>
        <v/>
      </c>
      <c r="AH167" s="9" t="str">
        <f t="shared" si="91"/>
        <v/>
      </c>
      <c r="AL167" s="23" t="e">
        <f t="shared" si="81"/>
        <v>#VALUE!</v>
      </c>
      <c r="AM167" s="23" t="e">
        <f t="shared" si="92"/>
        <v>#VALUE!</v>
      </c>
      <c r="AN167" s="23" t="e">
        <f t="shared" si="73"/>
        <v>#VALUE!</v>
      </c>
      <c r="AO167" s="23" t="e">
        <f t="shared" ref="AO167:AO179" si="94">E165*((1+$C$23)^2-1)</f>
        <v>#VALUE!</v>
      </c>
      <c r="AP167" s="23" t="e">
        <f t="shared" si="93"/>
        <v>#VALUE!</v>
      </c>
      <c r="AQ167" s="23" t="e">
        <f t="shared" ref="AQ167" si="95">E161*((1+$C$23)^6-1)</f>
        <v>#VALUE!</v>
      </c>
      <c r="AR167" s="23" t="e">
        <f>E155*((1+$C$23)^12-1)</f>
        <v>#VALUE!</v>
      </c>
      <c r="AU167" s="23">
        <f t="shared" si="83"/>
        <v>13986.111111111111</v>
      </c>
      <c r="AV167" s="23">
        <f t="shared" si="82"/>
        <v>13986.111111111111</v>
      </c>
      <c r="AW167" s="23">
        <f>$E$23/($B$17-$B$16)*2</f>
        <v>27972.222222222223</v>
      </c>
      <c r="AX167" s="23">
        <f>$E$23/($B$17-$B$16)*3</f>
        <v>41958.333333333336</v>
      </c>
      <c r="AY167" s="23">
        <f>$E$23/($B$17-$B$16)*6</f>
        <v>83916.666666666672</v>
      </c>
      <c r="AZ167" s="23">
        <f>$E$23/($B$17-$B$16)*12</f>
        <v>167833.33333333334</v>
      </c>
      <c r="BB167" s="203" t="e">
        <f t="shared" si="84"/>
        <v>#VALUE!</v>
      </c>
    </row>
    <row r="168" spans="1:54" x14ac:dyDescent="0.25">
      <c r="A168" s="68" t="str">
        <f t="shared" si="74"/>
        <v/>
      </c>
      <c r="B168" s="68" t="str">
        <f t="shared" si="75"/>
        <v/>
      </c>
      <c r="C168" s="158" t="str">
        <f t="shared" si="76"/>
        <v/>
      </c>
      <c r="D168" s="158" t="str">
        <f t="shared" si="77"/>
        <v/>
      </c>
      <c r="E168" s="157" t="str">
        <f t="shared" si="78"/>
        <v/>
      </c>
      <c r="F168" s="158" t="str">
        <f t="shared" si="79"/>
        <v/>
      </c>
      <c r="G168" s="160" t="str">
        <f t="shared" si="80"/>
        <v/>
      </c>
      <c r="AA168" s="2" t="str">
        <f t="shared" si="88"/>
        <v/>
      </c>
      <c r="AC168" s="9" t="str">
        <f t="shared" si="69"/>
        <v/>
      </c>
      <c r="AD168" s="9" t="str">
        <f t="shared" si="86"/>
        <v/>
      </c>
      <c r="AF168" s="2" t="str">
        <f t="shared" si="89"/>
        <v/>
      </c>
      <c r="AG168" s="9" t="str">
        <f t="shared" si="90"/>
        <v/>
      </c>
      <c r="AH168" s="9" t="str">
        <f t="shared" si="91"/>
        <v/>
      </c>
      <c r="AL168" s="23" t="e">
        <f t="shared" si="81"/>
        <v>#VALUE!</v>
      </c>
      <c r="AM168" s="23" t="e">
        <f t="shared" si="92"/>
        <v>#VALUE!</v>
      </c>
      <c r="AN168" s="23" t="e">
        <f t="shared" si="73"/>
        <v>#VALUE!</v>
      </c>
      <c r="AO168" s="23">
        <v>0</v>
      </c>
      <c r="AP168" s="23">
        <v>0</v>
      </c>
      <c r="AQ168" s="23">
        <v>0</v>
      </c>
      <c r="AR168" s="23">
        <v>0</v>
      </c>
      <c r="AU168" s="23">
        <f t="shared" si="83"/>
        <v>13986.111111111111</v>
      </c>
      <c r="AV168" s="23">
        <f t="shared" si="82"/>
        <v>13986.111111111111</v>
      </c>
      <c r="AW168" s="23">
        <v>0</v>
      </c>
      <c r="AX168" s="23">
        <v>0</v>
      </c>
      <c r="AY168" s="23">
        <v>0</v>
      </c>
      <c r="AZ168" s="23">
        <v>0</v>
      </c>
      <c r="BB168" s="203" t="e">
        <f t="shared" si="84"/>
        <v>#VALUE!</v>
      </c>
    </row>
    <row r="169" spans="1:54" x14ac:dyDescent="0.25">
      <c r="A169" s="68" t="str">
        <f t="shared" si="74"/>
        <v/>
      </c>
      <c r="B169" s="68" t="str">
        <f t="shared" si="75"/>
        <v/>
      </c>
      <c r="C169" s="158" t="str">
        <f t="shared" si="76"/>
        <v/>
      </c>
      <c r="D169" s="158" t="str">
        <f t="shared" si="77"/>
        <v/>
      </c>
      <c r="E169" s="157" t="str">
        <f t="shared" si="78"/>
        <v/>
      </c>
      <c r="F169" s="158" t="str">
        <f t="shared" si="79"/>
        <v/>
      </c>
      <c r="G169" s="160" t="str">
        <f t="shared" si="80"/>
        <v/>
      </c>
      <c r="AA169" s="2" t="str">
        <f t="shared" si="88"/>
        <v/>
      </c>
      <c r="AC169" s="9" t="str">
        <f t="shared" si="69"/>
        <v/>
      </c>
      <c r="AD169" s="9" t="str">
        <f t="shared" si="86"/>
        <v/>
      </c>
      <c r="AF169" s="2" t="str">
        <f t="shared" si="89"/>
        <v/>
      </c>
      <c r="AG169" s="9" t="str">
        <f t="shared" si="90"/>
        <v/>
      </c>
      <c r="AH169" s="9" t="str">
        <f t="shared" si="91"/>
        <v/>
      </c>
      <c r="AL169" s="23" t="e">
        <f t="shared" si="81"/>
        <v>#VALUE!</v>
      </c>
      <c r="AM169" s="23" t="e">
        <f t="shared" si="92"/>
        <v>#VALUE!</v>
      </c>
      <c r="AN169" s="23" t="e">
        <f t="shared" si="73"/>
        <v>#VALUE!</v>
      </c>
      <c r="AO169" s="23" t="e">
        <f t="shared" si="94"/>
        <v>#VALUE!</v>
      </c>
      <c r="AP169" s="23">
        <v>0</v>
      </c>
      <c r="AQ169" s="23">
        <v>0</v>
      </c>
      <c r="AR169" s="23">
        <v>0</v>
      </c>
      <c r="AU169" s="23">
        <f t="shared" si="83"/>
        <v>13986.111111111111</v>
      </c>
      <c r="AV169" s="23">
        <f t="shared" si="82"/>
        <v>13986.111111111111</v>
      </c>
      <c r="AW169" s="23">
        <f>$E$23/($B$17-$B$16)*2</f>
        <v>27972.222222222223</v>
      </c>
      <c r="AX169" s="23">
        <v>0</v>
      </c>
      <c r="AY169" s="23">
        <v>0</v>
      </c>
      <c r="AZ169" s="23">
        <v>0</v>
      </c>
      <c r="BB169" s="203" t="e">
        <f t="shared" si="84"/>
        <v>#VALUE!</v>
      </c>
    </row>
    <row r="170" spans="1:54" x14ac:dyDescent="0.25">
      <c r="A170" s="68" t="str">
        <f t="shared" si="74"/>
        <v/>
      </c>
      <c r="B170" s="68" t="str">
        <f t="shared" si="75"/>
        <v/>
      </c>
      <c r="C170" s="158" t="str">
        <f t="shared" si="76"/>
        <v/>
      </c>
      <c r="D170" s="158" t="str">
        <f t="shared" si="77"/>
        <v/>
      </c>
      <c r="E170" s="157" t="str">
        <f t="shared" si="78"/>
        <v/>
      </c>
      <c r="F170" s="158" t="str">
        <f t="shared" si="79"/>
        <v/>
      </c>
      <c r="G170" s="160" t="str">
        <f t="shared" si="80"/>
        <v/>
      </c>
      <c r="AA170" s="2" t="str">
        <f t="shared" si="88"/>
        <v/>
      </c>
      <c r="AC170" s="9" t="str">
        <f t="shared" si="69"/>
        <v/>
      </c>
      <c r="AD170" s="9" t="str">
        <f t="shared" si="86"/>
        <v/>
      </c>
      <c r="AF170" s="2" t="str">
        <f t="shared" si="89"/>
        <v/>
      </c>
      <c r="AG170" s="9" t="str">
        <f t="shared" si="90"/>
        <v/>
      </c>
      <c r="AH170" s="9" t="str">
        <f t="shared" si="91"/>
        <v/>
      </c>
      <c r="AL170" s="23" t="e">
        <f t="shared" si="81"/>
        <v>#VALUE!</v>
      </c>
      <c r="AM170" s="23" t="e">
        <f t="shared" si="92"/>
        <v>#VALUE!</v>
      </c>
      <c r="AN170" s="23" t="e">
        <f t="shared" si="73"/>
        <v>#VALUE!</v>
      </c>
      <c r="AO170" s="23">
        <v>0</v>
      </c>
      <c r="AP170" s="23" t="e">
        <f t="shared" si="93"/>
        <v>#VALUE!</v>
      </c>
      <c r="AQ170" s="23">
        <v>0</v>
      </c>
      <c r="AR170" s="23">
        <v>0</v>
      </c>
      <c r="AU170" s="23">
        <f t="shared" si="83"/>
        <v>13986.111111111111</v>
      </c>
      <c r="AV170" s="23">
        <f t="shared" si="82"/>
        <v>13986.111111111111</v>
      </c>
      <c r="AW170" s="23">
        <v>0</v>
      </c>
      <c r="AX170" s="23">
        <f>$E$23/($B$17-$B$16)*3</f>
        <v>41958.333333333336</v>
      </c>
      <c r="AY170" s="23">
        <v>0</v>
      </c>
      <c r="AZ170" s="23">
        <v>0</v>
      </c>
      <c r="BB170" s="203" t="e">
        <f t="shared" si="84"/>
        <v>#VALUE!</v>
      </c>
    </row>
    <row r="171" spans="1:54" x14ac:dyDescent="0.25">
      <c r="A171" s="68" t="str">
        <f t="shared" si="74"/>
        <v/>
      </c>
      <c r="B171" s="68" t="str">
        <f t="shared" si="75"/>
        <v/>
      </c>
      <c r="C171" s="158" t="str">
        <f t="shared" si="76"/>
        <v/>
      </c>
      <c r="D171" s="158" t="str">
        <f t="shared" si="77"/>
        <v/>
      </c>
      <c r="E171" s="157" t="str">
        <f t="shared" si="78"/>
        <v/>
      </c>
      <c r="F171" s="158" t="str">
        <f t="shared" si="79"/>
        <v/>
      </c>
      <c r="G171" s="160" t="str">
        <f t="shared" si="80"/>
        <v/>
      </c>
      <c r="AA171" s="2" t="str">
        <f t="shared" si="88"/>
        <v/>
      </c>
      <c r="AC171" s="9" t="str">
        <f t="shared" ref="AC171:AC202" si="96">IF(AB171="","",IF(AA171&lt;=B$16,AC170,AC170-AD171))</f>
        <v/>
      </c>
      <c r="AD171" s="9" t="str">
        <f t="shared" si="86"/>
        <v/>
      </c>
      <c r="AF171" s="2" t="str">
        <f t="shared" si="89"/>
        <v/>
      </c>
      <c r="AG171" s="9" t="str">
        <f t="shared" si="90"/>
        <v/>
      </c>
      <c r="AH171" s="9" t="str">
        <f t="shared" si="91"/>
        <v/>
      </c>
      <c r="AL171" s="23" t="e">
        <f t="shared" si="81"/>
        <v>#VALUE!</v>
      </c>
      <c r="AM171" s="23" t="e">
        <f t="shared" si="92"/>
        <v>#VALUE!</v>
      </c>
      <c r="AN171" s="23" t="e">
        <f t="shared" si="73"/>
        <v>#VALUE!</v>
      </c>
      <c r="AO171" s="23" t="e">
        <f t="shared" si="94"/>
        <v>#VALUE!</v>
      </c>
      <c r="AP171" s="23">
        <v>0</v>
      </c>
      <c r="AQ171" s="23">
        <v>0</v>
      </c>
      <c r="AR171" s="23">
        <v>0</v>
      </c>
      <c r="AU171" s="23">
        <f t="shared" si="83"/>
        <v>13986.111111111111</v>
      </c>
      <c r="AV171" s="23">
        <f t="shared" si="82"/>
        <v>13986.111111111111</v>
      </c>
      <c r="AW171" s="23">
        <f>$E$23/($B$17-$B$16)*2</f>
        <v>27972.222222222223</v>
      </c>
      <c r="AX171" s="23">
        <v>0</v>
      </c>
      <c r="AY171" s="23">
        <v>0</v>
      </c>
      <c r="AZ171" s="23">
        <v>0</v>
      </c>
      <c r="BB171" s="203" t="e">
        <f t="shared" si="84"/>
        <v>#VALUE!</v>
      </c>
    </row>
    <row r="172" spans="1:54" x14ac:dyDescent="0.25">
      <c r="A172" s="68" t="str">
        <f t="shared" si="74"/>
        <v/>
      </c>
      <c r="B172" s="68" t="str">
        <f t="shared" si="75"/>
        <v/>
      </c>
      <c r="C172" s="158" t="str">
        <f t="shared" si="76"/>
        <v/>
      </c>
      <c r="D172" s="158" t="str">
        <f t="shared" si="77"/>
        <v/>
      </c>
      <c r="E172" s="157" t="str">
        <f t="shared" si="78"/>
        <v/>
      </c>
      <c r="F172" s="158" t="str">
        <f t="shared" si="79"/>
        <v/>
      </c>
      <c r="G172" s="160" t="str">
        <f t="shared" si="80"/>
        <v/>
      </c>
      <c r="AA172" s="2" t="str">
        <f t="shared" si="88"/>
        <v/>
      </c>
      <c r="AC172" s="9" t="str">
        <f t="shared" si="96"/>
        <v/>
      </c>
      <c r="AD172" s="9" t="str">
        <f t="shared" si="86"/>
        <v/>
      </c>
      <c r="AF172" s="2" t="str">
        <f t="shared" si="89"/>
        <v/>
      </c>
      <c r="AG172" s="9" t="str">
        <f t="shared" si="90"/>
        <v/>
      </c>
      <c r="AH172" s="9" t="str">
        <f t="shared" si="91"/>
        <v/>
      </c>
      <c r="AL172" s="23" t="e">
        <f t="shared" si="81"/>
        <v>#VALUE!</v>
      </c>
      <c r="AM172" s="23" t="e">
        <f t="shared" si="92"/>
        <v>#VALUE!</v>
      </c>
      <c r="AN172" s="23" t="e">
        <f t="shared" si="73"/>
        <v>#VALUE!</v>
      </c>
      <c r="AO172" s="23">
        <v>0</v>
      </c>
      <c r="AP172" s="23">
        <v>0</v>
      </c>
      <c r="AQ172" s="23">
        <v>0</v>
      </c>
      <c r="AR172" s="23">
        <v>0</v>
      </c>
      <c r="AU172" s="23">
        <f t="shared" si="83"/>
        <v>13986.111111111111</v>
      </c>
      <c r="AV172" s="23">
        <f t="shared" si="82"/>
        <v>13986.111111111111</v>
      </c>
      <c r="AW172" s="23">
        <v>0</v>
      </c>
      <c r="AX172" s="23">
        <v>0</v>
      </c>
      <c r="AY172" s="23">
        <v>0</v>
      </c>
      <c r="AZ172" s="23">
        <v>0</v>
      </c>
      <c r="BB172" s="203" t="e">
        <f t="shared" si="84"/>
        <v>#VALUE!</v>
      </c>
    </row>
    <row r="173" spans="1:54" x14ac:dyDescent="0.25">
      <c r="A173" s="68" t="str">
        <f t="shared" si="74"/>
        <v/>
      </c>
      <c r="B173" s="68" t="str">
        <f t="shared" si="75"/>
        <v/>
      </c>
      <c r="C173" s="158" t="str">
        <f t="shared" si="76"/>
        <v/>
      </c>
      <c r="D173" s="158" t="str">
        <f t="shared" si="77"/>
        <v/>
      </c>
      <c r="E173" s="157" t="str">
        <f t="shared" si="78"/>
        <v/>
      </c>
      <c r="F173" s="158" t="str">
        <f t="shared" si="79"/>
        <v/>
      </c>
      <c r="G173" s="160" t="str">
        <f t="shared" si="80"/>
        <v/>
      </c>
      <c r="AA173" s="2" t="str">
        <f t="shared" si="88"/>
        <v/>
      </c>
      <c r="AC173" s="9" t="str">
        <f t="shared" si="96"/>
        <v/>
      </c>
      <c r="AD173" s="9" t="str">
        <f t="shared" si="86"/>
        <v/>
      </c>
      <c r="AF173" s="2" t="str">
        <f t="shared" si="89"/>
        <v/>
      </c>
      <c r="AG173" s="9" t="str">
        <f t="shared" si="90"/>
        <v/>
      </c>
      <c r="AH173" s="9" t="str">
        <f t="shared" si="91"/>
        <v/>
      </c>
      <c r="AL173" s="23" t="e">
        <f t="shared" si="81"/>
        <v>#VALUE!</v>
      </c>
      <c r="AM173" s="23" t="e">
        <f t="shared" si="92"/>
        <v>#VALUE!</v>
      </c>
      <c r="AN173" s="23" t="e">
        <f t="shared" si="73"/>
        <v>#VALUE!</v>
      </c>
      <c r="AO173" s="23" t="e">
        <f t="shared" si="94"/>
        <v>#VALUE!</v>
      </c>
      <c r="AP173" s="23" t="e">
        <f t="shared" ref="AP173:AP185" si="97">E170*((1+$C$23)^3-1)</f>
        <v>#VALUE!</v>
      </c>
      <c r="AQ173" s="23" t="e">
        <f t="shared" ref="AQ173" si="98">E167*((1+$C$23)^6-1)</f>
        <v>#VALUE!</v>
      </c>
      <c r="AR173" s="23">
        <v>0</v>
      </c>
      <c r="AU173" s="23">
        <f t="shared" si="83"/>
        <v>13986.111111111111</v>
      </c>
      <c r="AV173" s="23">
        <f t="shared" si="82"/>
        <v>13986.111111111111</v>
      </c>
      <c r="AW173" s="23">
        <f>$E$23/($B$17-$B$16)*2</f>
        <v>27972.222222222223</v>
      </c>
      <c r="AX173" s="23">
        <f>$E$23/($B$17-$B$16)*3</f>
        <v>41958.333333333336</v>
      </c>
      <c r="AY173" s="23">
        <f>$E$23/($B$17-$B$16)*6</f>
        <v>83916.666666666672</v>
      </c>
      <c r="AZ173" s="23">
        <v>0</v>
      </c>
      <c r="BB173" s="203" t="e">
        <f t="shared" si="84"/>
        <v>#VALUE!</v>
      </c>
    </row>
    <row r="174" spans="1:54" x14ac:dyDescent="0.25">
      <c r="A174" s="68" t="str">
        <f t="shared" si="74"/>
        <v/>
      </c>
      <c r="B174" s="68" t="str">
        <f t="shared" si="75"/>
        <v/>
      </c>
      <c r="C174" s="158" t="str">
        <f t="shared" si="76"/>
        <v/>
      </c>
      <c r="D174" s="158" t="str">
        <f t="shared" si="77"/>
        <v/>
      </c>
      <c r="E174" s="157" t="str">
        <f t="shared" si="78"/>
        <v/>
      </c>
      <c r="F174" s="158" t="str">
        <f t="shared" si="79"/>
        <v/>
      </c>
      <c r="G174" s="160" t="str">
        <f t="shared" si="80"/>
        <v/>
      </c>
      <c r="AA174" s="2" t="str">
        <f t="shared" si="88"/>
        <v/>
      </c>
      <c r="AC174" s="9" t="str">
        <f t="shared" si="96"/>
        <v/>
      </c>
      <c r="AD174" s="9" t="str">
        <f t="shared" si="86"/>
        <v/>
      </c>
      <c r="AF174" s="2" t="str">
        <f t="shared" si="89"/>
        <v/>
      </c>
      <c r="AG174" s="9" t="str">
        <f t="shared" si="90"/>
        <v/>
      </c>
      <c r="AH174" s="9" t="str">
        <f t="shared" si="91"/>
        <v/>
      </c>
      <c r="AL174" s="23" t="e">
        <f t="shared" si="81"/>
        <v>#VALUE!</v>
      </c>
      <c r="AM174" s="23" t="e">
        <f t="shared" si="92"/>
        <v>#VALUE!</v>
      </c>
      <c r="AN174" s="23" t="e">
        <f>E173*$C$23</f>
        <v>#VALUE!</v>
      </c>
      <c r="AO174" s="23">
        <v>0</v>
      </c>
      <c r="AP174" s="23">
        <v>0</v>
      </c>
      <c r="AQ174" s="23">
        <v>0</v>
      </c>
      <c r="AR174" s="23">
        <v>0</v>
      </c>
      <c r="AU174" s="23">
        <f t="shared" si="83"/>
        <v>13986.111111111111</v>
      </c>
      <c r="AV174" s="23">
        <f t="shared" si="82"/>
        <v>13986.111111111111</v>
      </c>
      <c r="AW174" s="23">
        <v>0</v>
      </c>
      <c r="AX174" s="23">
        <v>0</v>
      </c>
      <c r="AY174" s="23">
        <v>0</v>
      </c>
      <c r="AZ174" s="23">
        <v>0</v>
      </c>
      <c r="BB174" s="203" t="e">
        <f t="shared" si="84"/>
        <v>#VALUE!</v>
      </c>
    </row>
    <row r="175" spans="1:54" x14ac:dyDescent="0.25">
      <c r="A175" s="68" t="str">
        <f t="shared" si="74"/>
        <v/>
      </c>
      <c r="B175" s="68" t="str">
        <f t="shared" si="75"/>
        <v/>
      </c>
      <c r="C175" s="158" t="str">
        <f t="shared" si="76"/>
        <v/>
      </c>
      <c r="D175" s="158" t="str">
        <f t="shared" si="77"/>
        <v/>
      </c>
      <c r="E175" s="157" t="str">
        <f t="shared" si="78"/>
        <v/>
      </c>
      <c r="F175" s="158" t="str">
        <f t="shared" si="79"/>
        <v/>
      </c>
      <c r="G175" s="160" t="str">
        <f t="shared" si="80"/>
        <v/>
      </c>
      <c r="AA175" s="2" t="str">
        <f t="shared" si="88"/>
        <v/>
      </c>
      <c r="AC175" s="9" t="str">
        <f t="shared" si="96"/>
        <v/>
      </c>
      <c r="AD175" s="9" t="str">
        <f t="shared" si="86"/>
        <v/>
      </c>
      <c r="AF175" s="2" t="str">
        <f t="shared" si="89"/>
        <v/>
      </c>
      <c r="AG175" s="9" t="str">
        <f t="shared" si="90"/>
        <v/>
      </c>
      <c r="AH175" s="9" t="str">
        <f t="shared" si="91"/>
        <v/>
      </c>
      <c r="AL175" s="23" t="e">
        <f t="shared" si="81"/>
        <v>#VALUE!</v>
      </c>
      <c r="AM175" s="23" t="e">
        <f t="shared" si="92"/>
        <v>#VALUE!</v>
      </c>
      <c r="AN175" s="23" t="e">
        <f t="shared" ref="AN175:AN198" si="99">E174*$C$23</f>
        <v>#VALUE!</v>
      </c>
      <c r="AO175" s="23" t="e">
        <f t="shared" si="94"/>
        <v>#VALUE!</v>
      </c>
      <c r="AP175" s="23">
        <v>0</v>
      </c>
      <c r="AQ175" s="23">
        <v>0</v>
      </c>
      <c r="AR175" s="23">
        <v>0</v>
      </c>
      <c r="AU175" s="23">
        <f t="shared" si="83"/>
        <v>13986.111111111111</v>
      </c>
      <c r="AV175" s="23">
        <f t="shared" si="82"/>
        <v>13986.111111111111</v>
      </c>
      <c r="AW175" s="23">
        <f>$E$23/($B$17-$B$16)*2</f>
        <v>27972.222222222223</v>
      </c>
      <c r="AX175" s="23">
        <v>0</v>
      </c>
      <c r="AY175" s="23">
        <v>0</v>
      </c>
      <c r="AZ175" s="23">
        <v>0</v>
      </c>
      <c r="BB175" s="203" t="e">
        <f t="shared" si="84"/>
        <v>#VALUE!</v>
      </c>
    </row>
    <row r="176" spans="1:54" x14ac:dyDescent="0.25">
      <c r="A176" s="68" t="str">
        <f t="shared" si="74"/>
        <v/>
      </c>
      <c r="B176" s="68" t="str">
        <f t="shared" si="75"/>
        <v/>
      </c>
      <c r="C176" s="158" t="str">
        <f t="shared" si="76"/>
        <v/>
      </c>
      <c r="D176" s="158" t="str">
        <f t="shared" si="77"/>
        <v/>
      </c>
      <c r="E176" s="157" t="str">
        <f t="shared" si="78"/>
        <v/>
      </c>
      <c r="F176" s="158" t="str">
        <f t="shared" si="79"/>
        <v/>
      </c>
      <c r="G176" s="160" t="str">
        <f t="shared" si="80"/>
        <v/>
      </c>
      <c r="AA176" s="2" t="str">
        <f t="shared" si="88"/>
        <v/>
      </c>
      <c r="AC176" s="9" t="str">
        <f t="shared" si="96"/>
        <v/>
      </c>
      <c r="AD176" s="9" t="str">
        <f t="shared" si="86"/>
        <v/>
      </c>
      <c r="AF176" s="2" t="str">
        <f t="shared" si="89"/>
        <v/>
      </c>
      <c r="AG176" s="9" t="str">
        <f t="shared" si="90"/>
        <v/>
      </c>
      <c r="AH176" s="9" t="str">
        <f t="shared" si="91"/>
        <v/>
      </c>
      <c r="AL176" s="23" t="e">
        <f t="shared" si="81"/>
        <v>#VALUE!</v>
      </c>
      <c r="AM176" s="23" t="e">
        <f t="shared" si="92"/>
        <v>#VALUE!</v>
      </c>
      <c r="AN176" s="23" t="e">
        <f t="shared" si="99"/>
        <v>#VALUE!</v>
      </c>
      <c r="AO176" s="23">
        <v>0</v>
      </c>
      <c r="AP176" s="23" t="e">
        <f t="shared" si="97"/>
        <v>#VALUE!</v>
      </c>
      <c r="AQ176" s="23">
        <v>0</v>
      </c>
      <c r="AR176" s="23">
        <v>0</v>
      </c>
      <c r="AU176" s="23">
        <f t="shared" si="83"/>
        <v>13986.111111111111</v>
      </c>
      <c r="AV176" s="23">
        <f t="shared" si="82"/>
        <v>13986.111111111111</v>
      </c>
      <c r="AW176" s="23">
        <v>0</v>
      </c>
      <c r="AX176" s="23">
        <f>$E$23/($B$17-$B$16)*3</f>
        <v>41958.333333333336</v>
      </c>
      <c r="AY176" s="23">
        <v>0</v>
      </c>
      <c r="AZ176" s="23">
        <v>0</v>
      </c>
      <c r="BB176" s="203" t="e">
        <f t="shared" si="84"/>
        <v>#VALUE!</v>
      </c>
    </row>
    <row r="177" spans="1:54" x14ac:dyDescent="0.25">
      <c r="A177" s="68" t="str">
        <f t="shared" si="74"/>
        <v/>
      </c>
      <c r="B177" s="68" t="str">
        <f t="shared" si="75"/>
        <v/>
      </c>
      <c r="C177" s="158" t="str">
        <f t="shared" si="76"/>
        <v/>
      </c>
      <c r="D177" s="158" t="str">
        <f t="shared" si="77"/>
        <v/>
      </c>
      <c r="E177" s="157" t="str">
        <f t="shared" si="78"/>
        <v/>
      </c>
      <c r="F177" s="158" t="str">
        <f t="shared" si="79"/>
        <v/>
      </c>
      <c r="G177" s="160" t="str">
        <f t="shared" si="80"/>
        <v/>
      </c>
      <c r="AA177" s="2" t="str">
        <f t="shared" si="88"/>
        <v/>
      </c>
      <c r="AC177" s="9" t="str">
        <f t="shared" si="96"/>
        <v/>
      </c>
      <c r="AD177" s="9" t="str">
        <f t="shared" si="86"/>
        <v/>
      </c>
      <c r="AF177" s="2" t="str">
        <f t="shared" si="89"/>
        <v/>
      </c>
      <c r="AG177" s="9" t="str">
        <f t="shared" si="90"/>
        <v/>
      </c>
      <c r="AH177" s="9" t="str">
        <f t="shared" si="91"/>
        <v/>
      </c>
      <c r="AL177" s="23" t="e">
        <f t="shared" si="81"/>
        <v>#VALUE!</v>
      </c>
      <c r="AM177" s="23" t="e">
        <f t="shared" si="92"/>
        <v>#VALUE!</v>
      </c>
      <c r="AN177" s="23" t="e">
        <f t="shared" si="99"/>
        <v>#VALUE!</v>
      </c>
      <c r="AO177" s="23" t="e">
        <f t="shared" si="94"/>
        <v>#VALUE!</v>
      </c>
      <c r="AP177" s="23">
        <v>0</v>
      </c>
      <c r="AQ177" s="23">
        <v>0</v>
      </c>
      <c r="AR177" s="23">
        <v>0</v>
      </c>
      <c r="AU177" s="23">
        <f t="shared" si="83"/>
        <v>13986.111111111111</v>
      </c>
      <c r="AV177" s="23">
        <f t="shared" si="82"/>
        <v>13986.111111111111</v>
      </c>
      <c r="AW177" s="23">
        <f>$E$23/($B$17-$B$16)*2</f>
        <v>27972.222222222223</v>
      </c>
      <c r="AX177" s="23">
        <v>0</v>
      </c>
      <c r="AY177" s="23">
        <v>0</v>
      </c>
      <c r="AZ177" s="23">
        <v>0</v>
      </c>
      <c r="BB177" s="203" t="e">
        <f t="shared" si="84"/>
        <v>#VALUE!</v>
      </c>
    </row>
    <row r="178" spans="1:54" x14ac:dyDescent="0.25">
      <c r="A178" s="68" t="str">
        <f t="shared" si="74"/>
        <v/>
      </c>
      <c r="B178" s="68" t="str">
        <f t="shared" si="75"/>
        <v/>
      </c>
      <c r="C178" s="158" t="str">
        <f t="shared" si="76"/>
        <v/>
      </c>
      <c r="D178" s="158" t="str">
        <f t="shared" si="77"/>
        <v/>
      </c>
      <c r="E178" s="157" t="str">
        <f t="shared" si="78"/>
        <v/>
      </c>
      <c r="F178" s="158" t="str">
        <f t="shared" si="79"/>
        <v/>
      </c>
      <c r="G178" s="160" t="str">
        <f t="shared" si="80"/>
        <v/>
      </c>
      <c r="AA178" s="2" t="str">
        <f t="shared" si="88"/>
        <v/>
      </c>
      <c r="AC178" s="9" t="str">
        <f t="shared" si="96"/>
        <v/>
      </c>
      <c r="AD178" s="9" t="str">
        <f t="shared" si="86"/>
        <v/>
      </c>
      <c r="AF178" s="2" t="str">
        <f t="shared" si="89"/>
        <v/>
      </c>
      <c r="AG178" s="9" t="str">
        <f t="shared" si="90"/>
        <v/>
      </c>
      <c r="AH178" s="9" t="str">
        <f t="shared" si="91"/>
        <v/>
      </c>
      <c r="AL178" s="23" t="e">
        <f t="shared" si="81"/>
        <v>#VALUE!</v>
      </c>
      <c r="AM178" s="23" t="e">
        <f t="shared" si="92"/>
        <v>#VALUE!</v>
      </c>
      <c r="AN178" s="23" t="e">
        <f t="shared" si="99"/>
        <v>#VALUE!</v>
      </c>
      <c r="AO178" s="23">
        <v>0</v>
      </c>
      <c r="AP178" s="23">
        <v>0</v>
      </c>
      <c r="AQ178" s="23">
        <v>0</v>
      </c>
      <c r="AR178" s="23">
        <v>0</v>
      </c>
      <c r="AU178" s="23">
        <f t="shared" si="83"/>
        <v>13986.111111111111</v>
      </c>
      <c r="AV178" s="23">
        <f t="shared" si="82"/>
        <v>13986.111111111111</v>
      </c>
      <c r="AW178" s="23">
        <v>0</v>
      </c>
      <c r="AX178" s="23">
        <v>0</v>
      </c>
      <c r="AY178" s="23">
        <v>0</v>
      </c>
      <c r="AZ178" s="23">
        <v>0</v>
      </c>
      <c r="BB178" s="203" t="e">
        <f t="shared" si="84"/>
        <v>#VALUE!</v>
      </c>
    </row>
    <row r="179" spans="1:54" x14ac:dyDescent="0.25">
      <c r="A179" s="68" t="str">
        <f t="shared" ref="A179:A200" si="100">IF(A178&lt;B$17,A178+1,"")</f>
        <v/>
      </c>
      <c r="B179" s="68" t="str">
        <f t="shared" ref="B179:B200" si="101">IF(A179="","",IF(A179&lt;=B$16,"carência","amortização"))</f>
        <v/>
      </c>
      <c r="C179" s="158" t="str">
        <f t="shared" ref="C179:C200" si="102">IF(B179="","",IF($AN$18=TRUE,AL179,AM179))</f>
        <v/>
      </c>
      <c r="D179" s="158" t="str">
        <f t="shared" ref="D179:D200" si="103">IF(C179="","",IF(A179&lt;=B$16,0,E$23/(B$17-B$16)))</f>
        <v/>
      </c>
      <c r="E179" s="157" t="str">
        <f t="shared" ref="E179:E200" si="104">IF(F179="","",E178-D179)</f>
        <v/>
      </c>
      <c r="F179" s="158" t="str">
        <f t="shared" ref="F179:F200" si="105">IF(D179="","",D179+C179)</f>
        <v/>
      </c>
      <c r="G179" s="160" t="str">
        <f t="shared" ref="G179:G200" si="106">IF(E179="","",D179+C179)</f>
        <v/>
      </c>
      <c r="AA179" s="2" t="str">
        <f t="shared" si="88"/>
        <v/>
      </c>
      <c r="AC179" s="9" t="str">
        <f t="shared" si="96"/>
        <v/>
      </c>
      <c r="AD179" s="9" t="str">
        <f t="shared" si="86"/>
        <v/>
      </c>
      <c r="AF179" s="2" t="str">
        <f t="shared" si="89"/>
        <v/>
      </c>
      <c r="AG179" s="9" t="str">
        <f t="shared" si="90"/>
        <v/>
      </c>
      <c r="AH179" s="9" t="str">
        <f t="shared" si="91"/>
        <v/>
      </c>
      <c r="AL179" s="23" t="e">
        <f t="shared" si="81"/>
        <v>#VALUE!</v>
      </c>
      <c r="AM179" s="23" t="e">
        <f t="shared" si="92"/>
        <v>#VALUE!</v>
      </c>
      <c r="AN179" s="23" t="e">
        <f t="shared" si="99"/>
        <v>#VALUE!</v>
      </c>
      <c r="AO179" s="23" t="e">
        <f t="shared" si="94"/>
        <v>#VALUE!</v>
      </c>
      <c r="AP179" s="23" t="e">
        <f t="shared" si="97"/>
        <v>#VALUE!</v>
      </c>
      <c r="AQ179" s="23" t="e">
        <f>E173*((1+$C$23)^6-1)</f>
        <v>#VALUE!</v>
      </c>
      <c r="AR179" s="23" t="e">
        <f>E167*((1+$C$23)^12-1)</f>
        <v>#VALUE!</v>
      </c>
      <c r="AU179" s="23">
        <f t="shared" si="83"/>
        <v>13986.111111111111</v>
      </c>
      <c r="AV179" s="23">
        <f t="shared" si="82"/>
        <v>13986.111111111111</v>
      </c>
      <c r="AW179" s="23">
        <f>$E$23/($B$17-$B$16)*2</f>
        <v>27972.222222222223</v>
      </c>
      <c r="AX179" s="23">
        <f>$E$23/($B$17-$B$16)*3</f>
        <v>41958.333333333336</v>
      </c>
      <c r="AY179" s="23">
        <f>$E$23/($B$17-$B$16)*6</f>
        <v>83916.666666666672</v>
      </c>
      <c r="AZ179" s="23">
        <f>$E$23/($B$17-$B$16)*12</f>
        <v>167833.33333333334</v>
      </c>
      <c r="BB179" s="203" t="e">
        <f t="shared" si="84"/>
        <v>#VALUE!</v>
      </c>
    </row>
    <row r="180" spans="1:54" x14ac:dyDescent="0.25">
      <c r="A180" s="68" t="str">
        <f t="shared" si="100"/>
        <v/>
      </c>
      <c r="B180" s="68" t="str">
        <f t="shared" si="101"/>
        <v/>
      </c>
      <c r="C180" s="158" t="str">
        <f t="shared" si="102"/>
        <v/>
      </c>
      <c r="D180" s="158" t="str">
        <f t="shared" si="103"/>
        <v/>
      </c>
      <c r="E180" s="157" t="str">
        <f t="shared" si="104"/>
        <v/>
      </c>
      <c r="F180" s="158" t="str">
        <f t="shared" si="105"/>
        <v/>
      </c>
      <c r="G180" s="160" t="str">
        <f t="shared" si="106"/>
        <v/>
      </c>
      <c r="AA180" s="2" t="str">
        <f t="shared" si="88"/>
        <v/>
      </c>
      <c r="AC180" s="9" t="str">
        <f t="shared" si="96"/>
        <v/>
      </c>
      <c r="AD180" s="9" t="str">
        <f t="shared" si="86"/>
        <v/>
      </c>
      <c r="AF180" s="2" t="str">
        <f t="shared" si="89"/>
        <v/>
      </c>
      <c r="AG180" s="9" t="str">
        <f t="shared" si="90"/>
        <v/>
      </c>
      <c r="AH180" s="9" t="str">
        <f t="shared" si="91"/>
        <v/>
      </c>
      <c r="AL180" s="23" t="e">
        <f t="shared" si="81"/>
        <v>#VALUE!</v>
      </c>
      <c r="AM180" s="23" t="e">
        <f t="shared" si="92"/>
        <v>#VALUE!</v>
      </c>
      <c r="AN180" s="23" t="e">
        <f t="shared" si="99"/>
        <v>#VALUE!</v>
      </c>
      <c r="AO180" s="23">
        <v>0</v>
      </c>
      <c r="AP180" s="23">
        <v>0</v>
      </c>
      <c r="AQ180" s="23">
        <v>0</v>
      </c>
      <c r="AR180" s="23">
        <v>0</v>
      </c>
      <c r="AU180" s="23">
        <f t="shared" si="83"/>
        <v>13986.111111111111</v>
      </c>
      <c r="AV180" s="23">
        <f t="shared" si="82"/>
        <v>13986.111111111111</v>
      </c>
      <c r="AW180" s="23">
        <v>0</v>
      </c>
      <c r="AX180" s="23">
        <v>0</v>
      </c>
      <c r="AY180" s="23">
        <v>0</v>
      </c>
      <c r="AZ180" s="23">
        <v>0</v>
      </c>
      <c r="BB180" s="203" t="e">
        <f t="shared" si="84"/>
        <v>#VALUE!</v>
      </c>
    </row>
    <row r="181" spans="1:54" x14ac:dyDescent="0.25">
      <c r="A181" s="68" t="str">
        <f t="shared" si="100"/>
        <v/>
      </c>
      <c r="B181" s="68" t="str">
        <f t="shared" si="101"/>
        <v/>
      </c>
      <c r="C181" s="158" t="str">
        <f t="shared" si="102"/>
        <v/>
      </c>
      <c r="D181" s="158" t="str">
        <f t="shared" si="103"/>
        <v/>
      </c>
      <c r="E181" s="157" t="str">
        <f t="shared" si="104"/>
        <v/>
      </c>
      <c r="F181" s="158" t="str">
        <f t="shared" si="105"/>
        <v/>
      </c>
      <c r="G181" s="160" t="str">
        <f t="shared" si="106"/>
        <v/>
      </c>
      <c r="AA181" s="2" t="str">
        <f t="shared" si="88"/>
        <v/>
      </c>
      <c r="AC181" s="9" t="str">
        <f t="shared" si="96"/>
        <v/>
      </c>
      <c r="AD181" s="9" t="str">
        <f t="shared" si="86"/>
        <v/>
      </c>
      <c r="AF181" s="2" t="str">
        <f>IF(AE181="","",AB181-AB$29)</f>
        <v/>
      </c>
      <c r="AG181" s="9" t="str">
        <f t="shared" si="90"/>
        <v/>
      </c>
      <c r="AH181" s="9" t="str">
        <f t="shared" si="91"/>
        <v/>
      </c>
      <c r="AL181" s="23" t="e">
        <f t="shared" si="81"/>
        <v>#VALUE!</v>
      </c>
      <c r="AM181" s="23" t="e">
        <f t="shared" si="92"/>
        <v>#VALUE!</v>
      </c>
      <c r="AN181" s="23" t="e">
        <f t="shared" si="99"/>
        <v>#VALUE!</v>
      </c>
      <c r="AO181" s="23" t="e">
        <f>E179*((1+$C$23)^2-1)</f>
        <v>#VALUE!</v>
      </c>
      <c r="AP181" s="23">
        <v>0</v>
      </c>
      <c r="AQ181" s="23">
        <v>0</v>
      </c>
      <c r="AR181" s="23">
        <v>0</v>
      </c>
      <c r="AU181" s="23">
        <f t="shared" si="83"/>
        <v>13986.111111111111</v>
      </c>
      <c r="AV181" s="23">
        <f t="shared" si="82"/>
        <v>13986.111111111111</v>
      </c>
      <c r="AW181" s="23">
        <f>$E$23/($B$17-$B$16)*2</f>
        <v>27972.222222222223</v>
      </c>
      <c r="AX181" s="23">
        <v>0</v>
      </c>
      <c r="AY181" s="23">
        <v>0</v>
      </c>
      <c r="AZ181" s="23">
        <v>0</v>
      </c>
      <c r="BB181" s="203" t="e">
        <f t="shared" si="84"/>
        <v>#VALUE!</v>
      </c>
    </row>
    <row r="182" spans="1:54" x14ac:dyDescent="0.25">
      <c r="A182" s="68" t="str">
        <f t="shared" si="100"/>
        <v/>
      </c>
      <c r="B182" s="68" t="str">
        <f t="shared" si="101"/>
        <v/>
      </c>
      <c r="C182" s="158" t="str">
        <f t="shared" si="102"/>
        <v/>
      </c>
      <c r="D182" s="158" t="str">
        <f t="shared" si="103"/>
        <v/>
      </c>
      <c r="E182" s="157" t="str">
        <f t="shared" si="104"/>
        <v/>
      </c>
      <c r="F182" s="158" t="str">
        <f t="shared" si="105"/>
        <v/>
      </c>
      <c r="G182" s="160" t="str">
        <f t="shared" si="106"/>
        <v/>
      </c>
      <c r="AA182" s="2" t="str">
        <f t="shared" si="88"/>
        <v/>
      </c>
      <c r="AC182" s="9" t="str">
        <f t="shared" si="96"/>
        <v/>
      </c>
      <c r="AD182" s="9" t="str">
        <f t="shared" si="86"/>
        <v/>
      </c>
      <c r="AF182" s="2" t="str">
        <f t="shared" ref="AF182:AF229" si="107">IF(AE182="","",AB182-AB$29)</f>
        <v/>
      </c>
      <c r="AG182" s="9" t="str">
        <f t="shared" si="90"/>
        <v/>
      </c>
      <c r="AH182" s="9" t="str">
        <f t="shared" si="91"/>
        <v/>
      </c>
      <c r="AL182" s="23" t="e">
        <f t="shared" si="81"/>
        <v>#VALUE!</v>
      </c>
      <c r="AM182" s="23" t="e">
        <f t="shared" si="92"/>
        <v>#VALUE!</v>
      </c>
      <c r="AN182" s="23" t="e">
        <f t="shared" si="99"/>
        <v>#VALUE!</v>
      </c>
      <c r="AO182" s="23">
        <v>0</v>
      </c>
      <c r="AP182" s="23" t="e">
        <f t="shared" si="97"/>
        <v>#VALUE!</v>
      </c>
      <c r="AQ182" s="23">
        <v>0</v>
      </c>
      <c r="AR182" s="23">
        <v>0</v>
      </c>
      <c r="AU182" s="23">
        <f t="shared" si="83"/>
        <v>13986.111111111111</v>
      </c>
      <c r="AV182" s="23">
        <f t="shared" si="82"/>
        <v>13986.111111111111</v>
      </c>
      <c r="AW182" s="23">
        <v>0</v>
      </c>
      <c r="AX182" s="23">
        <f>$E$23/($B$17-$B$16)*3</f>
        <v>41958.333333333336</v>
      </c>
      <c r="AY182" s="23">
        <v>0</v>
      </c>
      <c r="AZ182" s="23">
        <v>0</v>
      </c>
      <c r="BB182" s="203" t="e">
        <f t="shared" si="84"/>
        <v>#VALUE!</v>
      </c>
    </row>
    <row r="183" spans="1:54" x14ac:dyDescent="0.25">
      <c r="A183" s="68" t="str">
        <f t="shared" si="100"/>
        <v/>
      </c>
      <c r="B183" s="68" t="str">
        <f t="shared" si="101"/>
        <v/>
      </c>
      <c r="C183" s="158" t="str">
        <f t="shared" si="102"/>
        <v/>
      </c>
      <c r="D183" s="158" t="str">
        <f t="shared" si="103"/>
        <v/>
      </c>
      <c r="E183" s="157" t="str">
        <f t="shared" si="104"/>
        <v/>
      </c>
      <c r="F183" s="158" t="str">
        <f t="shared" si="105"/>
        <v/>
      </c>
      <c r="G183" s="160" t="str">
        <f t="shared" si="106"/>
        <v/>
      </c>
      <c r="AA183" s="2" t="str">
        <f t="shared" si="88"/>
        <v/>
      </c>
      <c r="AC183" s="9" t="str">
        <f t="shared" si="96"/>
        <v/>
      </c>
      <c r="AD183" s="9" t="str">
        <f t="shared" si="86"/>
        <v/>
      </c>
      <c r="AF183" s="2" t="str">
        <f t="shared" si="107"/>
        <v/>
      </c>
      <c r="AG183" s="9" t="str">
        <f t="shared" si="90"/>
        <v/>
      </c>
      <c r="AH183" s="9" t="str">
        <f t="shared" si="91"/>
        <v/>
      </c>
      <c r="AL183" s="23" t="e">
        <f t="shared" si="81"/>
        <v>#VALUE!</v>
      </c>
      <c r="AM183" s="23" t="e">
        <f t="shared" si="92"/>
        <v>#VALUE!</v>
      </c>
      <c r="AN183" s="23" t="e">
        <f t="shared" si="99"/>
        <v>#VALUE!</v>
      </c>
      <c r="AO183" s="23" t="e">
        <f t="shared" ref="AO183:AO191" si="108">E181*((1+$C$23)^2-1)</f>
        <v>#VALUE!</v>
      </c>
      <c r="AP183" s="23">
        <v>0</v>
      </c>
      <c r="AQ183" s="23">
        <v>0</v>
      </c>
      <c r="AR183" s="23">
        <v>0</v>
      </c>
      <c r="AU183" s="23">
        <f t="shared" si="83"/>
        <v>13986.111111111111</v>
      </c>
      <c r="AV183" s="23">
        <f t="shared" si="82"/>
        <v>13986.111111111111</v>
      </c>
      <c r="AW183" s="23">
        <f>$E$23/($B$17-$B$16)*2</f>
        <v>27972.222222222223</v>
      </c>
      <c r="AX183" s="23">
        <v>0</v>
      </c>
      <c r="AY183" s="23">
        <v>0</v>
      </c>
      <c r="AZ183" s="23">
        <v>0</v>
      </c>
      <c r="BB183" s="203" t="e">
        <f t="shared" si="84"/>
        <v>#VALUE!</v>
      </c>
    </row>
    <row r="184" spans="1:54" x14ac:dyDescent="0.25">
      <c r="A184" s="68" t="str">
        <f t="shared" si="100"/>
        <v/>
      </c>
      <c r="B184" s="68" t="str">
        <f t="shared" si="101"/>
        <v/>
      </c>
      <c r="C184" s="158" t="str">
        <f t="shared" si="102"/>
        <v/>
      </c>
      <c r="D184" s="158" t="str">
        <f t="shared" si="103"/>
        <v/>
      </c>
      <c r="E184" s="157" t="str">
        <f t="shared" si="104"/>
        <v/>
      </c>
      <c r="F184" s="158" t="str">
        <f t="shared" si="105"/>
        <v/>
      </c>
      <c r="G184" s="160" t="str">
        <f t="shared" si="106"/>
        <v/>
      </c>
      <c r="AA184" s="2" t="str">
        <f t="shared" si="88"/>
        <v/>
      </c>
      <c r="AC184" s="9" t="str">
        <f t="shared" si="96"/>
        <v/>
      </c>
      <c r="AD184" s="9" t="str">
        <f t="shared" si="86"/>
        <v/>
      </c>
      <c r="AF184" s="2" t="str">
        <f t="shared" si="107"/>
        <v/>
      </c>
      <c r="AG184" s="9" t="str">
        <f t="shared" si="90"/>
        <v/>
      </c>
      <c r="AH184" s="9" t="str">
        <f t="shared" si="91"/>
        <v/>
      </c>
      <c r="AL184" s="23" t="e">
        <f t="shared" si="81"/>
        <v>#VALUE!</v>
      </c>
      <c r="AM184" s="23" t="e">
        <f t="shared" si="92"/>
        <v>#VALUE!</v>
      </c>
      <c r="AN184" s="23" t="e">
        <f t="shared" si="99"/>
        <v>#VALUE!</v>
      </c>
      <c r="AO184" s="23">
        <v>0</v>
      </c>
      <c r="AP184" s="23">
        <v>0</v>
      </c>
      <c r="AQ184" s="23">
        <v>0</v>
      </c>
      <c r="AR184" s="23">
        <v>0</v>
      </c>
      <c r="AU184" s="23">
        <f t="shared" si="83"/>
        <v>13986.111111111111</v>
      </c>
      <c r="AV184" s="23">
        <f t="shared" si="82"/>
        <v>13986.111111111111</v>
      </c>
      <c r="AW184" s="23">
        <v>0</v>
      </c>
      <c r="AX184" s="23">
        <v>0</v>
      </c>
      <c r="AY184" s="23">
        <v>0</v>
      </c>
      <c r="AZ184" s="23">
        <v>0</v>
      </c>
      <c r="BB184" s="203" t="e">
        <f t="shared" si="84"/>
        <v>#VALUE!</v>
      </c>
    </row>
    <row r="185" spans="1:54" x14ac:dyDescent="0.25">
      <c r="A185" s="68" t="str">
        <f t="shared" si="100"/>
        <v/>
      </c>
      <c r="B185" s="68" t="str">
        <f t="shared" si="101"/>
        <v/>
      </c>
      <c r="C185" s="158" t="str">
        <f t="shared" si="102"/>
        <v/>
      </c>
      <c r="D185" s="158" t="str">
        <f t="shared" si="103"/>
        <v/>
      </c>
      <c r="E185" s="157" t="str">
        <f t="shared" si="104"/>
        <v/>
      </c>
      <c r="F185" s="158" t="str">
        <f t="shared" si="105"/>
        <v/>
      </c>
      <c r="G185" s="160" t="str">
        <f t="shared" si="106"/>
        <v/>
      </c>
      <c r="AA185" s="2" t="str">
        <f t="shared" si="88"/>
        <v/>
      </c>
      <c r="AC185" s="9" t="str">
        <f t="shared" si="96"/>
        <v/>
      </c>
      <c r="AD185" s="9" t="str">
        <f t="shared" si="86"/>
        <v/>
      </c>
      <c r="AF185" s="2" t="str">
        <f t="shared" si="107"/>
        <v/>
      </c>
      <c r="AG185" s="9" t="str">
        <f t="shared" si="90"/>
        <v/>
      </c>
      <c r="AH185" s="9" t="str">
        <f t="shared" si="91"/>
        <v/>
      </c>
      <c r="AL185" s="23" t="e">
        <f t="shared" si="81"/>
        <v>#VALUE!</v>
      </c>
      <c r="AM185" s="23" t="e">
        <f t="shared" si="92"/>
        <v>#VALUE!</v>
      </c>
      <c r="AN185" s="23" t="e">
        <f t="shared" si="99"/>
        <v>#VALUE!</v>
      </c>
      <c r="AO185" s="23" t="e">
        <f t="shared" si="108"/>
        <v>#VALUE!</v>
      </c>
      <c r="AP185" s="23" t="e">
        <f t="shared" si="97"/>
        <v>#VALUE!</v>
      </c>
      <c r="AQ185" s="23" t="e">
        <f t="shared" ref="AQ185" si="109">E179*((1+$C$23)^6-1)</f>
        <v>#VALUE!</v>
      </c>
      <c r="AR185" s="23">
        <v>0</v>
      </c>
      <c r="AU185" s="23">
        <f t="shared" si="83"/>
        <v>13986.111111111111</v>
      </c>
      <c r="AV185" s="23">
        <f t="shared" si="82"/>
        <v>13986.111111111111</v>
      </c>
      <c r="AW185" s="23">
        <f>$E$23/($B$17-$B$16)*2</f>
        <v>27972.222222222223</v>
      </c>
      <c r="AX185" s="23">
        <f>$E$23/($B$17-$B$16)*3</f>
        <v>41958.333333333336</v>
      </c>
      <c r="AY185" s="23">
        <f>$E$23/($B$17-$B$16)*6</f>
        <v>83916.666666666672</v>
      </c>
      <c r="AZ185" s="23">
        <v>0</v>
      </c>
      <c r="BB185" s="203" t="e">
        <f t="shared" si="84"/>
        <v>#VALUE!</v>
      </c>
    </row>
    <row r="186" spans="1:54" x14ac:dyDescent="0.25">
      <c r="A186" s="68" t="str">
        <f t="shared" si="100"/>
        <v/>
      </c>
      <c r="B186" s="68" t="str">
        <f t="shared" si="101"/>
        <v/>
      </c>
      <c r="C186" s="158" t="str">
        <f t="shared" si="102"/>
        <v/>
      </c>
      <c r="D186" s="158" t="str">
        <f t="shared" si="103"/>
        <v/>
      </c>
      <c r="E186" s="157" t="str">
        <f t="shared" si="104"/>
        <v/>
      </c>
      <c r="F186" s="158" t="str">
        <f t="shared" si="105"/>
        <v/>
      </c>
      <c r="G186" s="160" t="str">
        <f t="shared" si="106"/>
        <v/>
      </c>
      <c r="AA186" s="2" t="str">
        <f t="shared" si="88"/>
        <v/>
      </c>
      <c r="AC186" s="9" t="str">
        <f t="shared" si="96"/>
        <v/>
      </c>
      <c r="AD186" s="9" t="str">
        <f t="shared" si="86"/>
        <v/>
      </c>
      <c r="AF186" s="2" t="str">
        <f t="shared" si="107"/>
        <v/>
      </c>
      <c r="AG186" s="9" t="str">
        <f t="shared" si="90"/>
        <v/>
      </c>
      <c r="AH186" s="9" t="str">
        <f t="shared" si="91"/>
        <v/>
      </c>
      <c r="AL186" s="23" t="e">
        <f t="shared" si="81"/>
        <v>#VALUE!</v>
      </c>
      <c r="AM186" s="23" t="e">
        <f>IF($AN$17=1,AN186,IF($AN$17=2,AO186,IF($AN$17=3,AP186,IF($AN$17=4,AQ186,IF($AN$17=5,AR186)))))</f>
        <v>#VALUE!</v>
      </c>
      <c r="AN186" s="23" t="e">
        <f t="shared" si="99"/>
        <v>#VALUE!</v>
      </c>
      <c r="AO186" s="23">
        <v>0</v>
      </c>
      <c r="AP186" s="23">
        <v>0</v>
      </c>
      <c r="AQ186" s="23">
        <v>0</v>
      </c>
      <c r="AR186" s="23">
        <v>0</v>
      </c>
      <c r="AU186" s="23">
        <f t="shared" si="83"/>
        <v>13986.111111111111</v>
      </c>
      <c r="AV186" s="23">
        <f t="shared" si="82"/>
        <v>13986.111111111111</v>
      </c>
      <c r="AW186" s="23">
        <v>0</v>
      </c>
      <c r="AX186" s="23">
        <v>0</v>
      </c>
      <c r="AY186" s="23">
        <v>0</v>
      </c>
      <c r="AZ186" s="23">
        <v>0</v>
      </c>
      <c r="BB186" s="203" t="e">
        <f t="shared" si="84"/>
        <v>#VALUE!</v>
      </c>
    </row>
    <row r="187" spans="1:54" x14ac:dyDescent="0.25">
      <c r="A187" s="68" t="str">
        <f t="shared" si="100"/>
        <v/>
      </c>
      <c r="B187" s="68" t="str">
        <f t="shared" si="101"/>
        <v/>
      </c>
      <c r="C187" s="158" t="str">
        <f t="shared" si="102"/>
        <v/>
      </c>
      <c r="D187" s="158" t="str">
        <f t="shared" si="103"/>
        <v/>
      </c>
      <c r="E187" s="157" t="str">
        <f t="shared" si="104"/>
        <v/>
      </c>
      <c r="F187" s="158" t="str">
        <f t="shared" si="105"/>
        <v/>
      </c>
      <c r="G187" s="160" t="str">
        <f t="shared" si="106"/>
        <v/>
      </c>
      <c r="AA187" s="2" t="str">
        <f t="shared" si="88"/>
        <v/>
      </c>
      <c r="AC187" s="9" t="str">
        <f t="shared" si="96"/>
        <v/>
      </c>
      <c r="AD187" s="9" t="str">
        <f t="shared" si="86"/>
        <v/>
      </c>
      <c r="AF187" s="2" t="str">
        <f t="shared" si="107"/>
        <v/>
      </c>
      <c r="AG187" s="9" t="str">
        <f t="shared" si="90"/>
        <v/>
      </c>
      <c r="AH187" s="9" t="str">
        <f t="shared" si="91"/>
        <v/>
      </c>
      <c r="AL187" s="23" t="e">
        <f t="shared" si="81"/>
        <v>#VALUE!</v>
      </c>
      <c r="AM187" s="23" t="e">
        <f t="shared" ref="AM187:AM212" si="110">IF($AN$17=1,AN187,IF($AN$17=2,AO187,IF($AN$17=3,AP187,IF($AN$17=4,AQ187,IF($AN$17=5,AR187)))))</f>
        <v>#VALUE!</v>
      </c>
      <c r="AN187" s="23" t="e">
        <f t="shared" si="99"/>
        <v>#VALUE!</v>
      </c>
      <c r="AO187" s="23" t="e">
        <f t="shared" si="108"/>
        <v>#VALUE!</v>
      </c>
      <c r="AP187" s="23">
        <v>0</v>
      </c>
      <c r="AQ187" s="23">
        <v>0</v>
      </c>
      <c r="AR187" s="23">
        <v>0</v>
      </c>
      <c r="AU187" s="23">
        <f t="shared" si="83"/>
        <v>13986.111111111111</v>
      </c>
      <c r="AV187" s="23">
        <f t="shared" si="82"/>
        <v>13986.111111111111</v>
      </c>
      <c r="AW187" s="23">
        <f>$E$23/($B$17-$B$16)*2</f>
        <v>27972.222222222223</v>
      </c>
      <c r="AX187" s="23">
        <v>0</v>
      </c>
      <c r="AY187" s="23">
        <v>0</v>
      </c>
      <c r="AZ187" s="23">
        <v>0</v>
      </c>
      <c r="BB187" s="203" t="e">
        <f t="shared" si="84"/>
        <v>#VALUE!</v>
      </c>
    </row>
    <row r="188" spans="1:54" x14ac:dyDescent="0.25">
      <c r="A188" s="68" t="str">
        <f t="shared" si="100"/>
        <v/>
      </c>
      <c r="B188" s="68" t="str">
        <f t="shared" si="101"/>
        <v/>
      </c>
      <c r="C188" s="158" t="str">
        <f t="shared" si="102"/>
        <v/>
      </c>
      <c r="D188" s="158" t="str">
        <f t="shared" si="103"/>
        <v/>
      </c>
      <c r="E188" s="157" t="str">
        <f t="shared" si="104"/>
        <v/>
      </c>
      <c r="F188" s="158" t="str">
        <f t="shared" si="105"/>
        <v/>
      </c>
      <c r="G188" s="160" t="str">
        <f t="shared" si="106"/>
        <v/>
      </c>
      <c r="AA188" s="2" t="str">
        <f t="shared" si="88"/>
        <v/>
      </c>
      <c r="AC188" s="9" t="str">
        <f t="shared" si="96"/>
        <v/>
      </c>
      <c r="AD188" s="9" t="str">
        <f t="shared" si="86"/>
        <v/>
      </c>
      <c r="AF188" s="2" t="str">
        <f t="shared" si="107"/>
        <v/>
      </c>
      <c r="AG188" s="9" t="str">
        <f t="shared" si="90"/>
        <v/>
      </c>
      <c r="AH188" s="9" t="str">
        <f t="shared" si="91"/>
        <v/>
      </c>
      <c r="AL188" s="23" t="e">
        <f t="shared" si="81"/>
        <v>#VALUE!</v>
      </c>
      <c r="AM188" s="23" t="e">
        <f t="shared" si="110"/>
        <v>#VALUE!</v>
      </c>
      <c r="AN188" s="23" t="e">
        <f t="shared" si="99"/>
        <v>#VALUE!</v>
      </c>
      <c r="AO188" s="23">
        <v>0</v>
      </c>
      <c r="AP188" s="23" t="e">
        <f>E185*((1+$C$23)^3-1)</f>
        <v>#VALUE!</v>
      </c>
      <c r="AQ188" s="23">
        <v>0</v>
      </c>
      <c r="AR188" s="23">
        <v>0</v>
      </c>
      <c r="AU188" s="23">
        <f t="shared" si="83"/>
        <v>13986.111111111111</v>
      </c>
      <c r="AV188" s="23">
        <f t="shared" si="82"/>
        <v>13986.111111111111</v>
      </c>
      <c r="AW188" s="23">
        <v>0</v>
      </c>
      <c r="AX188" s="23">
        <f>$E$23/($B$17-$B$16)*3</f>
        <v>41958.333333333336</v>
      </c>
      <c r="AY188" s="23">
        <v>0</v>
      </c>
      <c r="AZ188" s="23">
        <v>0</v>
      </c>
      <c r="BB188" s="203" t="e">
        <f t="shared" si="84"/>
        <v>#VALUE!</v>
      </c>
    </row>
    <row r="189" spans="1:54" x14ac:dyDescent="0.25">
      <c r="A189" s="68" t="str">
        <f t="shared" si="100"/>
        <v/>
      </c>
      <c r="B189" s="68" t="str">
        <f t="shared" si="101"/>
        <v/>
      </c>
      <c r="C189" s="158" t="str">
        <f t="shared" si="102"/>
        <v/>
      </c>
      <c r="D189" s="158" t="str">
        <f t="shared" si="103"/>
        <v/>
      </c>
      <c r="E189" s="157" t="str">
        <f t="shared" si="104"/>
        <v/>
      </c>
      <c r="F189" s="158" t="str">
        <f t="shared" si="105"/>
        <v/>
      </c>
      <c r="G189" s="160" t="str">
        <f t="shared" si="106"/>
        <v/>
      </c>
      <c r="AA189" s="2" t="str">
        <f t="shared" si="88"/>
        <v/>
      </c>
      <c r="AC189" s="9" t="str">
        <f t="shared" si="96"/>
        <v/>
      </c>
      <c r="AD189" s="9" t="str">
        <f t="shared" si="86"/>
        <v/>
      </c>
      <c r="AF189" s="2" t="str">
        <f t="shared" si="107"/>
        <v/>
      </c>
      <c r="AG189" s="9" t="str">
        <f t="shared" si="90"/>
        <v/>
      </c>
      <c r="AH189" s="9" t="str">
        <f t="shared" si="91"/>
        <v/>
      </c>
      <c r="AL189" s="23" t="e">
        <f t="shared" si="81"/>
        <v>#VALUE!</v>
      </c>
      <c r="AM189" s="23" t="e">
        <f t="shared" si="110"/>
        <v>#VALUE!</v>
      </c>
      <c r="AN189" s="23" t="e">
        <f t="shared" si="99"/>
        <v>#VALUE!</v>
      </c>
      <c r="AO189" s="23" t="e">
        <f t="shared" si="108"/>
        <v>#VALUE!</v>
      </c>
      <c r="AP189" s="23">
        <v>0</v>
      </c>
      <c r="AQ189" s="23">
        <v>0</v>
      </c>
      <c r="AR189" s="23">
        <v>0</v>
      </c>
      <c r="AU189" s="23">
        <f t="shared" si="83"/>
        <v>13986.111111111111</v>
      </c>
      <c r="AV189" s="23">
        <f t="shared" si="82"/>
        <v>13986.111111111111</v>
      </c>
      <c r="AW189" s="23">
        <f>$E$23/($B$17-$B$16)*2</f>
        <v>27972.222222222223</v>
      </c>
      <c r="AX189" s="23">
        <v>0</v>
      </c>
      <c r="AY189" s="23">
        <v>0</v>
      </c>
      <c r="AZ189" s="23">
        <v>0</v>
      </c>
      <c r="BB189" s="203" t="e">
        <f t="shared" si="84"/>
        <v>#VALUE!</v>
      </c>
    </row>
    <row r="190" spans="1:54" x14ac:dyDescent="0.25">
      <c r="A190" s="68" t="str">
        <f t="shared" si="100"/>
        <v/>
      </c>
      <c r="B190" s="68" t="str">
        <f t="shared" si="101"/>
        <v/>
      </c>
      <c r="C190" s="158" t="str">
        <f t="shared" si="102"/>
        <v/>
      </c>
      <c r="D190" s="158" t="str">
        <f t="shared" si="103"/>
        <v/>
      </c>
      <c r="E190" s="157" t="str">
        <f t="shared" si="104"/>
        <v/>
      </c>
      <c r="F190" s="158" t="str">
        <f t="shared" si="105"/>
        <v/>
      </c>
      <c r="G190" s="160" t="str">
        <f t="shared" si="106"/>
        <v/>
      </c>
      <c r="AA190" s="2" t="str">
        <f t="shared" si="88"/>
        <v/>
      </c>
      <c r="AC190" s="9" t="str">
        <f t="shared" si="96"/>
        <v/>
      </c>
      <c r="AD190" s="9" t="str">
        <f t="shared" si="86"/>
        <v/>
      </c>
      <c r="AF190" s="2" t="str">
        <f t="shared" si="107"/>
        <v/>
      </c>
      <c r="AG190" s="9" t="str">
        <f t="shared" si="90"/>
        <v/>
      </c>
      <c r="AH190" s="9" t="str">
        <f t="shared" si="91"/>
        <v/>
      </c>
      <c r="AL190" s="23" t="e">
        <f t="shared" si="81"/>
        <v>#VALUE!</v>
      </c>
      <c r="AM190" s="23" t="e">
        <f t="shared" si="110"/>
        <v>#VALUE!</v>
      </c>
      <c r="AN190" s="23" t="e">
        <f t="shared" si="99"/>
        <v>#VALUE!</v>
      </c>
      <c r="AO190" s="23">
        <v>0</v>
      </c>
      <c r="AP190" s="23">
        <v>0</v>
      </c>
      <c r="AQ190" s="23">
        <v>0</v>
      </c>
      <c r="AR190" s="23">
        <v>0</v>
      </c>
      <c r="AU190" s="23">
        <f t="shared" si="83"/>
        <v>13986.111111111111</v>
      </c>
      <c r="AV190" s="23">
        <f t="shared" si="82"/>
        <v>13986.111111111111</v>
      </c>
      <c r="AW190" s="23">
        <v>0</v>
      </c>
      <c r="AX190" s="23">
        <v>0</v>
      </c>
      <c r="AY190" s="23">
        <v>0</v>
      </c>
      <c r="AZ190" s="23">
        <v>0</v>
      </c>
      <c r="BB190" s="203" t="e">
        <f t="shared" si="84"/>
        <v>#VALUE!</v>
      </c>
    </row>
    <row r="191" spans="1:54" x14ac:dyDescent="0.25">
      <c r="A191" s="68" t="str">
        <f t="shared" si="100"/>
        <v/>
      </c>
      <c r="B191" s="68" t="str">
        <f t="shared" si="101"/>
        <v/>
      </c>
      <c r="C191" s="158" t="str">
        <f t="shared" si="102"/>
        <v/>
      </c>
      <c r="D191" s="158" t="str">
        <f t="shared" si="103"/>
        <v/>
      </c>
      <c r="E191" s="157" t="str">
        <f t="shared" si="104"/>
        <v/>
      </c>
      <c r="F191" s="158" t="str">
        <f t="shared" si="105"/>
        <v/>
      </c>
      <c r="G191" s="160" t="str">
        <f t="shared" si="106"/>
        <v/>
      </c>
      <c r="AA191" s="2" t="str">
        <f t="shared" si="88"/>
        <v/>
      </c>
      <c r="AC191" s="9" t="str">
        <f t="shared" si="96"/>
        <v/>
      </c>
      <c r="AD191" s="9" t="str">
        <f t="shared" si="86"/>
        <v/>
      </c>
      <c r="AF191" s="2" t="str">
        <f t="shared" si="107"/>
        <v/>
      </c>
      <c r="AG191" s="9" t="str">
        <f t="shared" si="90"/>
        <v/>
      </c>
      <c r="AH191" s="9" t="str">
        <f t="shared" si="91"/>
        <v/>
      </c>
      <c r="AL191" s="23" t="e">
        <f t="shared" si="81"/>
        <v>#VALUE!</v>
      </c>
      <c r="AM191" s="23" t="e">
        <f t="shared" si="110"/>
        <v>#VALUE!</v>
      </c>
      <c r="AN191" s="23" t="e">
        <f t="shared" si="99"/>
        <v>#VALUE!</v>
      </c>
      <c r="AO191" s="23" t="e">
        <f t="shared" si="108"/>
        <v>#VALUE!</v>
      </c>
      <c r="AP191" s="23" t="e">
        <f t="shared" ref="AP191:AP197" si="111">E188*((1+$C$23)^3-1)</f>
        <v>#VALUE!</v>
      </c>
      <c r="AQ191" s="23" t="e">
        <f t="shared" ref="AQ191" si="112">E185*((1+$C$23)^6-1)</f>
        <v>#VALUE!</v>
      </c>
      <c r="AR191" s="23" t="e">
        <f>E179*((1+$C$23)^12-1)</f>
        <v>#VALUE!</v>
      </c>
      <c r="AU191" s="23">
        <f t="shared" si="83"/>
        <v>13986.111111111111</v>
      </c>
      <c r="AV191" s="23">
        <f t="shared" si="82"/>
        <v>13986.111111111111</v>
      </c>
      <c r="AW191" s="23">
        <f>$E$23/($B$17-$B$16)*2</f>
        <v>27972.222222222223</v>
      </c>
      <c r="AX191" s="23">
        <f>$E$23/($B$17-$B$16)*3</f>
        <v>41958.333333333336</v>
      </c>
      <c r="AY191" s="23">
        <f>$E$23/($B$17-$B$16)*6</f>
        <v>83916.666666666672</v>
      </c>
      <c r="AZ191" s="23">
        <f>$E$23/($B$17-$B$16)*12</f>
        <v>167833.33333333334</v>
      </c>
      <c r="BB191" s="203" t="e">
        <f t="shared" si="84"/>
        <v>#VALUE!</v>
      </c>
    </row>
    <row r="192" spans="1:54" x14ac:dyDescent="0.25">
      <c r="A192" s="68" t="str">
        <f t="shared" si="100"/>
        <v/>
      </c>
      <c r="B192" s="68" t="str">
        <f t="shared" si="101"/>
        <v/>
      </c>
      <c r="C192" s="158" t="str">
        <f t="shared" si="102"/>
        <v/>
      </c>
      <c r="D192" s="158" t="str">
        <f t="shared" si="103"/>
        <v/>
      </c>
      <c r="E192" s="157" t="str">
        <f t="shared" si="104"/>
        <v/>
      </c>
      <c r="F192" s="158" t="str">
        <f t="shared" si="105"/>
        <v/>
      </c>
      <c r="G192" s="160" t="str">
        <f t="shared" si="106"/>
        <v/>
      </c>
      <c r="AA192" s="2" t="str">
        <f t="shared" si="88"/>
        <v/>
      </c>
      <c r="AC192" s="9" t="str">
        <f t="shared" si="96"/>
        <v/>
      </c>
      <c r="AD192" s="9" t="str">
        <f t="shared" si="86"/>
        <v/>
      </c>
      <c r="AF192" s="2" t="str">
        <f t="shared" si="107"/>
        <v/>
      </c>
      <c r="AG192" s="9" t="str">
        <f t="shared" si="90"/>
        <v/>
      </c>
      <c r="AH192" s="9" t="str">
        <f t="shared" si="91"/>
        <v/>
      </c>
      <c r="AL192" s="23" t="e">
        <f t="shared" si="81"/>
        <v>#VALUE!</v>
      </c>
      <c r="AM192" s="23" t="e">
        <f t="shared" si="110"/>
        <v>#VALUE!</v>
      </c>
      <c r="AN192" s="23" t="e">
        <f t="shared" si="99"/>
        <v>#VALUE!</v>
      </c>
      <c r="AO192" s="23">
        <v>0</v>
      </c>
      <c r="AP192" s="23">
        <v>0</v>
      </c>
      <c r="AQ192" s="23">
        <v>0</v>
      </c>
      <c r="AR192" s="23">
        <v>0</v>
      </c>
      <c r="AU192" s="23">
        <f t="shared" si="83"/>
        <v>13986.111111111111</v>
      </c>
      <c r="AV192" s="23">
        <f t="shared" si="82"/>
        <v>13986.111111111111</v>
      </c>
      <c r="AW192" s="23">
        <v>0</v>
      </c>
      <c r="AX192" s="23">
        <v>0</v>
      </c>
      <c r="AY192" s="23">
        <v>0</v>
      </c>
      <c r="AZ192" s="23">
        <v>0</v>
      </c>
      <c r="BB192" s="203" t="e">
        <f t="shared" si="84"/>
        <v>#VALUE!</v>
      </c>
    </row>
    <row r="193" spans="1:54" x14ac:dyDescent="0.25">
      <c r="A193" s="68" t="str">
        <f t="shared" si="100"/>
        <v/>
      </c>
      <c r="B193" s="68" t="str">
        <f t="shared" si="101"/>
        <v/>
      </c>
      <c r="C193" s="158" t="str">
        <f t="shared" si="102"/>
        <v/>
      </c>
      <c r="D193" s="158" t="str">
        <f t="shared" si="103"/>
        <v/>
      </c>
      <c r="E193" s="157" t="str">
        <f t="shared" si="104"/>
        <v/>
      </c>
      <c r="F193" s="158" t="str">
        <f t="shared" si="105"/>
        <v/>
      </c>
      <c r="G193" s="160" t="str">
        <f t="shared" si="106"/>
        <v/>
      </c>
      <c r="AA193" s="2" t="str">
        <f t="shared" si="88"/>
        <v/>
      </c>
      <c r="AC193" s="9" t="str">
        <f t="shared" si="96"/>
        <v/>
      </c>
      <c r="AD193" s="9" t="str">
        <f t="shared" si="86"/>
        <v/>
      </c>
      <c r="AF193" s="2" t="str">
        <f t="shared" si="107"/>
        <v/>
      </c>
      <c r="AG193" s="9" t="str">
        <f t="shared" si="90"/>
        <v/>
      </c>
      <c r="AH193" s="9" t="str">
        <f t="shared" si="91"/>
        <v/>
      </c>
      <c r="AL193" s="23" t="e">
        <f t="shared" si="81"/>
        <v>#VALUE!</v>
      </c>
      <c r="AM193" s="23" t="e">
        <f t="shared" si="110"/>
        <v>#VALUE!</v>
      </c>
      <c r="AN193" s="23" t="e">
        <f t="shared" si="99"/>
        <v>#VALUE!</v>
      </c>
      <c r="AO193" s="23" t="e">
        <f t="shared" ref="AO193:AO205" si="113">E191*((1+$C$23)^2-1)</f>
        <v>#VALUE!</v>
      </c>
      <c r="AP193" s="23">
        <v>0</v>
      </c>
      <c r="AQ193" s="23">
        <v>0</v>
      </c>
      <c r="AR193" s="23">
        <v>0</v>
      </c>
      <c r="AU193" s="23">
        <f t="shared" si="83"/>
        <v>13986.111111111111</v>
      </c>
      <c r="AV193" s="23">
        <f t="shared" si="82"/>
        <v>13986.111111111111</v>
      </c>
      <c r="AW193" s="23">
        <f>$E$23/($B$17-$B$16)*2</f>
        <v>27972.222222222223</v>
      </c>
      <c r="AX193" s="23">
        <v>0</v>
      </c>
      <c r="AY193" s="23">
        <v>0</v>
      </c>
      <c r="AZ193" s="23">
        <v>0</v>
      </c>
      <c r="BB193" s="203" t="e">
        <f t="shared" si="84"/>
        <v>#VALUE!</v>
      </c>
    </row>
    <row r="194" spans="1:54" x14ac:dyDescent="0.25">
      <c r="A194" s="68" t="str">
        <f t="shared" si="100"/>
        <v/>
      </c>
      <c r="B194" s="68" t="str">
        <f t="shared" si="101"/>
        <v/>
      </c>
      <c r="C194" s="158" t="str">
        <f t="shared" si="102"/>
        <v/>
      </c>
      <c r="D194" s="158" t="str">
        <f t="shared" si="103"/>
        <v/>
      </c>
      <c r="E194" s="157" t="str">
        <f t="shared" si="104"/>
        <v/>
      </c>
      <c r="F194" s="158" t="str">
        <f t="shared" si="105"/>
        <v/>
      </c>
      <c r="G194" s="160" t="str">
        <f t="shared" si="106"/>
        <v/>
      </c>
      <c r="AA194" s="2" t="str">
        <f t="shared" si="88"/>
        <v/>
      </c>
      <c r="AC194" s="9" t="str">
        <f t="shared" si="96"/>
        <v/>
      </c>
      <c r="AD194" s="9" t="str">
        <f t="shared" si="86"/>
        <v/>
      </c>
      <c r="AF194" s="2" t="str">
        <f t="shared" si="107"/>
        <v/>
      </c>
      <c r="AG194" s="9" t="str">
        <f t="shared" si="90"/>
        <v/>
      </c>
      <c r="AH194" s="9" t="str">
        <f t="shared" si="91"/>
        <v/>
      </c>
      <c r="AL194" s="23" t="e">
        <f t="shared" si="81"/>
        <v>#VALUE!</v>
      </c>
      <c r="AM194" s="23" t="e">
        <f t="shared" si="110"/>
        <v>#VALUE!</v>
      </c>
      <c r="AN194" s="23" t="e">
        <f t="shared" si="99"/>
        <v>#VALUE!</v>
      </c>
      <c r="AO194" s="23">
        <v>0</v>
      </c>
      <c r="AP194" s="23" t="e">
        <f t="shared" si="111"/>
        <v>#VALUE!</v>
      </c>
      <c r="AQ194" s="23">
        <v>0</v>
      </c>
      <c r="AR194" s="23">
        <v>0</v>
      </c>
      <c r="AU194" s="23">
        <f t="shared" si="83"/>
        <v>13986.111111111111</v>
      </c>
      <c r="AV194" s="23">
        <f t="shared" si="82"/>
        <v>13986.111111111111</v>
      </c>
      <c r="AW194" s="23">
        <v>0</v>
      </c>
      <c r="AX194" s="23">
        <f>$E$23/($B$17-$B$16)*3</f>
        <v>41958.333333333336</v>
      </c>
      <c r="AY194" s="23">
        <v>0</v>
      </c>
      <c r="AZ194" s="23">
        <v>0</v>
      </c>
      <c r="BB194" s="203" t="e">
        <f t="shared" si="84"/>
        <v>#VALUE!</v>
      </c>
    </row>
    <row r="195" spans="1:54" x14ac:dyDescent="0.25">
      <c r="A195" s="68" t="str">
        <f t="shared" si="100"/>
        <v/>
      </c>
      <c r="B195" s="68" t="str">
        <f t="shared" si="101"/>
        <v/>
      </c>
      <c r="C195" s="158" t="str">
        <f t="shared" si="102"/>
        <v/>
      </c>
      <c r="D195" s="158" t="str">
        <f t="shared" si="103"/>
        <v/>
      </c>
      <c r="E195" s="157" t="str">
        <f t="shared" si="104"/>
        <v/>
      </c>
      <c r="F195" s="158" t="str">
        <f t="shared" si="105"/>
        <v/>
      </c>
      <c r="G195" s="160" t="str">
        <f t="shared" si="106"/>
        <v/>
      </c>
      <c r="AA195" s="2" t="str">
        <f t="shared" si="88"/>
        <v/>
      </c>
      <c r="AC195" s="9" t="str">
        <f t="shared" si="96"/>
        <v/>
      </c>
      <c r="AD195" s="9" t="str">
        <f t="shared" si="86"/>
        <v/>
      </c>
      <c r="AF195" s="2" t="str">
        <f t="shared" si="107"/>
        <v/>
      </c>
      <c r="AG195" s="9" t="str">
        <f t="shared" si="90"/>
        <v/>
      </c>
      <c r="AH195" s="9" t="str">
        <f t="shared" si="91"/>
        <v/>
      </c>
      <c r="AL195" s="23" t="e">
        <f t="shared" si="81"/>
        <v>#VALUE!</v>
      </c>
      <c r="AM195" s="23" t="e">
        <f t="shared" si="110"/>
        <v>#VALUE!</v>
      </c>
      <c r="AN195" s="23" t="e">
        <f t="shared" si="99"/>
        <v>#VALUE!</v>
      </c>
      <c r="AO195" s="23" t="e">
        <f t="shared" si="113"/>
        <v>#VALUE!</v>
      </c>
      <c r="AP195" s="23">
        <v>0</v>
      </c>
      <c r="AQ195" s="23">
        <v>0</v>
      </c>
      <c r="AR195" s="23">
        <v>0</v>
      </c>
      <c r="AU195" s="23">
        <f t="shared" si="83"/>
        <v>13986.111111111111</v>
      </c>
      <c r="AV195" s="23">
        <f t="shared" si="82"/>
        <v>13986.111111111111</v>
      </c>
      <c r="AW195" s="23">
        <f>$E$23/($B$17-$B$16)*2</f>
        <v>27972.222222222223</v>
      </c>
      <c r="AX195" s="23">
        <v>0</v>
      </c>
      <c r="AY195" s="23">
        <v>0</v>
      </c>
      <c r="AZ195" s="23">
        <v>0</v>
      </c>
      <c r="BB195" s="203" t="e">
        <f t="shared" si="84"/>
        <v>#VALUE!</v>
      </c>
    </row>
    <row r="196" spans="1:54" x14ac:dyDescent="0.25">
      <c r="A196" s="68" t="str">
        <f t="shared" si="100"/>
        <v/>
      </c>
      <c r="B196" s="68" t="str">
        <f t="shared" si="101"/>
        <v/>
      </c>
      <c r="C196" s="158" t="str">
        <f t="shared" si="102"/>
        <v/>
      </c>
      <c r="D196" s="158" t="str">
        <f t="shared" si="103"/>
        <v/>
      </c>
      <c r="E196" s="157" t="str">
        <f t="shared" si="104"/>
        <v/>
      </c>
      <c r="F196" s="158" t="str">
        <f t="shared" si="105"/>
        <v/>
      </c>
      <c r="G196" s="160" t="str">
        <f t="shared" si="106"/>
        <v/>
      </c>
      <c r="AA196" s="2" t="str">
        <f t="shared" si="88"/>
        <v/>
      </c>
      <c r="AC196" s="9" t="str">
        <f t="shared" si="96"/>
        <v/>
      </c>
      <c r="AD196" s="9" t="str">
        <f t="shared" si="86"/>
        <v/>
      </c>
      <c r="AF196" s="2" t="str">
        <f t="shared" si="107"/>
        <v/>
      </c>
      <c r="AG196" s="9" t="str">
        <f t="shared" si="90"/>
        <v/>
      </c>
      <c r="AH196" s="9" t="str">
        <f t="shared" si="91"/>
        <v/>
      </c>
      <c r="AL196" s="23" t="e">
        <f t="shared" si="81"/>
        <v>#VALUE!</v>
      </c>
      <c r="AM196" s="23" t="e">
        <f t="shared" si="110"/>
        <v>#VALUE!</v>
      </c>
      <c r="AN196" s="23" t="e">
        <f t="shared" si="99"/>
        <v>#VALUE!</v>
      </c>
      <c r="AO196" s="23">
        <v>0</v>
      </c>
      <c r="AP196" s="23">
        <v>0</v>
      </c>
      <c r="AQ196" s="23">
        <v>0</v>
      </c>
      <c r="AR196" s="23">
        <v>0</v>
      </c>
      <c r="AU196" s="23">
        <f t="shared" si="83"/>
        <v>13986.111111111111</v>
      </c>
      <c r="AV196" s="23">
        <f t="shared" si="82"/>
        <v>13986.111111111111</v>
      </c>
      <c r="AW196" s="23">
        <v>0</v>
      </c>
      <c r="AX196" s="23">
        <v>0</v>
      </c>
      <c r="AY196" s="23">
        <v>0</v>
      </c>
      <c r="AZ196" s="23">
        <v>0</v>
      </c>
      <c r="BB196" s="203" t="e">
        <f t="shared" si="84"/>
        <v>#VALUE!</v>
      </c>
    </row>
    <row r="197" spans="1:54" x14ac:dyDescent="0.25">
      <c r="A197" s="68" t="str">
        <f t="shared" si="100"/>
        <v/>
      </c>
      <c r="B197" s="68" t="str">
        <f t="shared" si="101"/>
        <v/>
      </c>
      <c r="C197" s="158" t="str">
        <f t="shared" si="102"/>
        <v/>
      </c>
      <c r="D197" s="158" t="str">
        <f t="shared" si="103"/>
        <v/>
      </c>
      <c r="E197" s="157" t="str">
        <f t="shared" si="104"/>
        <v/>
      </c>
      <c r="F197" s="158" t="str">
        <f t="shared" si="105"/>
        <v/>
      </c>
      <c r="G197" s="160" t="str">
        <f t="shared" si="106"/>
        <v/>
      </c>
      <c r="AA197" s="2" t="str">
        <f t="shared" si="88"/>
        <v/>
      </c>
      <c r="AC197" s="9" t="str">
        <f t="shared" si="96"/>
        <v/>
      </c>
      <c r="AD197" s="9" t="str">
        <f t="shared" si="86"/>
        <v/>
      </c>
      <c r="AF197" s="2" t="str">
        <f t="shared" si="107"/>
        <v/>
      </c>
      <c r="AG197" s="9" t="str">
        <f t="shared" si="90"/>
        <v/>
      </c>
      <c r="AH197" s="9" t="str">
        <f t="shared" si="91"/>
        <v/>
      </c>
      <c r="AL197" s="23" t="e">
        <f t="shared" si="81"/>
        <v>#VALUE!</v>
      </c>
      <c r="AM197" s="23" t="e">
        <f t="shared" si="110"/>
        <v>#VALUE!</v>
      </c>
      <c r="AN197" s="23" t="e">
        <f t="shared" si="99"/>
        <v>#VALUE!</v>
      </c>
      <c r="AO197" s="23" t="e">
        <f t="shared" si="113"/>
        <v>#VALUE!</v>
      </c>
      <c r="AP197" s="23" t="e">
        <f t="shared" si="111"/>
        <v>#VALUE!</v>
      </c>
      <c r="AQ197" s="23" t="e">
        <f>E191*((1+$C$23)^6-1)</f>
        <v>#VALUE!</v>
      </c>
      <c r="AR197" s="23">
        <v>0</v>
      </c>
      <c r="AU197" s="23">
        <f t="shared" si="83"/>
        <v>13986.111111111111</v>
      </c>
      <c r="AV197" s="23">
        <f t="shared" si="82"/>
        <v>13986.111111111111</v>
      </c>
      <c r="AW197" s="23">
        <f>$E$23/($B$17-$B$16)*2</f>
        <v>27972.222222222223</v>
      </c>
      <c r="AX197" s="23">
        <f>$E$23/($B$17-$B$16)*3</f>
        <v>41958.333333333336</v>
      </c>
      <c r="AY197" s="23">
        <f>$E$23/($B$17-$B$16)*6</f>
        <v>83916.666666666672</v>
      </c>
      <c r="AZ197" s="23">
        <v>0</v>
      </c>
      <c r="BB197" s="203" t="e">
        <f t="shared" si="84"/>
        <v>#VALUE!</v>
      </c>
    </row>
    <row r="198" spans="1:54" x14ac:dyDescent="0.25">
      <c r="A198" s="68" t="str">
        <f t="shared" si="100"/>
        <v/>
      </c>
      <c r="B198" s="68" t="str">
        <f t="shared" si="101"/>
        <v/>
      </c>
      <c r="C198" s="158" t="str">
        <f t="shared" si="102"/>
        <v/>
      </c>
      <c r="D198" s="158" t="str">
        <f t="shared" si="103"/>
        <v/>
      </c>
      <c r="E198" s="157" t="str">
        <f t="shared" si="104"/>
        <v/>
      </c>
      <c r="F198" s="158" t="str">
        <f t="shared" si="105"/>
        <v/>
      </c>
      <c r="G198" s="160" t="str">
        <f t="shared" si="106"/>
        <v/>
      </c>
      <c r="AA198" s="2" t="str">
        <f t="shared" si="88"/>
        <v/>
      </c>
      <c r="AC198" s="9" t="str">
        <f t="shared" si="96"/>
        <v/>
      </c>
      <c r="AD198" s="9" t="str">
        <f t="shared" si="86"/>
        <v/>
      </c>
      <c r="AF198" s="2" t="str">
        <f t="shared" si="107"/>
        <v/>
      </c>
      <c r="AG198" s="9" t="str">
        <f t="shared" si="90"/>
        <v/>
      </c>
      <c r="AH198" s="9" t="str">
        <f t="shared" si="91"/>
        <v/>
      </c>
      <c r="AL198" s="23" t="e">
        <f t="shared" si="81"/>
        <v>#VALUE!</v>
      </c>
      <c r="AM198" s="23" t="e">
        <f t="shared" si="110"/>
        <v>#VALUE!</v>
      </c>
      <c r="AN198" s="23" t="e">
        <f t="shared" si="99"/>
        <v>#VALUE!</v>
      </c>
      <c r="AO198" s="23">
        <v>0</v>
      </c>
      <c r="AP198" s="23">
        <v>0</v>
      </c>
      <c r="AQ198" s="23">
        <v>0</v>
      </c>
      <c r="AR198" s="23">
        <v>0</v>
      </c>
      <c r="AU198" s="23">
        <f t="shared" si="83"/>
        <v>13986.111111111111</v>
      </c>
      <c r="AV198" s="23">
        <f t="shared" si="82"/>
        <v>13986.111111111111</v>
      </c>
      <c r="AW198" s="23">
        <v>0</v>
      </c>
      <c r="AX198" s="23">
        <v>0</v>
      </c>
      <c r="AY198" s="23">
        <v>0</v>
      </c>
      <c r="AZ198" s="23">
        <v>0</v>
      </c>
      <c r="BB198" s="203" t="e">
        <f t="shared" si="84"/>
        <v>#VALUE!</v>
      </c>
    </row>
    <row r="199" spans="1:54" x14ac:dyDescent="0.25">
      <c r="A199" s="68" t="str">
        <f t="shared" si="100"/>
        <v/>
      </c>
      <c r="B199" s="68" t="str">
        <f t="shared" si="101"/>
        <v/>
      </c>
      <c r="C199" s="158" t="str">
        <f t="shared" si="102"/>
        <v/>
      </c>
      <c r="D199" s="158" t="str">
        <f t="shared" si="103"/>
        <v/>
      </c>
      <c r="E199" s="157" t="str">
        <f t="shared" si="104"/>
        <v/>
      </c>
      <c r="F199" s="158" t="str">
        <f t="shared" si="105"/>
        <v/>
      </c>
      <c r="G199" s="160" t="str">
        <f t="shared" si="106"/>
        <v/>
      </c>
      <c r="AA199" s="2" t="str">
        <f t="shared" si="88"/>
        <v/>
      </c>
      <c r="AC199" s="9" t="str">
        <f t="shared" si="96"/>
        <v/>
      </c>
      <c r="AD199" s="9" t="str">
        <f t="shared" si="86"/>
        <v/>
      </c>
      <c r="AF199" s="2" t="str">
        <f t="shared" si="107"/>
        <v/>
      </c>
      <c r="AG199" s="9" t="str">
        <f t="shared" si="90"/>
        <v/>
      </c>
      <c r="AH199" s="9" t="str">
        <f t="shared" si="91"/>
        <v/>
      </c>
      <c r="AL199" s="23" t="e">
        <f t="shared" si="81"/>
        <v>#VALUE!</v>
      </c>
      <c r="AM199" s="23" t="e">
        <f t="shared" si="110"/>
        <v>#VALUE!</v>
      </c>
      <c r="AN199" s="23" t="e">
        <f>E198*$C$23</f>
        <v>#VALUE!</v>
      </c>
      <c r="AO199" s="23" t="e">
        <f t="shared" si="113"/>
        <v>#VALUE!</v>
      </c>
      <c r="AP199" s="23">
        <v>0</v>
      </c>
      <c r="AQ199" s="23">
        <v>0</v>
      </c>
      <c r="AR199" s="23">
        <v>0</v>
      </c>
      <c r="AU199" s="23">
        <f t="shared" si="83"/>
        <v>13986.111111111111</v>
      </c>
      <c r="AV199" s="23">
        <f t="shared" si="82"/>
        <v>13986.111111111111</v>
      </c>
      <c r="AW199" s="23">
        <f>$E$23/($B$17-$B$16)*2</f>
        <v>27972.222222222223</v>
      </c>
      <c r="AX199" s="23">
        <v>0</v>
      </c>
      <c r="AY199" s="23">
        <v>0</v>
      </c>
      <c r="AZ199" s="23">
        <v>0</v>
      </c>
      <c r="BB199" s="203" t="e">
        <f t="shared" si="84"/>
        <v>#VALUE!</v>
      </c>
    </row>
    <row r="200" spans="1:54" x14ac:dyDescent="0.25">
      <c r="A200" s="68" t="str">
        <f t="shared" si="100"/>
        <v/>
      </c>
      <c r="B200" s="68" t="str">
        <f t="shared" si="101"/>
        <v/>
      </c>
      <c r="C200" s="158" t="str">
        <f t="shared" si="102"/>
        <v/>
      </c>
      <c r="D200" s="158" t="str">
        <f t="shared" si="103"/>
        <v/>
      </c>
      <c r="E200" s="157" t="str">
        <f t="shared" si="104"/>
        <v/>
      </c>
      <c r="F200" s="158" t="str">
        <f t="shared" si="105"/>
        <v/>
      </c>
      <c r="G200" s="160" t="str">
        <f t="shared" si="106"/>
        <v/>
      </c>
      <c r="AA200" s="2" t="str">
        <f t="shared" si="88"/>
        <v/>
      </c>
      <c r="AC200" s="9" t="str">
        <f t="shared" si="96"/>
        <v/>
      </c>
      <c r="AD200" s="9" t="str">
        <f t="shared" si="86"/>
        <v/>
      </c>
      <c r="AF200" s="2" t="str">
        <f t="shared" si="107"/>
        <v/>
      </c>
      <c r="AG200" s="9" t="str">
        <f t="shared" si="90"/>
        <v/>
      </c>
      <c r="AH200" s="9" t="str">
        <f t="shared" si="91"/>
        <v/>
      </c>
      <c r="AL200" s="23" t="e">
        <f t="shared" si="81"/>
        <v>#VALUE!</v>
      </c>
      <c r="AM200" s="23" t="e">
        <f t="shared" si="110"/>
        <v>#VALUE!</v>
      </c>
      <c r="AN200" s="23" t="e">
        <f t="shared" ref="AN200:AN223" si="114">E199*$C$23</f>
        <v>#VALUE!</v>
      </c>
      <c r="AO200" s="23">
        <v>0</v>
      </c>
      <c r="AP200" s="23" t="e">
        <f t="shared" ref="AP200:AP212" si="115">E197*((1+$C$23)^3-1)</f>
        <v>#VALUE!</v>
      </c>
      <c r="AQ200" s="23">
        <v>0</v>
      </c>
      <c r="AR200" s="23">
        <v>0</v>
      </c>
      <c r="AU200" s="23">
        <f t="shared" si="83"/>
        <v>13986.111111111111</v>
      </c>
      <c r="AV200" s="23">
        <f t="shared" si="82"/>
        <v>13986.111111111111</v>
      </c>
      <c r="AW200" s="23">
        <v>0</v>
      </c>
      <c r="AX200" s="23">
        <f>$E$23/($B$17-$B$16)*3</f>
        <v>41958.333333333336</v>
      </c>
      <c r="AY200" s="23">
        <v>0</v>
      </c>
      <c r="AZ200" s="23">
        <v>0</v>
      </c>
      <c r="BB200" s="203" t="e">
        <f t="shared" si="84"/>
        <v>#VALUE!</v>
      </c>
    </row>
    <row r="201" spans="1:54" x14ac:dyDescent="0.25">
      <c r="A201" s="68" t="str">
        <f t="shared" ref="A201:A208" si="116">IF(A200&lt;B$17,A200+1,"")</f>
        <v/>
      </c>
      <c r="B201" s="68" t="str">
        <f t="shared" ref="B201:B208" si="117">IF(A201="","",IF(A201&lt;=B$16,"carência","amortização"))</f>
        <v/>
      </c>
      <c r="C201" s="158" t="str">
        <f t="shared" ref="C201:C208" si="118">IF(B201="","",IF($AN$18=TRUE,AL201,AM201))</f>
        <v/>
      </c>
      <c r="D201" s="158" t="str">
        <f t="shared" ref="D201:D208" si="119">IF(C201="","",IF(A201&lt;=B$16,0,E$23/(B$17-B$16)))</f>
        <v/>
      </c>
      <c r="E201" s="157" t="str">
        <f t="shared" ref="E201:E208" si="120">IF(F201="","",E200-D201)</f>
        <v/>
      </c>
      <c r="F201" s="158" t="str">
        <f t="shared" ref="F201:F208" si="121">IF(D201="","",D201+C201)</f>
        <v/>
      </c>
      <c r="G201" s="160" t="str">
        <f t="shared" ref="G201:G208" si="122">IF(E201="","",D201+C201)</f>
        <v/>
      </c>
      <c r="AA201" s="2" t="str">
        <f t="shared" si="88"/>
        <v/>
      </c>
      <c r="AC201" s="9" t="str">
        <f t="shared" si="96"/>
        <v/>
      </c>
      <c r="AD201" s="9" t="str">
        <f t="shared" si="86"/>
        <v/>
      </c>
      <c r="AF201" s="2" t="str">
        <f t="shared" si="107"/>
        <v/>
      </c>
      <c r="AG201" s="9" t="str">
        <f t="shared" si="90"/>
        <v/>
      </c>
      <c r="AH201" s="9" t="str">
        <f t="shared" si="91"/>
        <v/>
      </c>
      <c r="AL201" s="23" t="e">
        <f t="shared" si="81"/>
        <v>#VALUE!</v>
      </c>
      <c r="AM201" s="23" t="e">
        <f t="shared" si="110"/>
        <v>#VALUE!</v>
      </c>
      <c r="AN201" s="23" t="e">
        <f t="shared" si="114"/>
        <v>#VALUE!</v>
      </c>
      <c r="AO201" s="23" t="e">
        <f t="shared" si="113"/>
        <v>#VALUE!</v>
      </c>
      <c r="AP201" s="23">
        <v>0</v>
      </c>
      <c r="AQ201" s="23">
        <v>0</v>
      </c>
      <c r="AR201" s="23">
        <v>0</v>
      </c>
      <c r="AU201" s="23">
        <f t="shared" si="83"/>
        <v>13986.111111111111</v>
      </c>
      <c r="AV201" s="23">
        <f t="shared" si="82"/>
        <v>13986.111111111111</v>
      </c>
      <c r="AW201" s="23">
        <f>$E$23/($B$17-$B$16)*2</f>
        <v>27972.222222222223</v>
      </c>
      <c r="AX201" s="23">
        <v>0</v>
      </c>
      <c r="AY201" s="23">
        <v>0</v>
      </c>
      <c r="AZ201" s="23">
        <v>0</v>
      </c>
      <c r="BB201" s="203" t="e">
        <f t="shared" si="84"/>
        <v>#VALUE!</v>
      </c>
    </row>
    <row r="202" spans="1:54" x14ac:dyDescent="0.25">
      <c r="A202" s="68" t="str">
        <f t="shared" si="116"/>
        <v/>
      </c>
      <c r="B202" s="68" t="str">
        <f t="shared" si="117"/>
        <v/>
      </c>
      <c r="C202" s="158" t="str">
        <f t="shared" si="118"/>
        <v/>
      </c>
      <c r="D202" s="158" t="str">
        <f t="shared" si="119"/>
        <v/>
      </c>
      <c r="E202" s="157" t="str">
        <f t="shared" si="120"/>
        <v/>
      </c>
      <c r="F202" s="158" t="str">
        <f t="shared" si="121"/>
        <v/>
      </c>
      <c r="G202" s="160" t="str">
        <f t="shared" si="122"/>
        <v/>
      </c>
      <c r="AA202" s="2" t="str">
        <f t="shared" si="88"/>
        <v/>
      </c>
      <c r="AC202" s="9" t="str">
        <f t="shared" si="96"/>
        <v/>
      </c>
      <c r="AD202" s="9" t="str">
        <f t="shared" si="86"/>
        <v/>
      </c>
      <c r="AF202" s="2" t="str">
        <f t="shared" si="107"/>
        <v/>
      </c>
      <c r="AG202" s="9" t="str">
        <f t="shared" si="90"/>
        <v/>
      </c>
      <c r="AH202" s="9" t="str">
        <f t="shared" si="91"/>
        <v/>
      </c>
      <c r="AL202" s="23" t="e">
        <f t="shared" si="81"/>
        <v>#VALUE!</v>
      </c>
      <c r="AM202" s="23" t="e">
        <f t="shared" si="110"/>
        <v>#VALUE!</v>
      </c>
      <c r="AN202" s="23" t="e">
        <f t="shared" si="114"/>
        <v>#VALUE!</v>
      </c>
      <c r="AO202" s="23">
        <v>0</v>
      </c>
      <c r="AP202" s="23">
        <v>0</v>
      </c>
      <c r="AQ202" s="23">
        <v>0</v>
      </c>
      <c r="AR202" s="23">
        <v>0</v>
      </c>
      <c r="AU202" s="23">
        <f t="shared" si="83"/>
        <v>13986.111111111111</v>
      </c>
      <c r="AV202" s="23">
        <f t="shared" si="82"/>
        <v>13986.111111111111</v>
      </c>
      <c r="AW202" s="23">
        <v>0</v>
      </c>
      <c r="AX202" s="23">
        <v>0</v>
      </c>
      <c r="AY202" s="23">
        <v>0</v>
      </c>
      <c r="AZ202" s="23">
        <v>0</v>
      </c>
      <c r="BB202" s="203" t="e">
        <f t="shared" si="84"/>
        <v>#VALUE!</v>
      </c>
    </row>
    <row r="203" spans="1:54" x14ac:dyDescent="0.25">
      <c r="A203" s="68" t="str">
        <f t="shared" si="116"/>
        <v/>
      </c>
      <c r="B203" s="68" t="str">
        <f t="shared" si="117"/>
        <v/>
      </c>
      <c r="C203" s="158" t="str">
        <f t="shared" si="118"/>
        <v/>
      </c>
      <c r="D203" s="158" t="str">
        <f t="shared" si="119"/>
        <v/>
      </c>
      <c r="E203" s="157" t="str">
        <f t="shared" si="120"/>
        <v/>
      </c>
      <c r="F203" s="158" t="str">
        <f t="shared" si="121"/>
        <v/>
      </c>
      <c r="G203" s="160" t="str">
        <f t="shared" si="122"/>
        <v/>
      </c>
      <c r="AA203" s="2" t="str">
        <f t="shared" si="88"/>
        <v/>
      </c>
      <c r="AC203" s="9" t="str">
        <f t="shared" ref="AC203:AC234" si="123">IF(AB203="","",IF(AA203&lt;=B$16,AC202,AC202-AD203))</f>
        <v/>
      </c>
      <c r="AD203" s="9" t="str">
        <f t="shared" si="86"/>
        <v/>
      </c>
      <c r="AF203" s="2" t="str">
        <f t="shared" si="107"/>
        <v/>
      </c>
      <c r="AG203" s="9" t="str">
        <f t="shared" si="90"/>
        <v/>
      </c>
      <c r="AH203" s="9" t="str">
        <f t="shared" si="91"/>
        <v/>
      </c>
      <c r="AL203" s="23" t="e">
        <f t="shared" si="81"/>
        <v>#VALUE!</v>
      </c>
      <c r="AM203" s="23" t="e">
        <f t="shared" si="110"/>
        <v>#VALUE!</v>
      </c>
      <c r="AN203" s="23" t="e">
        <f t="shared" si="114"/>
        <v>#VALUE!</v>
      </c>
      <c r="AO203" s="23" t="e">
        <f t="shared" si="113"/>
        <v>#VALUE!</v>
      </c>
      <c r="AP203" s="23" t="e">
        <f t="shared" si="115"/>
        <v>#VALUE!</v>
      </c>
      <c r="AQ203" s="23" t="e">
        <f t="shared" ref="AQ203" si="124">E197*((1+$C$23)^6-1)</f>
        <v>#VALUE!</v>
      </c>
      <c r="AR203" s="23" t="e">
        <f>E191*((1+$C$23)^12-1)</f>
        <v>#VALUE!</v>
      </c>
      <c r="AU203" s="23">
        <f t="shared" si="83"/>
        <v>13986.111111111111</v>
      </c>
      <c r="AV203" s="23">
        <f t="shared" si="82"/>
        <v>13986.111111111111</v>
      </c>
      <c r="AW203" s="23">
        <f>$E$23/($B$17-$B$16)*2</f>
        <v>27972.222222222223</v>
      </c>
      <c r="AX203" s="23">
        <f>$E$23/($B$17-$B$16)*3</f>
        <v>41958.333333333336</v>
      </c>
      <c r="AY203" s="23">
        <f>$E$23/($B$17-$B$16)*6</f>
        <v>83916.666666666672</v>
      </c>
      <c r="AZ203" s="23">
        <f>$E$23/($B$17-$B$16)*12</f>
        <v>167833.33333333334</v>
      </c>
      <c r="BB203" s="203" t="e">
        <f t="shared" si="84"/>
        <v>#VALUE!</v>
      </c>
    </row>
    <row r="204" spans="1:54" x14ac:dyDescent="0.25">
      <c r="A204" s="68" t="str">
        <f t="shared" si="116"/>
        <v/>
      </c>
      <c r="B204" s="68" t="str">
        <f t="shared" si="117"/>
        <v/>
      </c>
      <c r="C204" s="158" t="str">
        <f t="shared" si="118"/>
        <v/>
      </c>
      <c r="D204" s="158" t="str">
        <f t="shared" si="119"/>
        <v/>
      </c>
      <c r="E204" s="157" t="str">
        <f t="shared" si="120"/>
        <v/>
      </c>
      <c r="F204" s="158" t="str">
        <f t="shared" si="121"/>
        <v/>
      </c>
      <c r="G204" s="160" t="str">
        <f t="shared" si="122"/>
        <v/>
      </c>
      <c r="AA204" s="2" t="str">
        <f t="shared" si="88"/>
        <v/>
      </c>
      <c r="AC204" s="9" t="str">
        <f t="shared" si="123"/>
        <v/>
      </c>
      <c r="AD204" s="9" t="str">
        <f t="shared" si="86"/>
        <v/>
      </c>
      <c r="AF204" s="2" t="str">
        <f t="shared" si="107"/>
        <v/>
      </c>
      <c r="AG204" s="9" t="str">
        <f t="shared" si="90"/>
        <v/>
      </c>
      <c r="AH204" s="9" t="str">
        <f t="shared" si="91"/>
        <v/>
      </c>
      <c r="AL204" s="23" t="e">
        <f t="shared" si="81"/>
        <v>#VALUE!</v>
      </c>
      <c r="AM204" s="23" t="e">
        <f t="shared" si="110"/>
        <v>#VALUE!</v>
      </c>
      <c r="AN204" s="23" t="e">
        <f t="shared" si="114"/>
        <v>#VALUE!</v>
      </c>
      <c r="AO204" s="23">
        <v>0</v>
      </c>
      <c r="AP204" s="23">
        <v>0</v>
      </c>
      <c r="AQ204" s="23">
        <v>0</v>
      </c>
      <c r="AR204" s="23">
        <v>0</v>
      </c>
      <c r="AU204" s="23">
        <f t="shared" si="83"/>
        <v>13986.111111111111</v>
      </c>
      <c r="AV204" s="23">
        <f t="shared" si="82"/>
        <v>13986.111111111111</v>
      </c>
      <c r="AW204" s="23">
        <v>0</v>
      </c>
      <c r="AX204" s="23">
        <v>0</v>
      </c>
      <c r="AY204" s="23">
        <v>0</v>
      </c>
      <c r="AZ204" s="23">
        <v>0</v>
      </c>
    </row>
    <row r="205" spans="1:54" x14ac:dyDescent="0.25">
      <c r="A205" s="68" t="str">
        <f t="shared" si="116"/>
        <v/>
      </c>
      <c r="B205" s="68" t="str">
        <f t="shared" si="117"/>
        <v/>
      </c>
      <c r="C205" s="158" t="str">
        <f t="shared" si="118"/>
        <v/>
      </c>
      <c r="D205" s="158" t="str">
        <f t="shared" si="119"/>
        <v/>
      </c>
      <c r="E205" s="157" t="str">
        <f t="shared" si="120"/>
        <v/>
      </c>
      <c r="F205" s="158" t="str">
        <f t="shared" si="121"/>
        <v/>
      </c>
      <c r="G205" s="160" t="str">
        <f t="shared" si="122"/>
        <v/>
      </c>
      <c r="AA205" s="2" t="str">
        <f t="shared" si="88"/>
        <v/>
      </c>
      <c r="AC205" s="9" t="str">
        <f t="shared" si="123"/>
        <v/>
      </c>
      <c r="AD205" s="9" t="str">
        <f t="shared" si="86"/>
        <v/>
      </c>
      <c r="AF205" s="2" t="str">
        <f t="shared" si="107"/>
        <v/>
      </c>
      <c r="AG205" s="9" t="str">
        <f t="shared" si="90"/>
        <v/>
      </c>
      <c r="AH205" s="9" t="str">
        <f t="shared" si="91"/>
        <v/>
      </c>
      <c r="AL205" s="23" t="e">
        <f t="shared" si="81"/>
        <v>#VALUE!</v>
      </c>
      <c r="AM205" s="23" t="e">
        <f t="shared" si="110"/>
        <v>#VALUE!</v>
      </c>
      <c r="AN205" s="23" t="e">
        <f t="shared" si="114"/>
        <v>#VALUE!</v>
      </c>
      <c r="AO205" s="23" t="e">
        <f t="shared" si="113"/>
        <v>#VALUE!</v>
      </c>
      <c r="AP205" s="23">
        <v>0</v>
      </c>
      <c r="AQ205" s="23">
        <v>0</v>
      </c>
      <c r="AR205" s="23">
        <v>0</v>
      </c>
      <c r="AU205" s="23">
        <f t="shared" si="83"/>
        <v>13986.111111111111</v>
      </c>
      <c r="AV205" s="23">
        <f t="shared" si="82"/>
        <v>13986.111111111111</v>
      </c>
      <c r="AW205" s="23">
        <f>$E$23/($B$17-$B$16)*2</f>
        <v>27972.222222222223</v>
      </c>
      <c r="AX205" s="23">
        <v>0</v>
      </c>
      <c r="AY205" s="23">
        <v>0</v>
      </c>
      <c r="AZ205" s="23">
        <v>0</v>
      </c>
    </row>
    <row r="206" spans="1:54" x14ac:dyDescent="0.25">
      <c r="A206" s="68" t="str">
        <f t="shared" si="116"/>
        <v/>
      </c>
      <c r="B206" s="68" t="str">
        <f t="shared" si="117"/>
        <v/>
      </c>
      <c r="C206" s="158" t="str">
        <f t="shared" si="118"/>
        <v/>
      </c>
      <c r="D206" s="158" t="str">
        <f t="shared" si="119"/>
        <v/>
      </c>
      <c r="E206" s="157" t="str">
        <f t="shared" si="120"/>
        <v/>
      </c>
      <c r="F206" s="158" t="str">
        <f t="shared" si="121"/>
        <v/>
      </c>
      <c r="G206" s="160" t="str">
        <f t="shared" si="122"/>
        <v/>
      </c>
      <c r="AA206" s="2" t="str">
        <f t="shared" si="88"/>
        <v/>
      </c>
      <c r="AC206" s="9" t="str">
        <f t="shared" si="123"/>
        <v/>
      </c>
      <c r="AD206" s="9" t="str">
        <f t="shared" si="86"/>
        <v/>
      </c>
      <c r="AF206" s="2" t="str">
        <f t="shared" si="107"/>
        <v/>
      </c>
      <c r="AG206" s="9" t="str">
        <f t="shared" si="90"/>
        <v/>
      </c>
      <c r="AH206" s="9" t="str">
        <f t="shared" si="91"/>
        <v/>
      </c>
      <c r="AL206" s="23" t="e">
        <f t="shared" si="81"/>
        <v>#VALUE!</v>
      </c>
      <c r="AM206" s="23" t="e">
        <f t="shared" si="110"/>
        <v>#VALUE!</v>
      </c>
      <c r="AN206" s="23" t="e">
        <f t="shared" si="114"/>
        <v>#VALUE!</v>
      </c>
      <c r="AO206" s="23">
        <v>0</v>
      </c>
      <c r="AP206" s="23" t="e">
        <f t="shared" si="115"/>
        <v>#VALUE!</v>
      </c>
      <c r="AQ206" s="23">
        <v>0</v>
      </c>
      <c r="AR206" s="23">
        <v>0</v>
      </c>
      <c r="AU206" s="23">
        <f t="shared" si="83"/>
        <v>13986.111111111111</v>
      </c>
      <c r="AV206" s="23">
        <f t="shared" si="82"/>
        <v>13986.111111111111</v>
      </c>
      <c r="AW206" s="23">
        <v>0</v>
      </c>
      <c r="AX206" s="23">
        <f>$E$23/($B$17-$B$16)*3</f>
        <v>41958.333333333336</v>
      </c>
      <c r="AY206" s="23">
        <v>0</v>
      </c>
      <c r="AZ206" s="23">
        <v>0</v>
      </c>
    </row>
    <row r="207" spans="1:54" x14ac:dyDescent="0.25">
      <c r="A207" s="68" t="str">
        <f t="shared" si="116"/>
        <v/>
      </c>
      <c r="B207" s="68" t="str">
        <f t="shared" si="117"/>
        <v/>
      </c>
      <c r="C207" s="158" t="str">
        <f t="shared" si="118"/>
        <v/>
      </c>
      <c r="D207" s="158" t="str">
        <f t="shared" si="119"/>
        <v/>
      </c>
      <c r="E207" s="157" t="str">
        <f t="shared" si="120"/>
        <v/>
      </c>
      <c r="F207" s="158" t="str">
        <f t="shared" si="121"/>
        <v/>
      </c>
      <c r="G207" s="160" t="str">
        <f t="shared" si="122"/>
        <v/>
      </c>
      <c r="AA207" s="2" t="str">
        <f t="shared" si="88"/>
        <v/>
      </c>
      <c r="AC207" s="9" t="str">
        <f t="shared" si="123"/>
        <v/>
      </c>
      <c r="AD207" s="9" t="str">
        <f t="shared" si="86"/>
        <v/>
      </c>
      <c r="AF207" s="2" t="str">
        <f t="shared" si="107"/>
        <v/>
      </c>
      <c r="AG207" s="9" t="str">
        <f t="shared" si="90"/>
        <v/>
      </c>
      <c r="AH207" s="9" t="str">
        <f t="shared" si="91"/>
        <v/>
      </c>
      <c r="AL207" s="23" t="e">
        <f t="shared" si="81"/>
        <v>#VALUE!</v>
      </c>
      <c r="AM207" s="23" t="e">
        <f t="shared" si="110"/>
        <v>#VALUE!</v>
      </c>
      <c r="AN207" s="23" t="e">
        <f t="shared" si="114"/>
        <v>#VALUE!</v>
      </c>
      <c r="AO207" s="23" t="e">
        <f>E205*((1+$C$23)^2-1)</f>
        <v>#VALUE!</v>
      </c>
      <c r="AP207" s="23">
        <v>0</v>
      </c>
      <c r="AQ207" s="23">
        <v>0</v>
      </c>
      <c r="AR207" s="23">
        <v>0</v>
      </c>
      <c r="AU207" s="23">
        <f t="shared" si="83"/>
        <v>13986.111111111111</v>
      </c>
      <c r="AV207" s="23">
        <f t="shared" si="82"/>
        <v>13986.111111111111</v>
      </c>
      <c r="AW207" s="23">
        <f>$E$23/($B$17-$B$16)*2</f>
        <v>27972.222222222223</v>
      </c>
      <c r="AX207" s="23">
        <v>0</v>
      </c>
      <c r="AY207" s="23">
        <v>0</v>
      </c>
      <c r="AZ207" s="23">
        <v>0</v>
      </c>
    </row>
    <row r="208" spans="1:54" x14ac:dyDescent="0.25">
      <c r="A208" s="68" t="str">
        <f t="shared" si="116"/>
        <v/>
      </c>
      <c r="B208" s="68" t="str">
        <f t="shared" si="117"/>
        <v/>
      </c>
      <c r="C208" s="158" t="str">
        <f t="shared" si="118"/>
        <v/>
      </c>
      <c r="D208" s="158" t="str">
        <f t="shared" si="119"/>
        <v/>
      </c>
      <c r="E208" s="157" t="str">
        <f t="shared" si="120"/>
        <v/>
      </c>
      <c r="F208" s="158" t="str">
        <f t="shared" si="121"/>
        <v/>
      </c>
      <c r="G208" s="160" t="str">
        <f t="shared" si="122"/>
        <v/>
      </c>
      <c r="AA208" s="2" t="str">
        <f t="shared" si="88"/>
        <v/>
      </c>
      <c r="AC208" s="9" t="str">
        <f t="shared" si="123"/>
        <v/>
      </c>
      <c r="AD208" s="9" t="str">
        <f t="shared" si="86"/>
        <v/>
      </c>
      <c r="AF208" s="2" t="str">
        <f t="shared" si="107"/>
        <v/>
      </c>
      <c r="AG208" s="9" t="str">
        <f t="shared" si="90"/>
        <v/>
      </c>
      <c r="AH208" s="9" t="str">
        <f t="shared" si="91"/>
        <v/>
      </c>
      <c r="AL208" s="23" t="e">
        <f t="shared" si="81"/>
        <v>#VALUE!</v>
      </c>
      <c r="AM208" s="23" t="e">
        <f t="shared" si="110"/>
        <v>#VALUE!</v>
      </c>
      <c r="AN208" s="23" t="e">
        <f t="shared" si="114"/>
        <v>#VALUE!</v>
      </c>
      <c r="AO208" s="23">
        <v>0</v>
      </c>
      <c r="AP208" s="23">
        <v>0</v>
      </c>
      <c r="AQ208" s="23">
        <v>0</v>
      </c>
      <c r="AR208" s="23">
        <v>0</v>
      </c>
      <c r="AU208" s="23">
        <f t="shared" si="83"/>
        <v>13986.111111111111</v>
      </c>
      <c r="AV208" s="23">
        <f t="shared" si="82"/>
        <v>13986.111111111111</v>
      </c>
      <c r="AW208" s="23">
        <v>0</v>
      </c>
      <c r="AX208" s="23">
        <v>0</v>
      </c>
      <c r="AY208" s="23">
        <v>0</v>
      </c>
      <c r="AZ208" s="23">
        <v>0</v>
      </c>
    </row>
    <row r="209" spans="1:52" x14ac:dyDescent="0.25">
      <c r="A209" s="68"/>
      <c r="B209" s="68"/>
      <c r="C209" s="158"/>
      <c r="D209" s="158"/>
      <c r="E209" s="157"/>
      <c r="F209" s="158"/>
      <c r="G209" s="160"/>
      <c r="AA209" s="2" t="str">
        <f t="shared" si="88"/>
        <v/>
      </c>
      <c r="AC209" s="9" t="str">
        <f t="shared" si="123"/>
        <v/>
      </c>
      <c r="AD209" s="9" t="str">
        <f t="shared" si="86"/>
        <v/>
      </c>
      <c r="AF209" s="2" t="str">
        <f t="shared" si="107"/>
        <v/>
      </c>
      <c r="AG209" s="9" t="str">
        <f t="shared" si="90"/>
        <v/>
      </c>
      <c r="AH209" s="9" t="str">
        <f t="shared" si="91"/>
        <v/>
      </c>
      <c r="AL209" s="23" t="e">
        <f t="shared" si="81"/>
        <v>#VALUE!</v>
      </c>
      <c r="AM209" s="23" t="e">
        <f t="shared" si="110"/>
        <v>#VALUE!</v>
      </c>
      <c r="AN209" s="23" t="e">
        <f t="shared" si="114"/>
        <v>#VALUE!</v>
      </c>
      <c r="AO209" s="23" t="e">
        <f t="shared" ref="AO209:AO217" si="125">E207*((1+$C$23)^2-1)</f>
        <v>#VALUE!</v>
      </c>
      <c r="AP209" s="23" t="e">
        <f t="shared" si="115"/>
        <v>#VALUE!</v>
      </c>
      <c r="AQ209" s="23" t="e">
        <f t="shared" ref="AQ209" si="126">E203*((1+$C$23)^6-1)</f>
        <v>#VALUE!</v>
      </c>
      <c r="AR209" s="23">
        <v>0</v>
      </c>
      <c r="AU209" s="23">
        <f t="shared" si="83"/>
        <v>13986.111111111111</v>
      </c>
      <c r="AV209" s="23">
        <f t="shared" si="82"/>
        <v>13986.111111111111</v>
      </c>
      <c r="AW209" s="23">
        <f>$E$23/($B$17-$B$16)*2</f>
        <v>27972.222222222223</v>
      </c>
      <c r="AX209" s="23">
        <f>$E$23/($B$17-$B$16)*3</f>
        <v>41958.333333333336</v>
      </c>
      <c r="AY209" s="23">
        <f>$E$23/($B$17-$B$16)*6</f>
        <v>83916.666666666672</v>
      </c>
      <c r="AZ209" s="23">
        <v>0</v>
      </c>
    </row>
    <row r="210" spans="1:52" x14ac:dyDescent="0.25">
      <c r="A210" s="68"/>
      <c r="B210" s="68"/>
      <c r="C210" s="158"/>
      <c r="D210" s="158"/>
      <c r="E210" s="157"/>
      <c r="F210" s="158"/>
      <c r="G210" s="160"/>
      <c r="AA210" s="2" t="str">
        <f t="shared" si="88"/>
        <v/>
      </c>
      <c r="AC210" s="9" t="str">
        <f t="shared" si="123"/>
        <v/>
      </c>
      <c r="AD210" s="9" t="str">
        <f t="shared" si="86"/>
        <v/>
      </c>
      <c r="AF210" s="2" t="str">
        <f t="shared" si="107"/>
        <v/>
      </c>
      <c r="AG210" s="9" t="str">
        <f t="shared" si="90"/>
        <v/>
      </c>
      <c r="AH210" s="9" t="str">
        <f t="shared" si="91"/>
        <v/>
      </c>
      <c r="AL210" s="23">
        <f t="shared" si="81"/>
        <v>0</v>
      </c>
      <c r="AM210" s="23">
        <f t="shared" si="110"/>
        <v>0</v>
      </c>
      <c r="AN210" s="23">
        <f t="shared" si="114"/>
        <v>0</v>
      </c>
      <c r="AO210" s="23">
        <v>0</v>
      </c>
      <c r="AP210" s="23">
        <v>0</v>
      </c>
      <c r="AQ210" s="23">
        <v>0</v>
      </c>
      <c r="AR210" s="23">
        <v>0</v>
      </c>
      <c r="AU210" s="23">
        <f t="shared" si="83"/>
        <v>13986.111111111111</v>
      </c>
      <c r="AV210" s="23">
        <f t="shared" si="82"/>
        <v>13986.111111111111</v>
      </c>
      <c r="AW210" s="23">
        <v>0</v>
      </c>
      <c r="AX210" s="23">
        <v>0</v>
      </c>
      <c r="AY210" s="23">
        <v>0</v>
      </c>
      <c r="AZ210" s="23">
        <v>0</v>
      </c>
    </row>
    <row r="211" spans="1:52" x14ac:dyDescent="0.25">
      <c r="A211" s="68"/>
      <c r="B211" s="68"/>
      <c r="C211" s="158"/>
      <c r="D211" s="158"/>
      <c r="E211" s="157"/>
      <c r="F211" s="158"/>
      <c r="G211" s="160"/>
      <c r="AA211" s="2" t="str">
        <f t="shared" si="88"/>
        <v/>
      </c>
      <c r="AC211" s="9" t="str">
        <f t="shared" si="123"/>
        <v/>
      </c>
      <c r="AD211" s="9" t="str">
        <f t="shared" si="86"/>
        <v/>
      </c>
      <c r="AF211" s="2" t="str">
        <f t="shared" si="107"/>
        <v/>
      </c>
      <c r="AG211" s="9" t="str">
        <f t="shared" si="90"/>
        <v/>
      </c>
      <c r="AH211" s="9" t="str">
        <f t="shared" si="91"/>
        <v/>
      </c>
      <c r="AL211" s="23">
        <f t="shared" si="81"/>
        <v>0</v>
      </c>
      <c r="AM211" s="23">
        <f t="shared" si="110"/>
        <v>0</v>
      </c>
      <c r="AN211" s="23">
        <f t="shared" si="114"/>
        <v>0</v>
      </c>
      <c r="AO211" s="23">
        <f t="shared" si="125"/>
        <v>0</v>
      </c>
      <c r="AP211" s="23">
        <v>0</v>
      </c>
      <c r="AQ211" s="23">
        <v>0</v>
      </c>
      <c r="AR211" s="23">
        <v>0</v>
      </c>
      <c r="AU211" s="23">
        <f t="shared" si="83"/>
        <v>13986.111111111111</v>
      </c>
      <c r="AV211" s="23">
        <f t="shared" si="82"/>
        <v>13986.111111111111</v>
      </c>
      <c r="AW211" s="23">
        <f>$E$23/($B$17-$B$16)*2</f>
        <v>27972.222222222223</v>
      </c>
      <c r="AX211" s="23">
        <v>0</v>
      </c>
      <c r="AY211" s="23">
        <v>0</v>
      </c>
      <c r="AZ211" s="23">
        <v>0</v>
      </c>
    </row>
    <row r="212" spans="1:52" x14ac:dyDescent="0.25">
      <c r="A212" s="68"/>
      <c r="B212" s="68"/>
      <c r="C212" s="158"/>
      <c r="D212" s="158"/>
      <c r="E212" s="157"/>
      <c r="F212" s="158"/>
      <c r="G212" s="160"/>
      <c r="AA212" s="2" t="str">
        <f t="shared" si="88"/>
        <v/>
      </c>
      <c r="AC212" s="9" t="str">
        <f t="shared" si="123"/>
        <v/>
      </c>
      <c r="AD212" s="9" t="str">
        <f t="shared" si="86"/>
        <v/>
      </c>
      <c r="AF212" s="2" t="str">
        <f t="shared" si="107"/>
        <v/>
      </c>
      <c r="AG212" s="9" t="str">
        <f t="shared" si="90"/>
        <v/>
      </c>
      <c r="AH212" s="9" t="str">
        <f t="shared" si="91"/>
        <v/>
      </c>
      <c r="AL212" s="23">
        <f t="shared" si="81"/>
        <v>0</v>
      </c>
      <c r="AM212" s="23">
        <f t="shared" si="110"/>
        <v>0</v>
      </c>
      <c r="AN212" s="23">
        <f t="shared" si="114"/>
        <v>0</v>
      </c>
      <c r="AO212" s="23">
        <v>0</v>
      </c>
      <c r="AP212" s="23">
        <f t="shared" si="115"/>
        <v>0</v>
      </c>
      <c r="AQ212" s="23">
        <v>0</v>
      </c>
      <c r="AR212" s="23">
        <v>0</v>
      </c>
      <c r="AU212" s="23">
        <f t="shared" si="83"/>
        <v>13986.111111111111</v>
      </c>
      <c r="AV212" s="23">
        <f t="shared" si="82"/>
        <v>13986.111111111111</v>
      </c>
      <c r="AW212" s="23">
        <v>0</v>
      </c>
      <c r="AX212" s="23">
        <f>$E$23/($B$17-$B$16)*3</f>
        <v>41958.333333333336</v>
      </c>
      <c r="AY212" s="23">
        <v>0</v>
      </c>
      <c r="AZ212" s="23">
        <v>0</v>
      </c>
    </row>
    <row r="213" spans="1:52" x14ac:dyDescent="0.25">
      <c r="A213" s="68"/>
      <c r="B213" s="68"/>
      <c r="C213" s="158"/>
      <c r="D213" s="158"/>
      <c r="E213" s="157"/>
      <c r="F213" s="158"/>
      <c r="G213" s="160"/>
      <c r="AA213" s="2" t="str">
        <f t="shared" si="88"/>
        <v/>
      </c>
      <c r="AC213" s="9" t="str">
        <f t="shared" si="123"/>
        <v/>
      </c>
      <c r="AD213" s="9" t="str">
        <f t="shared" si="86"/>
        <v/>
      </c>
      <c r="AF213" s="2" t="str">
        <f t="shared" si="107"/>
        <v/>
      </c>
      <c r="AG213" s="9" t="str">
        <f t="shared" si="90"/>
        <v/>
      </c>
      <c r="AH213" s="9" t="str">
        <f t="shared" si="91"/>
        <v/>
      </c>
      <c r="AL213" s="23">
        <f t="shared" si="81"/>
        <v>0</v>
      </c>
      <c r="AM213" s="23">
        <f>IF($AN$17=1,AN213,IF($AN$17=2,AO213,IF($AN$17=3,AP213,IF($AN$17=4,AQ213,IF($AN$17=5,AR213)))))</f>
        <v>0</v>
      </c>
      <c r="AN213" s="23">
        <f t="shared" si="114"/>
        <v>0</v>
      </c>
      <c r="AO213" s="23">
        <f t="shared" si="125"/>
        <v>0</v>
      </c>
      <c r="AP213" s="23">
        <v>0</v>
      </c>
      <c r="AQ213" s="23">
        <v>0</v>
      </c>
      <c r="AR213" s="23">
        <v>0</v>
      </c>
      <c r="AU213" s="23">
        <f t="shared" si="83"/>
        <v>13986.111111111111</v>
      </c>
      <c r="AV213" s="23">
        <f t="shared" si="82"/>
        <v>13986.111111111111</v>
      </c>
      <c r="AW213" s="23">
        <f>$E$23/($B$17-$B$16)*2</f>
        <v>27972.222222222223</v>
      </c>
      <c r="AX213" s="23">
        <v>0</v>
      </c>
      <c r="AY213" s="23">
        <v>0</v>
      </c>
      <c r="AZ213" s="23">
        <v>0</v>
      </c>
    </row>
    <row r="214" spans="1:52" x14ac:dyDescent="0.25">
      <c r="A214" s="68"/>
      <c r="B214" s="68"/>
      <c r="C214" s="158"/>
      <c r="D214" s="158"/>
      <c r="E214" s="157"/>
      <c r="F214" s="158"/>
      <c r="G214" s="160"/>
      <c r="AA214" s="2" t="str">
        <f t="shared" si="88"/>
        <v/>
      </c>
      <c r="AC214" s="9" t="str">
        <f t="shared" si="123"/>
        <v/>
      </c>
      <c r="AD214" s="9" t="str">
        <f t="shared" si="86"/>
        <v/>
      </c>
      <c r="AF214" s="2" t="str">
        <f t="shared" si="107"/>
        <v/>
      </c>
      <c r="AG214" s="9" t="str">
        <f t="shared" si="90"/>
        <v/>
      </c>
      <c r="AH214" s="9" t="str">
        <f t="shared" si="91"/>
        <v/>
      </c>
      <c r="AL214" s="23">
        <f t="shared" si="81"/>
        <v>0</v>
      </c>
      <c r="AM214" s="23">
        <f t="shared" ref="AM214:AM239" si="127">IF($AN$17=1,AN214,IF($AN$17=2,AO214,IF($AN$17=3,AP214,IF($AN$17=4,AQ214,IF($AN$17=5,AR214)))))</f>
        <v>0</v>
      </c>
      <c r="AN214" s="23">
        <f t="shared" si="114"/>
        <v>0</v>
      </c>
      <c r="AO214" s="23">
        <v>0</v>
      </c>
      <c r="AP214" s="23">
        <v>0</v>
      </c>
      <c r="AQ214" s="23">
        <v>0</v>
      </c>
      <c r="AR214" s="23">
        <v>0</v>
      </c>
      <c r="AU214" s="23">
        <f t="shared" si="83"/>
        <v>13986.111111111111</v>
      </c>
      <c r="AV214" s="23">
        <f t="shared" si="82"/>
        <v>13986.111111111111</v>
      </c>
      <c r="AW214" s="23">
        <v>0</v>
      </c>
      <c r="AX214" s="23">
        <v>0</v>
      </c>
      <c r="AY214" s="23">
        <v>0</v>
      </c>
      <c r="AZ214" s="23">
        <v>0</v>
      </c>
    </row>
    <row r="215" spans="1:52" x14ac:dyDescent="0.25">
      <c r="A215" s="68"/>
      <c r="B215" s="68"/>
      <c r="C215" s="158"/>
      <c r="D215" s="158"/>
      <c r="E215" s="157"/>
      <c r="F215" s="158"/>
      <c r="G215" s="160"/>
      <c r="AA215" s="2" t="str">
        <f t="shared" si="88"/>
        <v/>
      </c>
      <c r="AC215" s="9" t="str">
        <f t="shared" si="123"/>
        <v/>
      </c>
      <c r="AD215" s="9" t="str">
        <f t="shared" si="86"/>
        <v/>
      </c>
      <c r="AF215" s="2" t="str">
        <f t="shared" si="107"/>
        <v/>
      </c>
      <c r="AG215" s="9" t="str">
        <f t="shared" si="90"/>
        <v/>
      </c>
      <c r="AH215" s="9" t="str">
        <f t="shared" si="91"/>
        <v/>
      </c>
      <c r="AL215" s="23">
        <f t="shared" si="81"/>
        <v>0</v>
      </c>
      <c r="AM215" s="23">
        <f t="shared" si="127"/>
        <v>0</v>
      </c>
      <c r="AN215" s="23">
        <f t="shared" si="114"/>
        <v>0</v>
      </c>
      <c r="AO215" s="23">
        <f t="shared" si="125"/>
        <v>0</v>
      </c>
      <c r="AP215" s="23">
        <f>E212*((1+$C$23)^3-1)</f>
        <v>0</v>
      </c>
      <c r="AQ215" s="23">
        <f>E209*((1+$C$23)^6-1)</f>
        <v>0</v>
      </c>
      <c r="AR215" s="23" t="e">
        <f>E203*((1+$C$23)^12-1)</f>
        <v>#VALUE!</v>
      </c>
      <c r="AU215" s="23">
        <f t="shared" si="83"/>
        <v>13986.111111111111</v>
      </c>
      <c r="AV215" s="23">
        <f t="shared" si="82"/>
        <v>13986.111111111111</v>
      </c>
      <c r="AW215" s="23">
        <f>$E$23/($B$17-$B$16)*2</f>
        <v>27972.222222222223</v>
      </c>
      <c r="AX215" s="23">
        <f>$E$23/($B$17-$B$16)*3</f>
        <v>41958.333333333336</v>
      </c>
      <c r="AY215" s="23">
        <f>$E$23/($B$17-$B$16)*6</f>
        <v>83916.666666666672</v>
      </c>
      <c r="AZ215" s="23">
        <f>$E$23/($B$17-$B$16)*12</f>
        <v>167833.33333333334</v>
      </c>
    </row>
    <row r="216" spans="1:52" x14ac:dyDescent="0.25">
      <c r="A216" s="68"/>
      <c r="B216" s="68"/>
      <c r="C216" s="158"/>
      <c r="D216" s="158"/>
      <c r="E216" s="157"/>
      <c r="F216" s="158"/>
      <c r="G216" s="160"/>
      <c r="AA216" s="2" t="str">
        <f t="shared" si="88"/>
        <v/>
      </c>
      <c r="AC216" s="9" t="str">
        <f t="shared" si="123"/>
        <v/>
      </c>
      <c r="AD216" s="9" t="str">
        <f t="shared" si="86"/>
        <v/>
      </c>
      <c r="AF216" s="2" t="str">
        <f t="shared" si="107"/>
        <v/>
      </c>
      <c r="AG216" s="9" t="str">
        <f t="shared" si="90"/>
        <v/>
      </c>
      <c r="AH216" s="9" t="str">
        <f t="shared" si="91"/>
        <v/>
      </c>
      <c r="AL216" s="23">
        <f t="shared" ref="AL216:AL279" si="128">IF(A216&lt;=$B$16,AM216,E215*$C$23)</f>
        <v>0</v>
      </c>
      <c r="AM216" s="23">
        <f t="shared" si="127"/>
        <v>0</v>
      </c>
      <c r="AN216" s="23">
        <f t="shared" si="114"/>
        <v>0</v>
      </c>
      <c r="AO216" s="23">
        <v>0</v>
      </c>
      <c r="AP216" s="23">
        <v>0</v>
      </c>
      <c r="AQ216" s="23">
        <v>0</v>
      </c>
      <c r="AR216" s="23">
        <v>0</v>
      </c>
      <c r="AU216" s="23">
        <f t="shared" si="83"/>
        <v>13986.111111111111</v>
      </c>
      <c r="AV216" s="23">
        <f t="shared" ref="AV216:AV279" si="129">$E$23/($B$17-$B$16)</f>
        <v>13986.111111111111</v>
      </c>
      <c r="AW216" s="23">
        <v>0</v>
      </c>
      <c r="AX216" s="23">
        <v>0</v>
      </c>
      <c r="AY216" s="23">
        <v>0</v>
      </c>
      <c r="AZ216" s="23">
        <v>0</v>
      </c>
    </row>
    <row r="217" spans="1:52" x14ac:dyDescent="0.25">
      <c r="A217" s="68"/>
      <c r="B217" s="68"/>
      <c r="C217" s="158"/>
      <c r="D217" s="158"/>
      <c r="E217" s="157"/>
      <c r="F217" s="158"/>
      <c r="G217" s="160"/>
      <c r="AA217" s="2" t="str">
        <f t="shared" si="88"/>
        <v/>
      </c>
      <c r="AC217" s="9" t="str">
        <f t="shared" si="123"/>
        <v/>
      </c>
      <c r="AD217" s="9" t="str">
        <f t="shared" si="86"/>
        <v/>
      </c>
      <c r="AF217" s="2" t="str">
        <f t="shared" si="107"/>
        <v/>
      </c>
      <c r="AG217" s="9" t="str">
        <f t="shared" si="90"/>
        <v/>
      </c>
      <c r="AH217" s="9" t="str">
        <f t="shared" si="91"/>
        <v/>
      </c>
      <c r="AL217" s="23">
        <f t="shared" si="128"/>
        <v>0</v>
      </c>
      <c r="AM217" s="23">
        <f t="shared" si="127"/>
        <v>0</v>
      </c>
      <c r="AN217" s="23">
        <f t="shared" si="114"/>
        <v>0</v>
      </c>
      <c r="AO217" s="23">
        <f t="shared" si="125"/>
        <v>0</v>
      </c>
      <c r="AP217" s="23">
        <v>0</v>
      </c>
      <c r="AQ217" s="23">
        <v>0</v>
      </c>
      <c r="AR217" s="23">
        <v>0</v>
      </c>
      <c r="AU217" s="23">
        <f t="shared" ref="AU217:AU280" si="130">IF($AV$17=1,AV217,IF($AV$17=2,AW217,IF($AV$17=3,AX217,IF($AV$17=4,AY217,IF($AV$17=5,AZ217)))))</f>
        <v>13986.111111111111</v>
      </c>
      <c r="AV217" s="23">
        <f t="shared" si="129"/>
        <v>13986.111111111111</v>
      </c>
      <c r="AW217" s="23">
        <f>$E$23/($B$17-$B$16)*2</f>
        <v>27972.222222222223</v>
      </c>
      <c r="AX217" s="23">
        <v>0</v>
      </c>
      <c r="AY217" s="23">
        <v>0</v>
      </c>
      <c r="AZ217" s="23">
        <v>0</v>
      </c>
    </row>
    <row r="218" spans="1:52" x14ac:dyDescent="0.25">
      <c r="A218" s="68"/>
      <c r="B218" s="68"/>
      <c r="C218" s="158"/>
      <c r="D218" s="158"/>
      <c r="E218" s="157"/>
      <c r="F218" s="158"/>
      <c r="G218" s="160"/>
      <c r="AA218" s="2" t="str">
        <f t="shared" si="88"/>
        <v/>
      </c>
      <c r="AC218" s="9" t="str">
        <f t="shared" si="123"/>
        <v/>
      </c>
      <c r="AD218" s="9" t="str">
        <f t="shared" si="86"/>
        <v/>
      </c>
      <c r="AF218" s="2" t="str">
        <f t="shared" si="107"/>
        <v/>
      </c>
      <c r="AG218" s="9" t="str">
        <f t="shared" si="90"/>
        <v/>
      </c>
      <c r="AH218" s="9" t="str">
        <f t="shared" si="91"/>
        <v/>
      </c>
      <c r="AL218" s="23">
        <f t="shared" si="128"/>
        <v>0</v>
      </c>
      <c r="AM218" s="23">
        <f t="shared" si="127"/>
        <v>0</v>
      </c>
      <c r="AN218" s="23">
        <f t="shared" si="114"/>
        <v>0</v>
      </c>
      <c r="AO218" s="23">
        <v>0</v>
      </c>
      <c r="AP218" s="23">
        <f t="shared" ref="AP218:AP224" si="131">E215*((1+$C$23)^3-1)</f>
        <v>0</v>
      </c>
      <c r="AQ218" s="23">
        <v>0</v>
      </c>
      <c r="AR218" s="23">
        <v>0</v>
      </c>
      <c r="AU218" s="23">
        <f t="shared" si="130"/>
        <v>13986.111111111111</v>
      </c>
      <c r="AV218" s="23">
        <f t="shared" si="129"/>
        <v>13986.111111111111</v>
      </c>
      <c r="AW218" s="23">
        <v>0</v>
      </c>
      <c r="AX218" s="23">
        <f>$E$23/($B$17-$B$16)*3</f>
        <v>41958.333333333336</v>
      </c>
      <c r="AY218" s="23">
        <v>0</v>
      </c>
      <c r="AZ218" s="23">
        <v>0</v>
      </c>
    </row>
    <row r="219" spans="1:52" x14ac:dyDescent="0.25">
      <c r="A219" s="68"/>
      <c r="B219" s="68"/>
      <c r="C219" s="158"/>
      <c r="D219" s="158"/>
      <c r="E219" s="157"/>
      <c r="F219" s="158"/>
      <c r="G219" s="160"/>
      <c r="AA219" s="2" t="str">
        <f t="shared" si="88"/>
        <v/>
      </c>
      <c r="AC219" s="9" t="str">
        <f t="shared" si="123"/>
        <v/>
      </c>
      <c r="AD219" s="9" t="str">
        <f t="shared" si="86"/>
        <v/>
      </c>
      <c r="AF219" s="2" t="str">
        <f t="shared" si="107"/>
        <v/>
      </c>
      <c r="AG219" s="9" t="str">
        <f t="shared" si="90"/>
        <v/>
      </c>
      <c r="AH219" s="9" t="str">
        <f t="shared" si="91"/>
        <v/>
      </c>
      <c r="AL219" s="23">
        <f t="shared" si="128"/>
        <v>0</v>
      </c>
      <c r="AM219" s="23">
        <f t="shared" si="127"/>
        <v>0</v>
      </c>
      <c r="AN219" s="23">
        <f t="shared" si="114"/>
        <v>0</v>
      </c>
      <c r="AO219" s="23">
        <f t="shared" ref="AO219:AO231" si="132">E217*((1+$C$23)^2-1)</f>
        <v>0</v>
      </c>
      <c r="AP219" s="23">
        <v>0</v>
      </c>
      <c r="AQ219" s="23">
        <v>0</v>
      </c>
      <c r="AR219" s="23">
        <v>0</v>
      </c>
      <c r="AU219" s="23">
        <f t="shared" si="130"/>
        <v>13986.111111111111</v>
      </c>
      <c r="AV219" s="23">
        <f t="shared" si="129"/>
        <v>13986.111111111111</v>
      </c>
      <c r="AW219" s="23">
        <f>$E$23/($B$17-$B$16)*2</f>
        <v>27972.222222222223</v>
      </c>
      <c r="AX219" s="23">
        <v>0</v>
      </c>
      <c r="AY219" s="23">
        <v>0</v>
      </c>
      <c r="AZ219" s="23">
        <v>0</v>
      </c>
    </row>
    <row r="220" spans="1:52" x14ac:dyDescent="0.25">
      <c r="A220" s="68"/>
      <c r="B220" s="68"/>
      <c r="C220" s="158"/>
      <c r="D220" s="158"/>
      <c r="E220" s="157"/>
      <c r="F220" s="158"/>
      <c r="G220" s="160"/>
      <c r="AA220" s="2" t="str">
        <f t="shared" si="88"/>
        <v/>
      </c>
      <c r="AC220" s="9" t="str">
        <f t="shared" si="123"/>
        <v/>
      </c>
      <c r="AD220" s="9" t="str">
        <f t="shared" si="86"/>
        <v/>
      </c>
      <c r="AF220" s="2" t="str">
        <f t="shared" si="107"/>
        <v/>
      </c>
      <c r="AG220" s="9" t="str">
        <f t="shared" si="90"/>
        <v/>
      </c>
      <c r="AH220" s="9" t="str">
        <f t="shared" si="91"/>
        <v/>
      </c>
      <c r="AL220" s="23">
        <f t="shared" si="128"/>
        <v>0</v>
      </c>
      <c r="AM220" s="23">
        <f t="shared" si="127"/>
        <v>0</v>
      </c>
      <c r="AN220" s="23">
        <f t="shared" si="114"/>
        <v>0</v>
      </c>
      <c r="AO220" s="23">
        <v>0</v>
      </c>
      <c r="AP220" s="23">
        <v>0</v>
      </c>
      <c r="AQ220" s="23">
        <v>0</v>
      </c>
      <c r="AR220" s="23">
        <v>0</v>
      </c>
      <c r="AU220" s="23">
        <f t="shared" si="130"/>
        <v>13986.111111111111</v>
      </c>
      <c r="AV220" s="23">
        <f t="shared" si="129"/>
        <v>13986.111111111111</v>
      </c>
      <c r="AW220" s="23">
        <v>0</v>
      </c>
      <c r="AX220" s="23">
        <v>0</v>
      </c>
      <c r="AY220" s="23">
        <v>0</v>
      </c>
      <c r="AZ220" s="23">
        <v>0</v>
      </c>
    </row>
    <row r="221" spans="1:52" x14ac:dyDescent="0.25">
      <c r="A221" s="68"/>
      <c r="B221" s="68"/>
      <c r="C221" s="158"/>
      <c r="D221" s="158"/>
      <c r="E221" s="157"/>
      <c r="F221" s="158"/>
      <c r="G221" s="160"/>
      <c r="AA221" s="2" t="str">
        <f t="shared" si="88"/>
        <v/>
      </c>
      <c r="AC221" s="9" t="str">
        <f t="shared" si="123"/>
        <v/>
      </c>
      <c r="AD221" s="9" t="str">
        <f t="shared" ref="AD221:AD257" si="133">IF(AA221="","",IF(AA221&lt;=B$16,0,B$15/(B$17-B$16)))</f>
        <v/>
      </c>
      <c r="AF221" s="2" t="str">
        <f t="shared" si="107"/>
        <v/>
      </c>
      <c r="AG221" s="9" t="str">
        <f t="shared" si="90"/>
        <v/>
      </c>
      <c r="AH221" s="9" t="str">
        <f t="shared" si="91"/>
        <v/>
      </c>
      <c r="AL221" s="23">
        <f t="shared" si="128"/>
        <v>0</v>
      </c>
      <c r="AM221" s="23">
        <f t="shared" si="127"/>
        <v>0</v>
      </c>
      <c r="AN221" s="23">
        <f t="shared" si="114"/>
        <v>0</v>
      </c>
      <c r="AO221" s="23">
        <f t="shared" si="132"/>
        <v>0</v>
      </c>
      <c r="AP221" s="23">
        <f t="shared" si="131"/>
        <v>0</v>
      </c>
      <c r="AQ221" s="23">
        <f t="shared" ref="AQ221" si="134">E215*((1+$C$23)^6-1)</f>
        <v>0</v>
      </c>
      <c r="AR221" s="23">
        <v>0</v>
      </c>
      <c r="AU221" s="23">
        <f t="shared" si="130"/>
        <v>13986.111111111111</v>
      </c>
      <c r="AV221" s="23">
        <f t="shared" si="129"/>
        <v>13986.111111111111</v>
      </c>
      <c r="AW221" s="23">
        <f>$E$23/($B$17-$B$16)*2</f>
        <v>27972.222222222223</v>
      </c>
      <c r="AX221" s="23">
        <f>$E$23/($B$17-$B$16)*3</f>
        <v>41958.333333333336</v>
      </c>
      <c r="AY221" s="23">
        <f>$E$23/($B$17-$B$16)*6</f>
        <v>83916.666666666672</v>
      </c>
      <c r="AZ221" s="23">
        <v>0</v>
      </c>
    </row>
    <row r="222" spans="1:52" x14ac:dyDescent="0.25">
      <c r="A222" s="68"/>
      <c r="B222" s="68"/>
      <c r="C222" s="158"/>
      <c r="D222" s="158"/>
      <c r="E222" s="157"/>
      <c r="F222" s="158"/>
      <c r="G222" s="160"/>
      <c r="AA222" s="2" t="str">
        <f t="shared" ref="AA222:AA245" si="135">IF(AA221&lt;B$17,AA221+1,"")</f>
        <v/>
      </c>
      <c r="AC222" s="9" t="str">
        <f t="shared" si="123"/>
        <v/>
      </c>
      <c r="AD222" s="9" t="str">
        <f t="shared" si="133"/>
        <v/>
      </c>
      <c r="AF222" s="2" t="str">
        <f t="shared" si="107"/>
        <v/>
      </c>
      <c r="AG222" s="9" t="str">
        <f t="shared" si="90"/>
        <v/>
      </c>
      <c r="AH222" s="9" t="str">
        <f t="shared" si="91"/>
        <v/>
      </c>
      <c r="AL222" s="23">
        <f t="shared" si="128"/>
        <v>0</v>
      </c>
      <c r="AM222" s="23">
        <f t="shared" si="127"/>
        <v>0</v>
      </c>
      <c r="AN222" s="23">
        <f t="shared" si="114"/>
        <v>0</v>
      </c>
      <c r="AO222" s="23">
        <v>0</v>
      </c>
      <c r="AP222" s="23">
        <v>0</v>
      </c>
      <c r="AQ222" s="23">
        <v>0</v>
      </c>
      <c r="AR222" s="23">
        <v>0</v>
      </c>
      <c r="AU222" s="23">
        <f t="shared" si="130"/>
        <v>13986.111111111111</v>
      </c>
      <c r="AV222" s="23">
        <f t="shared" si="129"/>
        <v>13986.111111111111</v>
      </c>
      <c r="AW222" s="23">
        <v>0</v>
      </c>
      <c r="AX222" s="23">
        <v>0</v>
      </c>
      <c r="AY222" s="23">
        <v>0</v>
      </c>
      <c r="AZ222" s="23">
        <v>0</v>
      </c>
    </row>
    <row r="223" spans="1:52" x14ac:dyDescent="0.25">
      <c r="A223" s="68"/>
      <c r="B223" s="68"/>
      <c r="C223" s="158"/>
      <c r="D223" s="158"/>
      <c r="E223" s="157"/>
      <c r="F223" s="158"/>
      <c r="G223" s="160"/>
      <c r="AA223" s="2" t="str">
        <f t="shared" si="135"/>
        <v/>
      </c>
      <c r="AC223" s="9" t="str">
        <f t="shared" si="123"/>
        <v/>
      </c>
      <c r="AD223" s="9" t="str">
        <f t="shared" si="133"/>
        <v/>
      </c>
      <c r="AF223" s="2" t="str">
        <f t="shared" si="107"/>
        <v/>
      </c>
      <c r="AG223" s="9" t="str">
        <f t="shared" ref="AG223:AG286" si="136">IF(AF223="","",IF(AF223&lt;365,AF223*AC$25*AD223,365*AD223*AC$25))</f>
        <v/>
      </c>
      <c r="AH223" s="9" t="str">
        <f t="shared" ref="AH223:AH286" si="137">IF(AF223="","",IF(AF223&lt;365,AF223*AC$26*AD223,365*AD223*AC$26))</f>
        <v/>
      </c>
      <c r="AL223" s="23">
        <f t="shared" si="128"/>
        <v>0</v>
      </c>
      <c r="AM223" s="23">
        <f t="shared" si="127"/>
        <v>0</v>
      </c>
      <c r="AN223" s="23">
        <f t="shared" si="114"/>
        <v>0</v>
      </c>
      <c r="AO223" s="23">
        <f t="shared" si="132"/>
        <v>0</v>
      </c>
      <c r="AP223" s="23">
        <v>0</v>
      </c>
      <c r="AQ223" s="23">
        <v>0</v>
      </c>
      <c r="AR223" s="23">
        <v>0</v>
      </c>
      <c r="AU223" s="23">
        <f t="shared" si="130"/>
        <v>13986.111111111111</v>
      </c>
      <c r="AV223" s="23">
        <f t="shared" si="129"/>
        <v>13986.111111111111</v>
      </c>
      <c r="AW223" s="23">
        <f>$E$23/($B$17-$B$16)*2</f>
        <v>27972.222222222223</v>
      </c>
      <c r="AX223" s="23">
        <v>0</v>
      </c>
      <c r="AY223" s="23">
        <v>0</v>
      </c>
      <c r="AZ223" s="23">
        <v>0</v>
      </c>
    </row>
    <row r="224" spans="1:52" x14ac:dyDescent="0.25">
      <c r="A224" s="68"/>
      <c r="B224" s="68"/>
      <c r="C224" s="158"/>
      <c r="D224" s="158"/>
      <c r="E224" s="157"/>
      <c r="F224" s="158"/>
      <c r="G224" s="160"/>
      <c r="AA224" s="2" t="str">
        <f t="shared" si="135"/>
        <v/>
      </c>
      <c r="AC224" s="9" t="str">
        <f t="shared" si="123"/>
        <v/>
      </c>
      <c r="AD224" s="9" t="str">
        <f t="shared" si="133"/>
        <v/>
      </c>
      <c r="AF224" s="2" t="str">
        <f t="shared" si="107"/>
        <v/>
      </c>
      <c r="AG224" s="9" t="str">
        <f t="shared" si="136"/>
        <v/>
      </c>
      <c r="AH224" s="9" t="str">
        <f t="shared" si="137"/>
        <v/>
      </c>
      <c r="AL224" s="23">
        <f t="shared" si="128"/>
        <v>0</v>
      </c>
      <c r="AM224" s="23">
        <f t="shared" si="127"/>
        <v>0</v>
      </c>
      <c r="AN224" s="23">
        <f>E223*$C$23</f>
        <v>0</v>
      </c>
      <c r="AO224" s="23">
        <v>0</v>
      </c>
      <c r="AP224" s="23">
        <f t="shared" si="131"/>
        <v>0</v>
      </c>
      <c r="AQ224" s="23">
        <v>0</v>
      </c>
      <c r="AR224" s="23">
        <v>0</v>
      </c>
      <c r="AU224" s="23">
        <f t="shared" si="130"/>
        <v>13986.111111111111</v>
      </c>
      <c r="AV224" s="23">
        <f t="shared" si="129"/>
        <v>13986.111111111111</v>
      </c>
      <c r="AW224" s="23">
        <v>0</v>
      </c>
      <c r="AX224" s="23">
        <f>$E$23/($B$17-$B$16)*3</f>
        <v>41958.333333333336</v>
      </c>
      <c r="AY224" s="23">
        <v>0</v>
      </c>
      <c r="AZ224" s="23">
        <v>0</v>
      </c>
    </row>
    <row r="225" spans="1:52" x14ac:dyDescent="0.25">
      <c r="A225" s="68"/>
      <c r="B225" s="68"/>
      <c r="C225" s="158"/>
      <c r="D225" s="158"/>
      <c r="E225" s="157"/>
      <c r="F225" s="158"/>
      <c r="G225" s="160"/>
      <c r="AA225" s="2" t="str">
        <f t="shared" si="135"/>
        <v/>
      </c>
      <c r="AC225" s="9" t="str">
        <f t="shared" si="123"/>
        <v/>
      </c>
      <c r="AD225" s="9" t="str">
        <f t="shared" si="133"/>
        <v/>
      </c>
      <c r="AF225" s="2" t="str">
        <f t="shared" si="107"/>
        <v/>
      </c>
      <c r="AG225" s="9" t="str">
        <f t="shared" si="136"/>
        <v/>
      </c>
      <c r="AH225" s="9" t="str">
        <f t="shared" si="137"/>
        <v/>
      </c>
      <c r="AL225" s="23">
        <f t="shared" si="128"/>
        <v>0</v>
      </c>
      <c r="AM225" s="23">
        <f t="shared" si="127"/>
        <v>0</v>
      </c>
      <c r="AN225" s="23">
        <f t="shared" ref="AN225:AN248" si="138">E224*$C$23</f>
        <v>0</v>
      </c>
      <c r="AO225" s="23">
        <f t="shared" si="132"/>
        <v>0</v>
      </c>
      <c r="AP225" s="23">
        <v>0</v>
      </c>
      <c r="AQ225" s="23">
        <v>0</v>
      </c>
      <c r="AR225" s="23">
        <v>0</v>
      </c>
      <c r="AU225" s="23">
        <f t="shared" si="130"/>
        <v>13986.111111111111</v>
      </c>
      <c r="AV225" s="23">
        <f t="shared" si="129"/>
        <v>13986.111111111111</v>
      </c>
      <c r="AW225" s="23">
        <f>$E$23/($B$17-$B$16)*2</f>
        <v>27972.222222222223</v>
      </c>
      <c r="AX225" s="23">
        <v>0</v>
      </c>
      <c r="AY225" s="23">
        <v>0</v>
      </c>
      <c r="AZ225" s="23">
        <v>0</v>
      </c>
    </row>
    <row r="226" spans="1:52" x14ac:dyDescent="0.25">
      <c r="A226" s="68"/>
      <c r="B226" s="68"/>
      <c r="C226" s="158"/>
      <c r="D226" s="158"/>
      <c r="E226" s="157"/>
      <c r="F226" s="158"/>
      <c r="G226" s="160"/>
      <c r="AA226" s="2" t="str">
        <f t="shared" si="135"/>
        <v/>
      </c>
      <c r="AC226" s="9" t="str">
        <f t="shared" si="123"/>
        <v/>
      </c>
      <c r="AD226" s="9" t="str">
        <f t="shared" si="133"/>
        <v/>
      </c>
      <c r="AF226" s="2" t="str">
        <f t="shared" si="107"/>
        <v/>
      </c>
      <c r="AG226" s="9" t="str">
        <f t="shared" si="136"/>
        <v/>
      </c>
      <c r="AH226" s="9" t="str">
        <f t="shared" si="137"/>
        <v/>
      </c>
      <c r="AL226" s="23">
        <f t="shared" si="128"/>
        <v>0</v>
      </c>
      <c r="AM226" s="23">
        <f t="shared" si="127"/>
        <v>0</v>
      </c>
      <c r="AN226" s="23">
        <f t="shared" si="138"/>
        <v>0</v>
      </c>
      <c r="AO226" s="23">
        <v>0</v>
      </c>
      <c r="AP226" s="23">
        <v>0</v>
      </c>
      <c r="AQ226" s="23">
        <v>0</v>
      </c>
      <c r="AR226" s="23">
        <v>0</v>
      </c>
      <c r="AU226" s="23">
        <f t="shared" si="130"/>
        <v>13986.111111111111</v>
      </c>
      <c r="AV226" s="23">
        <f t="shared" si="129"/>
        <v>13986.111111111111</v>
      </c>
      <c r="AW226" s="23">
        <v>0</v>
      </c>
      <c r="AX226" s="23">
        <v>0</v>
      </c>
      <c r="AY226" s="23">
        <v>0</v>
      </c>
      <c r="AZ226" s="23">
        <v>0</v>
      </c>
    </row>
    <row r="227" spans="1:52" x14ac:dyDescent="0.25">
      <c r="A227" s="68"/>
      <c r="B227" s="68"/>
      <c r="C227" s="158"/>
      <c r="D227" s="158"/>
      <c r="E227" s="157"/>
      <c r="F227" s="158"/>
      <c r="G227" s="160"/>
      <c r="AA227" s="2" t="str">
        <f t="shared" si="135"/>
        <v/>
      </c>
      <c r="AC227" s="9" t="str">
        <f t="shared" si="123"/>
        <v/>
      </c>
      <c r="AD227" s="9" t="str">
        <f t="shared" si="133"/>
        <v/>
      </c>
      <c r="AF227" s="2" t="str">
        <f t="shared" si="107"/>
        <v/>
      </c>
      <c r="AG227" s="9" t="str">
        <f t="shared" si="136"/>
        <v/>
      </c>
      <c r="AH227" s="9" t="str">
        <f t="shared" si="137"/>
        <v/>
      </c>
      <c r="AL227" s="23">
        <f t="shared" si="128"/>
        <v>0</v>
      </c>
      <c r="AM227" s="23">
        <f t="shared" si="127"/>
        <v>0</v>
      </c>
      <c r="AN227" s="23">
        <f t="shared" si="138"/>
        <v>0</v>
      </c>
      <c r="AO227" s="23">
        <f t="shared" si="132"/>
        <v>0</v>
      </c>
      <c r="AP227" s="23">
        <f t="shared" ref="AP227:AP239" si="139">E224*((1+$C$23)^3-1)</f>
        <v>0</v>
      </c>
      <c r="AQ227" s="23">
        <f t="shared" ref="AQ227" si="140">E221*((1+$C$23)^6-1)</f>
        <v>0</v>
      </c>
      <c r="AR227" s="23">
        <f>E215*((1+$C$23)^12-1)</f>
        <v>0</v>
      </c>
      <c r="AU227" s="23">
        <f t="shared" si="130"/>
        <v>13986.111111111111</v>
      </c>
      <c r="AV227" s="23">
        <f t="shared" si="129"/>
        <v>13986.111111111111</v>
      </c>
      <c r="AW227" s="23">
        <f>$E$23/($B$17-$B$16)*2</f>
        <v>27972.222222222223</v>
      </c>
      <c r="AX227" s="23">
        <f>$E$23/($B$17-$B$16)*3</f>
        <v>41958.333333333336</v>
      </c>
      <c r="AY227" s="23">
        <f>$E$23/($B$17-$B$16)*6</f>
        <v>83916.666666666672</v>
      </c>
      <c r="AZ227" s="23">
        <f>$E$23/($B$17-$B$16)*12</f>
        <v>167833.33333333334</v>
      </c>
    </row>
    <row r="228" spans="1:52" x14ac:dyDescent="0.25">
      <c r="A228" s="68"/>
      <c r="B228" s="68"/>
      <c r="C228" s="158"/>
      <c r="D228" s="158"/>
      <c r="E228" s="157"/>
      <c r="F228" s="158"/>
      <c r="G228" s="160"/>
      <c r="AA228" s="2" t="str">
        <f t="shared" si="135"/>
        <v/>
      </c>
      <c r="AC228" s="9" t="str">
        <f t="shared" si="123"/>
        <v/>
      </c>
      <c r="AD228" s="9" t="str">
        <f t="shared" si="133"/>
        <v/>
      </c>
      <c r="AF228" s="2" t="str">
        <f t="shared" si="107"/>
        <v/>
      </c>
      <c r="AG228" s="9" t="str">
        <f t="shared" si="136"/>
        <v/>
      </c>
      <c r="AH228" s="9" t="str">
        <f t="shared" si="137"/>
        <v/>
      </c>
      <c r="AL228" s="23">
        <f t="shared" si="128"/>
        <v>0</v>
      </c>
      <c r="AM228" s="23">
        <f t="shared" si="127"/>
        <v>0</v>
      </c>
      <c r="AN228" s="23">
        <f t="shared" si="138"/>
        <v>0</v>
      </c>
      <c r="AO228" s="23">
        <v>0</v>
      </c>
      <c r="AP228" s="23">
        <v>0</v>
      </c>
      <c r="AQ228" s="23">
        <v>0</v>
      </c>
      <c r="AR228" s="23">
        <v>0</v>
      </c>
      <c r="AU228" s="23">
        <f t="shared" si="130"/>
        <v>13986.111111111111</v>
      </c>
      <c r="AV228" s="23">
        <f t="shared" si="129"/>
        <v>13986.111111111111</v>
      </c>
      <c r="AW228" s="23">
        <v>0</v>
      </c>
      <c r="AX228" s="23">
        <v>0</v>
      </c>
      <c r="AY228" s="23">
        <v>0</v>
      </c>
      <c r="AZ228" s="23">
        <v>0</v>
      </c>
    </row>
    <row r="229" spans="1:52" x14ac:dyDescent="0.25">
      <c r="A229" s="68"/>
      <c r="B229" s="68"/>
      <c r="C229" s="158"/>
      <c r="D229" s="158"/>
      <c r="E229" s="157"/>
      <c r="F229" s="158"/>
      <c r="G229" s="160"/>
      <c r="AA229" s="2" t="str">
        <f t="shared" si="135"/>
        <v/>
      </c>
      <c r="AC229" s="9" t="str">
        <f t="shared" si="123"/>
        <v/>
      </c>
      <c r="AD229" s="9" t="str">
        <f t="shared" si="133"/>
        <v/>
      </c>
      <c r="AF229" s="2" t="str">
        <f t="shared" si="107"/>
        <v/>
      </c>
      <c r="AG229" s="9" t="str">
        <f t="shared" si="136"/>
        <v/>
      </c>
      <c r="AH229" s="9" t="str">
        <f t="shared" si="137"/>
        <v/>
      </c>
      <c r="AL229" s="23">
        <f t="shared" si="128"/>
        <v>0</v>
      </c>
      <c r="AM229" s="23">
        <f t="shared" si="127"/>
        <v>0</v>
      </c>
      <c r="AN229" s="23">
        <f t="shared" si="138"/>
        <v>0</v>
      </c>
      <c r="AO229" s="23">
        <f t="shared" si="132"/>
        <v>0</v>
      </c>
      <c r="AP229" s="23">
        <v>0</v>
      </c>
      <c r="AQ229" s="23">
        <v>0</v>
      </c>
      <c r="AR229" s="23">
        <v>0</v>
      </c>
      <c r="AU229" s="23">
        <f t="shared" si="130"/>
        <v>13986.111111111111</v>
      </c>
      <c r="AV229" s="23">
        <f t="shared" si="129"/>
        <v>13986.111111111111</v>
      </c>
      <c r="AW229" s="23">
        <f>$E$23/($B$17-$B$16)*2</f>
        <v>27972.222222222223</v>
      </c>
      <c r="AX229" s="23">
        <v>0</v>
      </c>
      <c r="AY229" s="23">
        <v>0</v>
      </c>
      <c r="AZ229" s="23">
        <v>0</v>
      </c>
    </row>
    <row r="230" spans="1:52" x14ac:dyDescent="0.25">
      <c r="A230" s="68"/>
      <c r="B230" s="68"/>
      <c r="C230" s="158"/>
      <c r="D230" s="158"/>
      <c r="E230" s="157"/>
      <c r="F230" s="158"/>
      <c r="G230" s="160"/>
      <c r="AA230" s="2" t="str">
        <f t="shared" si="135"/>
        <v/>
      </c>
      <c r="AC230" s="9" t="str">
        <f t="shared" si="123"/>
        <v/>
      </c>
      <c r="AD230" s="9" t="str">
        <f t="shared" si="133"/>
        <v/>
      </c>
      <c r="AG230" s="9" t="str">
        <f t="shared" si="136"/>
        <v/>
      </c>
      <c r="AH230" s="9" t="str">
        <f t="shared" si="137"/>
        <v/>
      </c>
      <c r="AL230" s="23">
        <f t="shared" si="128"/>
        <v>0</v>
      </c>
      <c r="AM230" s="23">
        <f t="shared" si="127"/>
        <v>0</v>
      </c>
      <c r="AN230" s="23">
        <f t="shared" si="138"/>
        <v>0</v>
      </c>
      <c r="AO230" s="23">
        <v>0</v>
      </c>
      <c r="AP230" s="23">
        <f t="shared" si="139"/>
        <v>0</v>
      </c>
      <c r="AQ230" s="23">
        <v>0</v>
      </c>
      <c r="AR230" s="23">
        <v>0</v>
      </c>
      <c r="AU230" s="23">
        <f t="shared" si="130"/>
        <v>13986.111111111111</v>
      </c>
      <c r="AV230" s="23">
        <f t="shared" si="129"/>
        <v>13986.111111111111</v>
      </c>
      <c r="AW230" s="23">
        <v>0</v>
      </c>
      <c r="AX230" s="23">
        <f>$E$23/($B$17-$B$16)*3</f>
        <v>41958.333333333336</v>
      </c>
      <c r="AY230" s="23">
        <v>0</v>
      </c>
      <c r="AZ230" s="23">
        <v>0</v>
      </c>
    </row>
    <row r="231" spans="1:52" x14ac:dyDescent="0.25">
      <c r="A231" s="68"/>
      <c r="B231" s="68"/>
      <c r="C231" s="158"/>
      <c r="D231" s="158"/>
      <c r="E231" s="157"/>
      <c r="F231" s="158"/>
      <c r="G231" s="160"/>
      <c r="AA231" s="2" t="str">
        <f t="shared" si="135"/>
        <v/>
      </c>
      <c r="AC231" s="9" t="str">
        <f t="shared" si="123"/>
        <v/>
      </c>
      <c r="AD231" s="9" t="str">
        <f t="shared" si="133"/>
        <v/>
      </c>
      <c r="AG231" s="9" t="str">
        <f t="shared" si="136"/>
        <v/>
      </c>
      <c r="AH231" s="9" t="str">
        <f t="shared" si="137"/>
        <v/>
      </c>
      <c r="AL231" s="23">
        <f t="shared" si="128"/>
        <v>0</v>
      </c>
      <c r="AM231" s="23">
        <f t="shared" si="127"/>
        <v>0</v>
      </c>
      <c r="AN231" s="23">
        <f t="shared" si="138"/>
        <v>0</v>
      </c>
      <c r="AO231" s="23">
        <f t="shared" si="132"/>
        <v>0</v>
      </c>
      <c r="AP231" s="23">
        <v>0</v>
      </c>
      <c r="AQ231" s="23">
        <v>0</v>
      </c>
      <c r="AR231" s="23">
        <v>0</v>
      </c>
      <c r="AU231" s="23">
        <f t="shared" si="130"/>
        <v>13986.111111111111</v>
      </c>
      <c r="AV231" s="23">
        <f t="shared" si="129"/>
        <v>13986.111111111111</v>
      </c>
      <c r="AW231" s="23">
        <f>$E$23/($B$17-$B$16)*2</f>
        <v>27972.222222222223</v>
      </c>
      <c r="AX231" s="23">
        <v>0</v>
      </c>
      <c r="AY231" s="23">
        <v>0</v>
      </c>
      <c r="AZ231" s="23">
        <v>0</v>
      </c>
    </row>
    <row r="232" spans="1:52" x14ac:dyDescent="0.25">
      <c r="A232" s="68"/>
      <c r="B232" s="68"/>
      <c r="C232" s="158"/>
      <c r="D232" s="158"/>
      <c r="E232" s="157"/>
      <c r="F232" s="158"/>
      <c r="G232" s="160"/>
      <c r="AA232" s="2" t="str">
        <f t="shared" si="135"/>
        <v/>
      </c>
      <c r="AC232" s="9" t="str">
        <f t="shared" si="123"/>
        <v/>
      </c>
      <c r="AD232" s="9" t="str">
        <f t="shared" si="133"/>
        <v/>
      </c>
      <c r="AG232" s="9" t="str">
        <f t="shared" si="136"/>
        <v/>
      </c>
      <c r="AH232" s="9" t="str">
        <f t="shared" si="137"/>
        <v/>
      </c>
      <c r="AL232" s="23">
        <f t="shared" si="128"/>
        <v>0</v>
      </c>
      <c r="AM232" s="23">
        <f t="shared" si="127"/>
        <v>0</v>
      </c>
      <c r="AN232" s="23">
        <f t="shared" si="138"/>
        <v>0</v>
      </c>
      <c r="AO232" s="23">
        <v>0</v>
      </c>
      <c r="AP232" s="23">
        <v>0</v>
      </c>
      <c r="AQ232" s="23">
        <v>0</v>
      </c>
      <c r="AR232" s="23">
        <v>0</v>
      </c>
      <c r="AU232" s="23">
        <f t="shared" si="130"/>
        <v>13986.111111111111</v>
      </c>
      <c r="AV232" s="23">
        <f t="shared" si="129"/>
        <v>13986.111111111111</v>
      </c>
      <c r="AW232" s="23">
        <v>0</v>
      </c>
      <c r="AX232" s="23">
        <v>0</v>
      </c>
      <c r="AY232" s="23">
        <v>0</v>
      </c>
      <c r="AZ232" s="23">
        <v>0</v>
      </c>
    </row>
    <row r="233" spans="1:52" x14ac:dyDescent="0.25">
      <c r="A233" s="68"/>
      <c r="B233" s="68"/>
      <c r="C233" s="158"/>
      <c r="D233" s="158"/>
      <c r="E233" s="157"/>
      <c r="F233" s="158"/>
      <c r="G233" s="160"/>
      <c r="AA233" s="2" t="str">
        <f t="shared" si="135"/>
        <v/>
      </c>
      <c r="AC233" s="9" t="str">
        <f t="shared" si="123"/>
        <v/>
      </c>
      <c r="AD233" s="9" t="str">
        <f t="shared" si="133"/>
        <v/>
      </c>
      <c r="AG233" s="9" t="str">
        <f t="shared" si="136"/>
        <v/>
      </c>
      <c r="AH233" s="9" t="str">
        <f t="shared" si="137"/>
        <v/>
      </c>
      <c r="AL233" s="23">
        <f t="shared" si="128"/>
        <v>0</v>
      </c>
      <c r="AM233" s="23">
        <f t="shared" si="127"/>
        <v>0</v>
      </c>
      <c r="AN233" s="23">
        <f t="shared" si="138"/>
        <v>0</v>
      </c>
      <c r="AO233" s="23">
        <f>E231*((1+$C$23)^2-1)</f>
        <v>0</v>
      </c>
      <c r="AP233" s="23">
        <f t="shared" si="139"/>
        <v>0</v>
      </c>
      <c r="AQ233" s="23">
        <f>E227*((1+$C$23)^6-1)</f>
        <v>0</v>
      </c>
      <c r="AR233" s="23">
        <v>0</v>
      </c>
      <c r="AU233" s="23">
        <f t="shared" si="130"/>
        <v>13986.111111111111</v>
      </c>
      <c r="AV233" s="23">
        <f t="shared" si="129"/>
        <v>13986.111111111111</v>
      </c>
      <c r="AW233" s="23">
        <f>$E$23/($B$17-$B$16)*2</f>
        <v>27972.222222222223</v>
      </c>
      <c r="AX233" s="23">
        <f>$E$23/($B$17-$B$16)*3</f>
        <v>41958.333333333336</v>
      </c>
      <c r="AY233" s="23">
        <f>$E$23/($B$17-$B$16)*6</f>
        <v>83916.666666666672</v>
      </c>
      <c r="AZ233" s="23">
        <v>0</v>
      </c>
    </row>
    <row r="234" spans="1:52" x14ac:dyDescent="0.25">
      <c r="A234" s="68"/>
      <c r="B234" s="68"/>
      <c r="C234" s="158"/>
      <c r="D234" s="158"/>
      <c r="E234" s="157"/>
      <c r="F234" s="158"/>
      <c r="G234" s="160"/>
      <c r="AA234" s="2" t="str">
        <f t="shared" si="135"/>
        <v/>
      </c>
      <c r="AC234" s="9" t="str">
        <f t="shared" si="123"/>
        <v/>
      </c>
      <c r="AD234" s="9" t="str">
        <f t="shared" si="133"/>
        <v/>
      </c>
      <c r="AG234" s="9" t="str">
        <f t="shared" si="136"/>
        <v/>
      </c>
      <c r="AH234" s="9" t="str">
        <f t="shared" si="137"/>
        <v/>
      </c>
      <c r="AL234" s="23">
        <f t="shared" si="128"/>
        <v>0</v>
      </c>
      <c r="AM234" s="23">
        <f t="shared" si="127"/>
        <v>0</v>
      </c>
      <c r="AN234" s="23">
        <f t="shared" si="138"/>
        <v>0</v>
      </c>
      <c r="AO234" s="23">
        <v>0</v>
      </c>
      <c r="AP234" s="23">
        <v>0</v>
      </c>
      <c r="AQ234" s="23">
        <v>0</v>
      </c>
      <c r="AR234" s="23">
        <v>0</v>
      </c>
      <c r="AU234" s="23">
        <f t="shared" si="130"/>
        <v>13986.111111111111</v>
      </c>
      <c r="AV234" s="23">
        <f t="shared" si="129"/>
        <v>13986.111111111111</v>
      </c>
      <c r="AW234" s="23">
        <v>0</v>
      </c>
      <c r="AX234" s="23">
        <v>0</v>
      </c>
      <c r="AY234" s="23">
        <v>0</v>
      </c>
      <c r="AZ234" s="23">
        <v>0</v>
      </c>
    </row>
    <row r="235" spans="1:52" x14ac:dyDescent="0.25">
      <c r="A235" s="68"/>
      <c r="B235" s="68"/>
      <c r="C235" s="158"/>
      <c r="D235" s="158"/>
      <c r="E235" s="157"/>
      <c r="F235" s="158"/>
      <c r="G235" s="160"/>
      <c r="AA235" s="2" t="str">
        <f t="shared" si="135"/>
        <v/>
      </c>
      <c r="AC235" s="9" t="str">
        <f t="shared" ref="AC235:AC244" si="141">IF(AB235="","",E229)</f>
        <v/>
      </c>
      <c r="AD235" s="9" t="str">
        <f t="shared" si="133"/>
        <v/>
      </c>
      <c r="AG235" s="9" t="str">
        <f t="shared" si="136"/>
        <v/>
      </c>
      <c r="AH235" s="9" t="str">
        <f t="shared" si="137"/>
        <v/>
      </c>
      <c r="AL235" s="23">
        <f t="shared" si="128"/>
        <v>0</v>
      </c>
      <c r="AM235" s="23">
        <f t="shared" si="127"/>
        <v>0</v>
      </c>
      <c r="AN235" s="23">
        <f t="shared" si="138"/>
        <v>0</v>
      </c>
      <c r="AO235" s="23">
        <f t="shared" ref="AO235:AO243" si="142">E233*((1+$C$23)^2-1)</f>
        <v>0</v>
      </c>
      <c r="AP235" s="23">
        <v>0</v>
      </c>
      <c r="AQ235" s="23">
        <v>0</v>
      </c>
      <c r="AR235" s="23">
        <v>0</v>
      </c>
      <c r="AU235" s="23">
        <f t="shared" si="130"/>
        <v>13986.111111111111</v>
      </c>
      <c r="AV235" s="23">
        <f t="shared" si="129"/>
        <v>13986.111111111111</v>
      </c>
      <c r="AW235" s="23">
        <f>$E$23/($B$17-$B$16)*2</f>
        <v>27972.222222222223</v>
      </c>
      <c r="AX235" s="23">
        <v>0</v>
      </c>
      <c r="AY235" s="23">
        <v>0</v>
      </c>
      <c r="AZ235" s="23">
        <v>0</v>
      </c>
    </row>
    <row r="236" spans="1:52" x14ac:dyDescent="0.25">
      <c r="A236" s="68"/>
      <c r="B236" s="68"/>
      <c r="C236" s="158"/>
      <c r="D236" s="158"/>
      <c r="E236" s="157"/>
      <c r="F236" s="158"/>
      <c r="G236" s="160"/>
      <c r="AA236" s="2" t="str">
        <f t="shared" si="135"/>
        <v/>
      </c>
      <c r="AC236" s="9" t="str">
        <f t="shared" si="141"/>
        <v/>
      </c>
      <c r="AD236" s="9" t="str">
        <f t="shared" si="133"/>
        <v/>
      </c>
      <c r="AG236" s="9" t="str">
        <f t="shared" si="136"/>
        <v/>
      </c>
      <c r="AH236" s="9" t="str">
        <f t="shared" si="137"/>
        <v/>
      </c>
      <c r="AL236" s="23">
        <f t="shared" si="128"/>
        <v>0</v>
      </c>
      <c r="AM236" s="23">
        <f t="shared" si="127"/>
        <v>0</v>
      </c>
      <c r="AN236" s="23">
        <f t="shared" si="138"/>
        <v>0</v>
      </c>
      <c r="AO236" s="23">
        <v>0</v>
      </c>
      <c r="AP236" s="23">
        <f t="shared" si="139"/>
        <v>0</v>
      </c>
      <c r="AQ236" s="23">
        <v>0</v>
      </c>
      <c r="AR236" s="23">
        <v>0</v>
      </c>
      <c r="AU236" s="23">
        <f t="shared" si="130"/>
        <v>13986.111111111111</v>
      </c>
      <c r="AV236" s="23">
        <f t="shared" si="129"/>
        <v>13986.111111111111</v>
      </c>
      <c r="AW236" s="23">
        <v>0</v>
      </c>
      <c r="AX236" s="23">
        <f>$E$23/($B$17-$B$16)*3</f>
        <v>41958.333333333336</v>
      </c>
      <c r="AY236" s="23">
        <v>0</v>
      </c>
      <c r="AZ236" s="23">
        <v>0</v>
      </c>
    </row>
    <row r="237" spans="1:52" x14ac:dyDescent="0.25">
      <c r="A237" s="68"/>
      <c r="B237" s="68"/>
      <c r="C237" s="158"/>
      <c r="D237" s="158"/>
      <c r="E237" s="157"/>
      <c r="F237" s="158"/>
      <c r="G237" s="160"/>
      <c r="AA237" s="2" t="str">
        <f t="shared" si="135"/>
        <v/>
      </c>
      <c r="AC237" s="9" t="str">
        <f t="shared" si="141"/>
        <v/>
      </c>
      <c r="AD237" s="9" t="str">
        <f t="shared" si="133"/>
        <v/>
      </c>
      <c r="AG237" s="9" t="str">
        <f t="shared" si="136"/>
        <v/>
      </c>
      <c r="AH237" s="9" t="str">
        <f t="shared" si="137"/>
        <v/>
      </c>
      <c r="AL237" s="23">
        <f t="shared" si="128"/>
        <v>0</v>
      </c>
      <c r="AM237" s="23">
        <f t="shared" si="127"/>
        <v>0</v>
      </c>
      <c r="AN237" s="23">
        <f t="shared" si="138"/>
        <v>0</v>
      </c>
      <c r="AO237" s="23">
        <f t="shared" si="142"/>
        <v>0</v>
      </c>
      <c r="AP237" s="23">
        <v>0</v>
      </c>
      <c r="AQ237" s="23">
        <v>0</v>
      </c>
      <c r="AR237" s="23">
        <v>0</v>
      </c>
      <c r="AU237" s="23">
        <f t="shared" si="130"/>
        <v>13986.111111111111</v>
      </c>
      <c r="AV237" s="23">
        <f t="shared" si="129"/>
        <v>13986.111111111111</v>
      </c>
      <c r="AW237" s="23">
        <f>$E$23/($B$17-$B$16)*2</f>
        <v>27972.222222222223</v>
      </c>
      <c r="AX237" s="23">
        <v>0</v>
      </c>
      <c r="AY237" s="23">
        <v>0</v>
      </c>
      <c r="AZ237" s="23">
        <v>0</v>
      </c>
    </row>
    <row r="238" spans="1:52" x14ac:dyDescent="0.25">
      <c r="A238" s="68"/>
      <c r="B238" s="68"/>
      <c r="C238" s="158"/>
      <c r="D238" s="158"/>
      <c r="E238" s="157"/>
      <c r="F238" s="158"/>
      <c r="G238" s="160"/>
      <c r="AA238" s="2" t="str">
        <f t="shared" si="135"/>
        <v/>
      </c>
      <c r="AC238" s="9" t="str">
        <f t="shared" si="141"/>
        <v/>
      </c>
      <c r="AD238" s="9" t="str">
        <f t="shared" si="133"/>
        <v/>
      </c>
      <c r="AG238" s="9" t="str">
        <f t="shared" si="136"/>
        <v/>
      </c>
      <c r="AH238" s="9" t="str">
        <f t="shared" si="137"/>
        <v/>
      </c>
      <c r="AL238" s="23">
        <f t="shared" si="128"/>
        <v>0</v>
      </c>
      <c r="AM238" s="23">
        <f t="shared" si="127"/>
        <v>0</v>
      </c>
      <c r="AN238" s="23">
        <f t="shared" si="138"/>
        <v>0</v>
      </c>
      <c r="AO238" s="23">
        <v>0</v>
      </c>
      <c r="AP238" s="23">
        <v>0</v>
      </c>
      <c r="AQ238" s="23">
        <v>0</v>
      </c>
      <c r="AR238" s="23">
        <v>0</v>
      </c>
      <c r="AU238" s="23">
        <f t="shared" si="130"/>
        <v>13986.111111111111</v>
      </c>
      <c r="AV238" s="23">
        <f t="shared" si="129"/>
        <v>13986.111111111111</v>
      </c>
      <c r="AW238" s="23">
        <v>0</v>
      </c>
      <c r="AX238" s="23">
        <v>0</v>
      </c>
      <c r="AY238" s="23">
        <v>0</v>
      </c>
      <c r="AZ238" s="23">
        <v>0</v>
      </c>
    </row>
    <row r="239" spans="1:52" x14ac:dyDescent="0.25">
      <c r="A239" s="68"/>
      <c r="B239" s="68"/>
      <c r="C239" s="158"/>
      <c r="D239" s="158"/>
      <c r="E239" s="157"/>
      <c r="F239" s="158"/>
      <c r="G239" s="160"/>
      <c r="AA239" s="2" t="str">
        <f t="shared" si="135"/>
        <v/>
      </c>
      <c r="AC239" s="9" t="str">
        <f t="shared" si="141"/>
        <v/>
      </c>
      <c r="AD239" s="9" t="str">
        <f t="shared" si="133"/>
        <v/>
      </c>
      <c r="AG239" s="9" t="str">
        <f t="shared" si="136"/>
        <v/>
      </c>
      <c r="AH239" s="9" t="str">
        <f t="shared" si="137"/>
        <v/>
      </c>
      <c r="AL239" s="23">
        <f t="shared" si="128"/>
        <v>0</v>
      </c>
      <c r="AM239" s="23">
        <f t="shared" si="127"/>
        <v>0</v>
      </c>
      <c r="AN239" s="23">
        <f t="shared" si="138"/>
        <v>0</v>
      </c>
      <c r="AO239" s="23">
        <f t="shared" si="142"/>
        <v>0</v>
      </c>
      <c r="AP239" s="23">
        <f t="shared" si="139"/>
        <v>0</v>
      </c>
      <c r="AQ239" s="23">
        <f t="shared" ref="AQ239" si="143">E233*((1+$C$23)^6-1)</f>
        <v>0</v>
      </c>
      <c r="AR239" s="23">
        <f>E227*((1+$C$23)^12-1)</f>
        <v>0</v>
      </c>
      <c r="AU239" s="23">
        <f t="shared" si="130"/>
        <v>13986.111111111111</v>
      </c>
      <c r="AV239" s="23">
        <f t="shared" si="129"/>
        <v>13986.111111111111</v>
      </c>
      <c r="AW239" s="23">
        <f>$E$23/($B$17-$B$16)*2</f>
        <v>27972.222222222223</v>
      </c>
      <c r="AX239" s="23">
        <f>$E$23/($B$17-$B$16)*3</f>
        <v>41958.333333333336</v>
      </c>
      <c r="AY239" s="23">
        <f>$E$23/($B$17-$B$16)*6</f>
        <v>83916.666666666672</v>
      </c>
      <c r="AZ239" s="23">
        <f>$E$23/($B$17-$B$16)*12</f>
        <v>167833.33333333334</v>
      </c>
    </row>
    <row r="240" spans="1:52" x14ac:dyDescent="0.25">
      <c r="A240" s="68"/>
      <c r="B240" s="68"/>
      <c r="C240" s="158"/>
      <c r="D240" s="158"/>
      <c r="E240" s="157"/>
      <c r="F240" s="158"/>
      <c r="G240" s="160"/>
      <c r="AA240" s="2" t="str">
        <f t="shared" si="135"/>
        <v/>
      </c>
      <c r="AC240" s="9" t="str">
        <f t="shared" si="141"/>
        <v/>
      </c>
      <c r="AD240" s="9" t="str">
        <f t="shared" si="133"/>
        <v/>
      </c>
      <c r="AG240" s="9" t="str">
        <f t="shared" si="136"/>
        <v/>
      </c>
      <c r="AH240" s="9" t="str">
        <f t="shared" si="137"/>
        <v/>
      </c>
      <c r="AL240" s="23">
        <f t="shared" si="128"/>
        <v>0</v>
      </c>
      <c r="AM240" s="23">
        <f>IF($AN$17=1,AN240,IF($AN$17=2,AO240,IF($AN$17=3,AP240,IF($AN$17=4,AQ240,IF($AN$17=5,AR240)))))</f>
        <v>0</v>
      </c>
      <c r="AN240" s="23">
        <f t="shared" si="138"/>
        <v>0</v>
      </c>
      <c r="AO240" s="23">
        <v>0</v>
      </c>
      <c r="AP240" s="23">
        <v>0</v>
      </c>
      <c r="AQ240" s="23">
        <v>0</v>
      </c>
      <c r="AR240" s="23">
        <v>0</v>
      </c>
      <c r="AU240" s="23">
        <f t="shared" si="130"/>
        <v>13986.111111111111</v>
      </c>
      <c r="AV240" s="23">
        <f t="shared" si="129"/>
        <v>13986.111111111111</v>
      </c>
      <c r="AW240" s="23">
        <v>0</v>
      </c>
      <c r="AX240" s="23">
        <v>0</v>
      </c>
      <c r="AY240" s="23">
        <v>0</v>
      </c>
      <c r="AZ240" s="23">
        <v>0</v>
      </c>
    </row>
    <row r="241" spans="1:52" x14ac:dyDescent="0.25">
      <c r="A241" s="68"/>
      <c r="B241" s="68"/>
      <c r="C241" s="158"/>
      <c r="D241" s="158"/>
      <c r="E241" s="157"/>
      <c r="F241" s="158"/>
      <c r="G241" s="160"/>
      <c r="AA241" s="2" t="str">
        <f t="shared" si="135"/>
        <v/>
      </c>
      <c r="AC241" s="9" t="str">
        <f t="shared" si="141"/>
        <v/>
      </c>
      <c r="AD241" s="9" t="str">
        <f t="shared" si="133"/>
        <v/>
      </c>
      <c r="AG241" s="9" t="str">
        <f t="shared" si="136"/>
        <v/>
      </c>
      <c r="AH241" s="9" t="str">
        <f t="shared" si="137"/>
        <v/>
      </c>
      <c r="AL241" s="23">
        <f t="shared" si="128"/>
        <v>0</v>
      </c>
      <c r="AM241" s="23">
        <f t="shared" ref="AM241:AM266" si="144">IF($AN$17=1,AN241,IF($AN$17=2,AO241,IF($AN$17=3,AP241,IF($AN$17=4,AQ241,IF($AN$17=5,AR241)))))</f>
        <v>0</v>
      </c>
      <c r="AN241" s="23">
        <f t="shared" si="138"/>
        <v>0</v>
      </c>
      <c r="AO241" s="23">
        <f t="shared" si="142"/>
        <v>0</v>
      </c>
      <c r="AP241" s="23">
        <v>0</v>
      </c>
      <c r="AQ241" s="23">
        <v>0</v>
      </c>
      <c r="AR241" s="23">
        <v>0</v>
      </c>
      <c r="AU241" s="23">
        <f t="shared" si="130"/>
        <v>13986.111111111111</v>
      </c>
      <c r="AV241" s="23">
        <f t="shared" si="129"/>
        <v>13986.111111111111</v>
      </c>
      <c r="AW241" s="23">
        <f>$E$23/($B$17-$B$16)*2</f>
        <v>27972.222222222223</v>
      </c>
      <c r="AX241" s="23">
        <v>0</v>
      </c>
      <c r="AY241" s="23">
        <v>0</v>
      </c>
      <c r="AZ241" s="23">
        <v>0</v>
      </c>
    </row>
    <row r="242" spans="1:52" x14ac:dyDescent="0.25">
      <c r="A242" s="68"/>
      <c r="B242" s="68"/>
      <c r="C242" s="158"/>
      <c r="D242" s="158"/>
      <c r="E242" s="157"/>
      <c r="F242" s="158"/>
      <c r="G242" s="160"/>
      <c r="AA242" s="2" t="str">
        <f t="shared" si="135"/>
        <v/>
      </c>
      <c r="AC242" s="9" t="str">
        <f t="shared" si="141"/>
        <v/>
      </c>
      <c r="AD242" s="9" t="str">
        <f t="shared" si="133"/>
        <v/>
      </c>
      <c r="AG242" s="9" t="str">
        <f t="shared" si="136"/>
        <v/>
      </c>
      <c r="AH242" s="9" t="str">
        <f t="shared" si="137"/>
        <v/>
      </c>
      <c r="AL242" s="23">
        <f t="shared" si="128"/>
        <v>0</v>
      </c>
      <c r="AM242" s="23">
        <f t="shared" si="144"/>
        <v>0</v>
      </c>
      <c r="AN242" s="23">
        <f t="shared" si="138"/>
        <v>0</v>
      </c>
      <c r="AO242" s="23">
        <v>0</v>
      </c>
      <c r="AP242" s="23">
        <f>E239*((1+$C$23)^3-1)</f>
        <v>0</v>
      </c>
      <c r="AQ242" s="23">
        <v>0</v>
      </c>
      <c r="AR242" s="23">
        <v>0</v>
      </c>
      <c r="AU242" s="23">
        <f t="shared" si="130"/>
        <v>13986.111111111111</v>
      </c>
      <c r="AV242" s="23">
        <f t="shared" si="129"/>
        <v>13986.111111111111</v>
      </c>
      <c r="AW242" s="23">
        <v>0</v>
      </c>
      <c r="AX242" s="23">
        <f>$E$23/($B$17-$B$16)*3</f>
        <v>41958.333333333336</v>
      </c>
      <c r="AY242" s="23">
        <v>0</v>
      </c>
      <c r="AZ242" s="23">
        <v>0</v>
      </c>
    </row>
    <row r="243" spans="1:52" x14ac:dyDescent="0.25">
      <c r="A243" s="68"/>
      <c r="B243" s="68"/>
      <c r="C243" s="158"/>
      <c r="D243" s="158"/>
      <c r="E243" s="157"/>
      <c r="F243" s="158"/>
      <c r="G243" s="160"/>
      <c r="AA243" s="2" t="str">
        <f t="shared" si="135"/>
        <v/>
      </c>
      <c r="AC243" s="9" t="str">
        <f t="shared" si="141"/>
        <v/>
      </c>
      <c r="AD243" s="9" t="str">
        <f t="shared" si="133"/>
        <v/>
      </c>
      <c r="AG243" s="9" t="str">
        <f t="shared" si="136"/>
        <v/>
      </c>
      <c r="AH243" s="9" t="str">
        <f t="shared" si="137"/>
        <v/>
      </c>
      <c r="AL243" s="23">
        <f t="shared" si="128"/>
        <v>0</v>
      </c>
      <c r="AM243" s="23">
        <f t="shared" si="144"/>
        <v>0</v>
      </c>
      <c r="AN243" s="23">
        <f t="shared" si="138"/>
        <v>0</v>
      </c>
      <c r="AO243" s="23">
        <f t="shared" si="142"/>
        <v>0</v>
      </c>
      <c r="AP243" s="23">
        <v>0</v>
      </c>
      <c r="AQ243" s="23">
        <v>0</v>
      </c>
      <c r="AR243" s="23">
        <v>0</v>
      </c>
      <c r="AU243" s="23">
        <f t="shared" si="130"/>
        <v>13986.111111111111</v>
      </c>
      <c r="AV243" s="23">
        <f t="shared" si="129"/>
        <v>13986.111111111111</v>
      </c>
      <c r="AW243" s="23">
        <f>$E$23/($B$17-$B$16)*2</f>
        <v>27972.222222222223</v>
      </c>
      <c r="AX243" s="23">
        <v>0</v>
      </c>
      <c r="AY243" s="23">
        <v>0</v>
      </c>
      <c r="AZ243" s="23">
        <v>0</v>
      </c>
    </row>
    <row r="244" spans="1:52" x14ac:dyDescent="0.25">
      <c r="A244" s="68"/>
      <c r="B244" s="68"/>
      <c r="C244" s="158"/>
      <c r="D244" s="158"/>
      <c r="E244" s="157"/>
      <c r="F244" s="158"/>
      <c r="G244" s="160"/>
      <c r="AA244" s="2" t="str">
        <f t="shared" si="135"/>
        <v/>
      </c>
      <c r="AC244" s="9" t="str">
        <f t="shared" si="141"/>
        <v/>
      </c>
      <c r="AD244" s="9" t="str">
        <f t="shared" si="133"/>
        <v/>
      </c>
      <c r="AG244" s="9" t="str">
        <f t="shared" si="136"/>
        <v/>
      </c>
      <c r="AH244" s="9" t="str">
        <f t="shared" si="137"/>
        <v/>
      </c>
      <c r="AL244" s="23">
        <f t="shared" si="128"/>
        <v>0</v>
      </c>
      <c r="AM244" s="23">
        <f t="shared" si="144"/>
        <v>0</v>
      </c>
      <c r="AN244" s="23">
        <f t="shared" si="138"/>
        <v>0</v>
      </c>
      <c r="AO244" s="23">
        <v>0</v>
      </c>
      <c r="AP244" s="23">
        <v>0</v>
      </c>
      <c r="AQ244" s="23">
        <v>0</v>
      </c>
      <c r="AR244" s="23">
        <v>0</v>
      </c>
      <c r="AU244" s="23">
        <f t="shared" si="130"/>
        <v>13986.111111111111</v>
      </c>
      <c r="AV244" s="23">
        <f t="shared" si="129"/>
        <v>13986.111111111111</v>
      </c>
      <c r="AW244" s="23">
        <v>0</v>
      </c>
      <c r="AX244" s="23">
        <v>0</v>
      </c>
      <c r="AY244" s="23">
        <v>0</v>
      </c>
      <c r="AZ244" s="23">
        <v>0</v>
      </c>
    </row>
    <row r="245" spans="1:52" x14ac:dyDescent="0.25">
      <c r="A245" s="68"/>
      <c r="B245" s="68"/>
      <c r="C245" s="158"/>
      <c r="D245" s="158"/>
      <c r="E245" s="157"/>
      <c r="F245" s="158"/>
      <c r="G245" s="160"/>
      <c r="AA245" s="2" t="str">
        <f t="shared" si="135"/>
        <v/>
      </c>
      <c r="AD245" s="9" t="str">
        <f t="shared" si="133"/>
        <v/>
      </c>
      <c r="AG245" s="9" t="str">
        <f t="shared" si="136"/>
        <v/>
      </c>
      <c r="AH245" s="9" t="str">
        <f t="shared" si="137"/>
        <v/>
      </c>
      <c r="AL245" s="23">
        <f t="shared" si="128"/>
        <v>0</v>
      </c>
      <c r="AM245" s="23">
        <f t="shared" si="144"/>
        <v>0</v>
      </c>
      <c r="AN245" s="23">
        <f t="shared" si="138"/>
        <v>0</v>
      </c>
      <c r="AO245" s="23">
        <f t="shared" ref="AO245:AO257" si="145">E243*((1+$C$23)^2-1)</f>
        <v>0</v>
      </c>
      <c r="AP245" s="23">
        <f t="shared" ref="AP245:AP251" si="146">E242*((1+$C$23)^3-1)</f>
        <v>0</v>
      </c>
      <c r="AQ245" s="23">
        <f t="shared" ref="AQ245" si="147">E239*((1+$C$23)^6-1)</f>
        <v>0</v>
      </c>
      <c r="AR245" s="23">
        <v>0</v>
      </c>
      <c r="AU245" s="23">
        <f t="shared" si="130"/>
        <v>13986.111111111111</v>
      </c>
      <c r="AV245" s="23">
        <f t="shared" si="129"/>
        <v>13986.111111111111</v>
      </c>
      <c r="AW245" s="23">
        <f>$E$23/($B$17-$B$16)*2</f>
        <v>27972.222222222223</v>
      </c>
      <c r="AX245" s="23">
        <f>$E$23/($B$17-$B$16)*3</f>
        <v>41958.333333333336</v>
      </c>
      <c r="AY245" s="23">
        <f>$E$23/($B$17-$B$16)*6</f>
        <v>83916.666666666672</v>
      </c>
      <c r="AZ245" s="23">
        <v>0</v>
      </c>
    </row>
    <row r="246" spans="1:52" x14ac:dyDescent="0.25">
      <c r="A246" s="68"/>
      <c r="B246" s="68"/>
      <c r="C246" s="158"/>
      <c r="D246" s="158"/>
      <c r="E246" s="157"/>
      <c r="F246" s="158"/>
      <c r="G246" s="160"/>
      <c r="AD246" s="9" t="str">
        <f t="shared" si="133"/>
        <v/>
      </c>
      <c r="AG246" s="9" t="str">
        <f t="shared" si="136"/>
        <v/>
      </c>
      <c r="AH246" s="9" t="str">
        <f t="shared" si="137"/>
        <v/>
      </c>
      <c r="AL246" s="23">
        <f t="shared" si="128"/>
        <v>0</v>
      </c>
      <c r="AM246" s="23">
        <f t="shared" si="144"/>
        <v>0</v>
      </c>
      <c r="AN246" s="23">
        <f t="shared" si="138"/>
        <v>0</v>
      </c>
      <c r="AO246" s="23">
        <v>0</v>
      </c>
      <c r="AP246" s="23">
        <v>0</v>
      </c>
      <c r="AQ246" s="23">
        <v>0</v>
      </c>
      <c r="AR246" s="23">
        <v>0</v>
      </c>
      <c r="AU246" s="23">
        <f t="shared" si="130"/>
        <v>13986.111111111111</v>
      </c>
      <c r="AV246" s="23">
        <f t="shared" si="129"/>
        <v>13986.111111111111</v>
      </c>
      <c r="AW246" s="23">
        <v>0</v>
      </c>
      <c r="AX246" s="23">
        <v>0</v>
      </c>
      <c r="AY246" s="23">
        <v>0</v>
      </c>
      <c r="AZ246" s="23">
        <v>0</v>
      </c>
    </row>
    <row r="247" spans="1:52" x14ac:dyDescent="0.25">
      <c r="A247" s="68"/>
      <c r="B247" s="68"/>
      <c r="C247" s="158"/>
      <c r="D247" s="158"/>
      <c r="E247" s="157"/>
      <c r="F247" s="158"/>
      <c r="G247" s="160"/>
      <c r="AD247" s="9" t="str">
        <f t="shared" si="133"/>
        <v/>
      </c>
      <c r="AG247" s="9" t="str">
        <f t="shared" si="136"/>
        <v/>
      </c>
      <c r="AH247" s="9" t="str">
        <f t="shared" si="137"/>
        <v/>
      </c>
      <c r="AL247" s="23">
        <f t="shared" si="128"/>
        <v>0</v>
      </c>
      <c r="AM247" s="23">
        <f t="shared" si="144"/>
        <v>0</v>
      </c>
      <c r="AN247" s="23">
        <f t="shared" si="138"/>
        <v>0</v>
      </c>
      <c r="AO247" s="23">
        <f t="shared" si="145"/>
        <v>0</v>
      </c>
      <c r="AP247" s="23">
        <v>0</v>
      </c>
      <c r="AQ247" s="23">
        <v>0</v>
      </c>
      <c r="AR247" s="23">
        <v>0</v>
      </c>
      <c r="AU247" s="23">
        <f t="shared" si="130"/>
        <v>13986.111111111111</v>
      </c>
      <c r="AV247" s="23">
        <f t="shared" si="129"/>
        <v>13986.111111111111</v>
      </c>
      <c r="AW247" s="23">
        <f>$E$23/($B$17-$B$16)*2</f>
        <v>27972.222222222223</v>
      </c>
      <c r="AX247" s="23">
        <v>0</v>
      </c>
      <c r="AY247" s="23">
        <v>0</v>
      </c>
      <c r="AZ247" s="23">
        <v>0</v>
      </c>
    </row>
    <row r="248" spans="1:52" x14ac:dyDescent="0.25">
      <c r="A248" s="68"/>
      <c r="B248" s="68"/>
      <c r="C248" s="158"/>
      <c r="D248" s="158"/>
      <c r="E248" s="157"/>
      <c r="F248" s="158"/>
      <c r="G248" s="160"/>
      <c r="AD248" s="9" t="str">
        <f t="shared" si="133"/>
        <v/>
      </c>
      <c r="AG248" s="9" t="str">
        <f t="shared" si="136"/>
        <v/>
      </c>
      <c r="AH248" s="9" t="str">
        <f t="shared" si="137"/>
        <v/>
      </c>
      <c r="AL248" s="23">
        <f t="shared" si="128"/>
        <v>0</v>
      </c>
      <c r="AM248" s="23">
        <f t="shared" si="144"/>
        <v>0</v>
      </c>
      <c r="AN248" s="23">
        <f t="shared" si="138"/>
        <v>0</v>
      </c>
      <c r="AO248" s="23">
        <v>0</v>
      </c>
      <c r="AP248" s="23">
        <f t="shared" si="146"/>
        <v>0</v>
      </c>
      <c r="AQ248" s="23">
        <v>0</v>
      </c>
      <c r="AR248" s="23">
        <v>0</v>
      </c>
      <c r="AU248" s="23">
        <f t="shared" si="130"/>
        <v>13986.111111111111</v>
      </c>
      <c r="AV248" s="23">
        <f t="shared" si="129"/>
        <v>13986.111111111111</v>
      </c>
      <c r="AW248" s="23">
        <v>0</v>
      </c>
      <c r="AX248" s="23">
        <f>$E$23/($B$17-$B$16)*3</f>
        <v>41958.333333333336</v>
      </c>
      <c r="AY248" s="23">
        <v>0</v>
      </c>
      <c r="AZ248" s="23">
        <v>0</v>
      </c>
    </row>
    <row r="249" spans="1:52" x14ac:dyDescent="0.25">
      <c r="A249" s="68"/>
      <c r="B249" s="68"/>
      <c r="C249" s="158"/>
      <c r="D249" s="158"/>
      <c r="E249" s="157"/>
      <c r="F249" s="158"/>
      <c r="G249" s="160"/>
      <c r="AD249" s="9" t="str">
        <f t="shared" si="133"/>
        <v/>
      </c>
      <c r="AG249" s="9" t="str">
        <f t="shared" si="136"/>
        <v/>
      </c>
      <c r="AH249" s="9" t="str">
        <f t="shared" si="137"/>
        <v/>
      </c>
      <c r="AL249" s="23">
        <f t="shared" si="128"/>
        <v>0</v>
      </c>
      <c r="AM249" s="23">
        <f t="shared" si="144"/>
        <v>0</v>
      </c>
      <c r="AN249" s="23">
        <f>E248*$C$23</f>
        <v>0</v>
      </c>
      <c r="AO249" s="23">
        <f t="shared" si="145"/>
        <v>0</v>
      </c>
      <c r="AP249" s="23">
        <v>0</v>
      </c>
      <c r="AQ249" s="23">
        <v>0</v>
      </c>
      <c r="AR249" s="23">
        <v>0</v>
      </c>
      <c r="AU249" s="23">
        <f t="shared" si="130"/>
        <v>13986.111111111111</v>
      </c>
      <c r="AV249" s="23">
        <f t="shared" si="129"/>
        <v>13986.111111111111</v>
      </c>
      <c r="AW249" s="23">
        <f>$E$23/($B$17-$B$16)*2</f>
        <v>27972.222222222223</v>
      </c>
      <c r="AX249" s="23">
        <v>0</v>
      </c>
      <c r="AY249" s="23">
        <v>0</v>
      </c>
      <c r="AZ249" s="23">
        <v>0</v>
      </c>
    </row>
    <row r="250" spans="1:52" x14ac:dyDescent="0.25">
      <c r="A250" s="68"/>
      <c r="B250" s="68"/>
      <c r="C250" s="158"/>
      <c r="D250" s="158"/>
      <c r="E250" s="157"/>
      <c r="F250" s="158"/>
      <c r="G250" s="160"/>
      <c r="AD250" s="9" t="str">
        <f t="shared" si="133"/>
        <v/>
      </c>
      <c r="AG250" s="9" t="str">
        <f t="shared" si="136"/>
        <v/>
      </c>
      <c r="AH250" s="9" t="str">
        <f t="shared" si="137"/>
        <v/>
      </c>
      <c r="AL250" s="23">
        <f t="shared" si="128"/>
        <v>0</v>
      </c>
      <c r="AM250" s="23">
        <f t="shared" si="144"/>
        <v>0</v>
      </c>
      <c r="AN250" s="23">
        <f t="shared" ref="AN250:AN273" si="148">E249*$C$23</f>
        <v>0</v>
      </c>
      <c r="AO250" s="23">
        <v>0</v>
      </c>
      <c r="AP250" s="23">
        <v>0</v>
      </c>
      <c r="AQ250" s="23">
        <v>0</v>
      </c>
      <c r="AR250" s="23">
        <v>0</v>
      </c>
      <c r="AU250" s="23">
        <f t="shared" si="130"/>
        <v>13986.111111111111</v>
      </c>
      <c r="AV250" s="23">
        <f t="shared" si="129"/>
        <v>13986.111111111111</v>
      </c>
      <c r="AW250" s="23">
        <v>0</v>
      </c>
      <c r="AX250" s="23">
        <v>0</v>
      </c>
      <c r="AY250" s="23">
        <v>0</v>
      </c>
      <c r="AZ250" s="23">
        <v>0</v>
      </c>
    </row>
    <row r="251" spans="1:52" x14ac:dyDescent="0.25">
      <c r="A251" s="68"/>
      <c r="B251" s="68"/>
      <c r="C251" s="158"/>
      <c r="D251" s="158"/>
      <c r="E251" s="157"/>
      <c r="F251" s="158"/>
      <c r="G251" s="160"/>
      <c r="AD251" s="9" t="str">
        <f t="shared" si="133"/>
        <v/>
      </c>
      <c r="AG251" s="9" t="str">
        <f t="shared" si="136"/>
        <v/>
      </c>
      <c r="AH251" s="9" t="str">
        <f t="shared" si="137"/>
        <v/>
      </c>
      <c r="AL251" s="23">
        <f t="shared" si="128"/>
        <v>0</v>
      </c>
      <c r="AM251" s="23">
        <f t="shared" si="144"/>
        <v>0</v>
      </c>
      <c r="AN251" s="23">
        <f t="shared" si="148"/>
        <v>0</v>
      </c>
      <c r="AO251" s="23">
        <f t="shared" si="145"/>
        <v>0</v>
      </c>
      <c r="AP251" s="23">
        <f t="shared" si="146"/>
        <v>0</v>
      </c>
      <c r="AQ251" s="23">
        <f>E245*((1+$C$23)^6-1)</f>
        <v>0</v>
      </c>
      <c r="AR251" s="23">
        <f>E239*((1+$C$23)^12-1)</f>
        <v>0</v>
      </c>
      <c r="AU251" s="23">
        <f t="shared" si="130"/>
        <v>13986.111111111111</v>
      </c>
      <c r="AV251" s="23">
        <f t="shared" si="129"/>
        <v>13986.111111111111</v>
      </c>
      <c r="AW251" s="23">
        <f>$E$23/($B$17-$B$16)*2</f>
        <v>27972.222222222223</v>
      </c>
      <c r="AX251" s="23">
        <f>$E$23/($B$17-$B$16)*3</f>
        <v>41958.333333333336</v>
      </c>
      <c r="AY251" s="23">
        <f>$E$23/($B$17-$B$16)*6</f>
        <v>83916.666666666672</v>
      </c>
      <c r="AZ251" s="23">
        <f>$E$23/($B$17-$B$16)*12</f>
        <v>167833.33333333334</v>
      </c>
    </row>
    <row r="252" spans="1:52" x14ac:dyDescent="0.25">
      <c r="A252" s="68"/>
      <c r="B252" s="68"/>
      <c r="C252" s="158"/>
      <c r="D252" s="158"/>
      <c r="E252" s="157"/>
      <c r="F252" s="158"/>
      <c r="G252" s="160"/>
      <c r="AD252" s="9" t="str">
        <f t="shared" si="133"/>
        <v/>
      </c>
      <c r="AG252" s="9" t="str">
        <f t="shared" si="136"/>
        <v/>
      </c>
      <c r="AH252" s="9" t="str">
        <f t="shared" si="137"/>
        <v/>
      </c>
      <c r="AL252" s="23">
        <f t="shared" si="128"/>
        <v>0</v>
      </c>
      <c r="AM252" s="23">
        <f t="shared" si="144"/>
        <v>0</v>
      </c>
      <c r="AN252" s="23">
        <f t="shared" si="148"/>
        <v>0</v>
      </c>
      <c r="AO252" s="23">
        <v>0</v>
      </c>
      <c r="AP252" s="23">
        <v>0</v>
      </c>
      <c r="AQ252" s="23">
        <v>0</v>
      </c>
      <c r="AR252" s="23">
        <v>0</v>
      </c>
      <c r="AU252" s="23">
        <f t="shared" si="130"/>
        <v>13986.111111111111</v>
      </c>
      <c r="AV252" s="23">
        <f t="shared" si="129"/>
        <v>13986.111111111111</v>
      </c>
      <c r="AW252" s="23">
        <v>0</v>
      </c>
      <c r="AX252" s="23">
        <v>0</v>
      </c>
      <c r="AY252" s="23">
        <v>0</v>
      </c>
      <c r="AZ252" s="23">
        <v>0</v>
      </c>
    </row>
    <row r="253" spans="1:52" x14ac:dyDescent="0.25">
      <c r="A253" s="68"/>
      <c r="B253" s="68"/>
      <c r="C253" s="158"/>
      <c r="D253" s="158"/>
      <c r="E253" s="157"/>
      <c r="F253" s="158"/>
      <c r="G253" s="160"/>
      <c r="AD253" s="9" t="str">
        <f t="shared" si="133"/>
        <v/>
      </c>
      <c r="AG253" s="9" t="str">
        <f t="shared" si="136"/>
        <v/>
      </c>
      <c r="AH253" s="9" t="str">
        <f t="shared" si="137"/>
        <v/>
      </c>
      <c r="AL253" s="23">
        <f t="shared" si="128"/>
        <v>0</v>
      </c>
      <c r="AM253" s="23">
        <f t="shared" si="144"/>
        <v>0</v>
      </c>
      <c r="AN253" s="23">
        <f t="shared" si="148"/>
        <v>0</v>
      </c>
      <c r="AO253" s="23">
        <f t="shared" si="145"/>
        <v>0</v>
      </c>
      <c r="AP253" s="23">
        <v>0</v>
      </c>
      <c r="AQ253" s="23">
        <v>0</v>
      </c>
      <c r="AR253" s="23">
        <v>0</v>
      </c>
      <c r="AU253" s="23">
        <f t="shared" si="130"/>
        <v>13986.111111111111</v>
      </c>
      <c r="AV253" s="23">
        <f t="shared" si="129"/>
        <v>13986.111111111111</v>
      </c>
      <c r="AW253" s="23">
        <f>$E$23/($B$17-$B$16)*2</f>
        <v>27972.222222222223</v>
      </c>
      <c r="AX253" s="23">
        <v>0</v>
      </c>
      <c r="AY253" s="23">
        <v>0</v>
      </c>
      <c r="AZ253" s="23">
        <v>0</v>
      </c>
    </row>
    <row r="254" spans="1:52" x14ac:dyDescent="0.25">
      <c r="A254" s="68"/>
      <c r="B254" s="68"/>
      <c r="C254" s="158"/>
      <c r="D254" s="158"/>
      <c r="E254" s="157"/>
      <c r="F254" s="158"/>
      <c r="G254" s="160"/>
      <c r="AD254" s="9" t="str">
        <f t="shared" si="133"/>
        <v/>
      </c>
      <c r="AG254" s="9" t="str">
        <f t="shared" si="136"/>
        <v/>
      </c>
      <c r="AH254" s="9" t="str">
        <f t="shared" si="137"/>
        <v/>
      </c>
      <c r="AL254" s="23">
        <f t="shared" si="128"/>
        <v>0</v>
      </c>
      <c r="AM254" s="23">
        <f t="shared" si="144"/>
        <v>0</v>
      </c>
      <c r="AN254" s="23">
        <f t="shared" si="148"/>
        <v>0</v>
      </c>
      <c r="AO254" s="23">
        <v>0</v>
      </c>
      <c r="AP254" s="23">
        <f t="shared" ref="AP254:AP266" si="149">E251*((1+$C$23)^3-1)</f>
        <v>0</v>
      </c>
      <c r="AQ254" s="23">
        <v>0</v>
      </c>
      <c r="AR254" s="23">
        <v>0</v>
      </c>
      <c r="AU254" s="23">
        <f t="shared" si="130"/>
        <v>13986.111111111111</v>
      </c>
      <c r="AV254" s="23">
        <f t="shared" si="129"/>
        <v>13986.111111111111</v>
      </c>
      <c r="AW254" s="23">
        <v>0</v>
      </c>
      <c r="AX254" s="23">
        <f>$E$23/($B$17-$B$16)*3</f>
        <v>41958.333333333336</v>
      </c>
      <c r="AY254" s="23">
        <v>0</v>
      </c>
      <c r="AZ254" s="23">
        <v>0</v>
      </c>
    </row>
    <row r="255" spans="1:52" x14ac:dyDescent="0.25">
      <c r="A255" s="68"/>
      <c r="B255" s="68"/>
      <c r="C255" s="158"/>
      <c r="D255" s="158"/>
      <c r="E255" s="157"/>
      <c r="F255" s="158"/>
      <c r="G255" s="160"/>
      <c r="AD255" s="9" t="str">
        <f t="shared" si="133"/>
        <v/>
      </c>
      <c r="AG255" s="9" t="str">
        <f t="shared" si="136"/>
        <v/>
      </c>
      <c r="AH255" s="9" t="str">
        <f t="shared" si="137"/>
        <v/>
      </c>
      <c r="AL255" s="23">
        <f t="shared" si="128"/>
        <v>0</v>
      </c>
      <c r="AM255" s="23">
        <f t="shared" si="144"/>
        <v>0</v>
      </c>
      <c r="AN255" s="23">
        <f t="shared" si="148"/>
        <v>0</v>
      </c>
      <c r="AO255" s="23">
        <f t="shared" si="145"/>
        <v>0</v>
      </c>
      <c r="AP255" s="23">
        <v>0</v>
      </c>
      <c r="AQ255" s="23">
        <v>0</v>
      </c>
      <c r="AR255" s="23">
        <v>0</v>
      </c>
      <c r="AU255" s="23">
        <f t="shared" si="130"/>
        <v>13986.111111111111</v>
      </c>
      <c r="AV255" s="23">
        <f t="shared" si="129"/>
        <v>13986.111111111111</v>
      </c>
      <c r="AW255" s="23">
        <f>$E$23/($B$17-$B$16)*2</f>
        <v>27972.222222222223</v>
      </c>
      <c r="AX255" s="23">
        <v>0</v>
      </c>
      <c r="AY255" s="23">
        <v>0</v>
      </c>
      <c r="AZ255" s="23">
        <v>0</v>
      </c>
    </row>
    <row r="256" spans="1:52" x14ac:dyDescent="0.25">
      <c r="A256" s="68"/>
      <c r="B256" s="68"/>
      <c r="C256" s="158"/>
      <c r="D256" s="158"/>
      <c r="E256" s="157"/>
      <c r="F256" s="158"/>
      <c r="G256" s="160"/>
      <c r="AD256" s="9" t="str">
        <f t="shared" si="133"/>
        <v/>
      </c>
      <c r="AG256" s="9" t="str">
        <f t="shared" si="136"/>
        <v/>
      </c>
      <c r="AH256" s="9" t="str">
        <f t="shared" si="137"/>
        <v/>
      </c>
      <c r="AL256" s="23">
        <f t="shared" si="128"/>
        <v>0</v>
      </c>
      <c r="AM256" s="23">
        <f t="shared" si="144"/>
        <v>0</v>
      </c>
      <c r="AN256" s="23">
        <f t="shared" si="148"/>
        <v>0</v>
      </c>
      <c r="AO256" s="23">
        <v>0</v>
      </c>
      <c r="AP256" s="23">
        <v>0</v>
      </c>
      <c r="AQ256" s="23">
        <v>0</v>
      </c>
      <c r="AR256" s="23">
        <v>0</v>
      </c>
      <c r="AU256" s="23">
        <f t="shared" si="130"/>
        <v>13986.111111111111</v>
      </c>
      <c r="AV256" s="23">
        <f t="shared" si="129"/>
        <v>13986.111111111111</v>
      </c>
      <c r="AW256" s="23">
        <v>0</v>
      </c>
      <c r="AX256" s="23">
        <v>0</v>
      </c>
      <c r="AY256" s="23">
        <v>0</v>
      </c>
      <c r="AZ256" s="23">
        <v>0</v>
      </c>
    </row>
    <row r="257" spans="1:52" x14ac:dyDescent="0.25">
      <c r="A257" s="68"/>
      <c r="B257" s="68"/>
      <c r="C257" s="158"/>
      <c r="D257" s="158"/>
      <c r="E257" s="157"/>
      <c r="F257" s="158"/>
      <c r="G257" s="160"/>
      <c r="AD257" s="9" t="str">
        <f t="shared" si="133"/>
        <v/>
      </c>
      <c r="AG257" s="9" t="str">
        <f t="shared" si="136"/>
        <v/>
      </c>
      <c r="AH257" s="9" t="str">
        <f t="shared" si="137"/>
        <v/>
      </c>
      <c r="AL257" s="23">
        <f t="shared" si="128"/>
        <v>0</v>
      </c>
      <c r="AM257" s="23">
        <f t="shared" si="144"/>
        <v>0</v>
      </c>
      <c r="AN257" s="23">
        <f t="shared" si="148"/>
        <v>0</v>
      </c>
      <c r="AO257" s="23">
        <f t="shared" si="145"/>
        <v>0</v>
      </c>
      <c r="AP257" s="23">
        <f t="shared" si="149"/>
        <v>0</v>
      </c>
      <c r="AQ257" s="23">
        <f t="shared" ref="AQ257" si="150">E251*((1+$C$23)^6-1)</f>
        <v>0</v>
      </c>
      <c r="AR257" s="23">
        <v>0</v>
      </c>
      <c r="AU257" s="23">
        <f t="shared" si="130"/>
        <v>13986.111111111111</v>
      </c>
      <c r="AV257" s="23">
        <f t="shared" si="129"/>
        <v>13986.111111111111</v>
      </c>
      <c r="AW257" s="23">
        <f>$E$23/($B$17-$B$16)*2</f>
        <v>27972.222222222223</v>
      </c>
      <c r="AX257" s="23">
        <f>$E$23/($B$17-$B$16)*3</f>
        <v>41958.333333333336</v>
      </c>
      <c r="AY257" s="23">
        <f>$E$23/($B$17-$B$16)*6</f>
        <v>83916.666666666672</v>
      </c>
      <c r="AZ257" s="23">
        <v>0</v>
      </c>
    </row>
    <row r="258" spans="1:52" x14ac:dyDescent="0.25">
      <c r="A258" s="68"/>
      <c r="B258" s="68"/>
      <c r="C258" s="158"/>
      <c r="D258" s="158"/>
      <c r="E258" s="157"/>
      <c r="F258" s="158"/>
      <c r="G258" s="160"/>
      <c r="AD258" s="9" t="str">
        <f t="shared" ref="AD258:AD289" si="151">IF(AC258="","",C253)</f>
        <v/>
      </c>
      <c r="AG258" s="9" t="str">
        <f t="shared" si="136"/>
        <v/>
      </c>
      <c r="AH258" s="9" t="str">
        <f t="shared" si="137"/>
        <v/>
      </c>
      <c r="AL258" s="23">
        <f t="shared" si="128"/>
        <v>0</v>
      </c>
      <c r="AM258" s="23">
        <f t="shared" si="144"/>
        <v>0</v>
      </c>
      <c r="AN258" s="23">
        <f t="shared" si="148"/>
        <v>0</v>
      </c>
      <c r="AO258" s="23">
        <v>0</v>
      </c>
      <c r="AP258" s="23">
        <v>0</v>
      </c>
      <c r="AQ258" s="23">
        <v>0</v>
      </c>
      <c r="AR258" s="23">
        <v>0</v>
      </c>
      <c r="AU258" s="23">
        <f t="shared" si="130"/>
        <v>13986.111111111111</v>
      </c>
      <c r="AV258" s="23">
        <f t="shared" si="129"/>
        <v>13986.111111111111</v>
      </c>
      <c r="AW258" s="23">
        <v>0</v>
      </c>
      <c r="AX258" s="23">
        <v>0</v>
      </c>
      <c r="AY258" s="23">
        <v>0</v>
      </c>
      <c r="AZ258" s="23">
        <v>0</v>
      </c>
    </row>
    <row r="259" spans="1:52" x14ac:dyDescent="0.25">
      <c r="A259" s="68"/>
      <c r="B259" s="68"/>
      <c r="C259" s="158"/>
      <c r="D259" s="158"/>
      <c r="E259" s="157"/>
      <c r="F259" s="158"/>
      <c r="G259" s="160"/>
      <c r="AD259" s="9" t="str">
        <f t="shared" si="151"/>
        <v/>
      </c>
      <c r="AG259" s="9" t="str">
        <f t="shared" si="136"/>
        <v/>
      </c>
      <c r="AH259" s="9" t="str">
        <f t="shared" si="137"/>
        <v/>
      </c>
      <c r="AL259" s="23">
        <f t="shared" si="128"/>
        <v>0</v>
      </c>
      <c r="AM259" s="23">
        <f t="shared" si="144"/>
        <v>0</v>
      </c>
      <c r="AN259" s="23">
        <f t="shared" si="148"/>
        <v>0</v>
      </c>
      <c r="AO259" s="23">
        <f>E257*((1+$C$23)^2-1)</f>
        <v>0</v>
      </c>
      <c r="AP259" s="23">
        <v>0</v>
      </c>
      <c r="AQ259" s="23">
        <v>0</v>
      </c>
      <c r="AR259" s="23">
        <v>0</v>
      </c>
      <c r="AU259" s="23">
        <f t="shared" si="130"/>
        <v>13986.111111111111</v>
      </c>
      <c r="AV259" s="23">
        <f t="shared" si="129"/>
        <v>13986.111111111111</v>
      </c>
      <c r="AW259" s="23">
        <f>$E$23/($B$17-$B$16)*2</f>
        <v>27972.222222222223</v>
      </c>
      <c r="AX259" s="23">
        <v>0</v>
      </c>
      <c r="AY259" s="23">
        <v>0</v>
      </c>
      <c r="AZ259" s="23">
        <v>0</v>
      </c>
    </row>
    <row r="260" spans="1:52" x14ac:dyDescent="0.25">
      <c r="A260" s="68"/>
      <c r="B260" s="68"/>
      <c r="C260" s="158"/>
      <c r="D260" s="158"/>
      <c r="E260" s="157"/>
      <c r="F260" s="158"/>
      <c r="G260" s="160"/>
      <c r="AD260" s="9" t="str">
        <f t="shared" si="151"/>
        <v/>
      </c>
      <c r="AG260" s="9" t="str">
        <f t="shared" si="136"/>
        <v/>
      </c>
      <c r="AH260" s="9" t="str">
        <f t="shared" si="137"/>
        <v/>
      </c>
      <c r="AL260" s="23">
        <f t="shared" si="128"/>
        <v>0</v>
      </c>
      <c r="AM260" s="23">
        <f t="shared" si="144"/>
        <v>0</v>
      </c>
      <c r="AN260" s="23">
        <f t="shared" si="148"/>
        <v>0</v>
      </c>
      <c r="AO260" s="23">
        <v>0</v>
      </c>
      <c r="AP260" s="23">
        <f t="shared" si="149"/>
        <v>0</v>
      </c>
      <c r="AQ260" s="23">
        <v>0</v>
      </c>
      <c r="AR260" s="23">
        <v>0</v>
      </c>
      <c r="AU260" s="23">
        <f t="shared" si="130"/>
        <v>13986.111111111111</v>
      </c>
      <c r="AV260" s="23">
        <f t="shared" si="129"/>
        <v>13986.111111111111</v>
      </c>
      <c r="AW260" s="23">
        <v>0</v>
      </c>
      <c r="AX260" s="23">
        <f>$E$23/($B$17-$B$16)*3</f>
        <v>41958.333333333336</v>
      </c>
      <c r="AY260" s="23">
        <v>0</v>
      </c>
      <c r="AZ260" s="23">
        <v>0</v>
      </c>
    </row>
    <row r="261" spans="1:52" x14ac:dyDescent="0.25">
      <c r="A261" s="68"/>
      <c r="B261" s="68"/>
      <c r="C261" s="158"/>
      <c r="D261" s="158"/>
      <c r="E261" s="157"/>
      <c r="F261" s="158"/>
      <c r="G261" s="160"/>
      <c r="AD261" s="9" t="str">
        <f t="shared" si="151"/>
        <v/>
      </c>
      <c r="AG261" s="9" t="str">
        <f t="shared" si="136"/>
        <v/>
      </c>
      <c r="AH261" s="9" t="str">
        <f t="shared" si="137"/>
        <v/>
      </c>
      <c r="AL261" s="23">
        <f t="shared" si="128"/>
        <v>0</v>
      </c>
      <c r="AM261" s="23">
        <f t="shared" si="144"/>
        <v>0</v>
      </c>
      <c r="AN261" s="23">
        <f t="shared" si="148"/>
        <v>0</v>
      </c>
      <c r="AO261" s="23">
        <f t="shared" ref="AO261:AO269" si="152">E259*((1+$C$23)^2-1)</f>
        <v>0</v>
      </c>
      <c r="AP261" s="23">
        <v>0</v>
      </c>
      <c r="AQ261" s="23">
        <v>0</v>
      </c>
      <c r="AR261" s="23">
        <v>0</v>
      </c>
      <c r="AU261" s="23">
        <f t="shared" si="130"/>
        <v>13986.111111111111</v>
      </c>
      <c r="AV261" s="23">
        <f t="shared" si="129"/>
        <v>13986.111111111111</v>
      </c>
      <c r="AW261" s="23">
        <f>$E$23/($B$17-$B$16)*2</f>
        <v>27972.222222222223</v>
      </c>
      <c r="AX261" s="23">
        <v>0</v>
      </c>
      <c r="AY261" s="23">
        <v>0</v>
      </c>
      <c r="AZ261" s="23">
        <v>0</v>
      </c>
    </row>
    <row r="262" spans="1:52" x14ac:dyDescent="0.25">
      <c r="A262" s="68"/>
      <c r="B262" s="68"/>
      <c r="C262" s="158"/>
      <c r="D262" s="158"/>
      <c r="E262" s="157"/>
      <c r="F262" s="158"/>
      <c r="G262" s="160"/>
      <c r="AD262" s="9" t="str">
        <f t="shared" si="151"/>
        <v/>
      </c>
      <c r="AG262" s="9" t="str">
        <f t="shared" si="136"/>
        <v/>
      </c>
      <c r="AH262" s="9" t="str">
        <f t="shared" si="137"/>
        <v/>
      </c>
      <c r="AL262" s="23">
        <f t="shared" si="128"/>
        <v>0</v>
      </c>
      <c r="AM262" s="23">
        <f t="shared" si="144"/>
        <v>0</v>
      </c>
      <c r="AN262" s="23">
        <f t="shared" si="148"/>
        <v>0</v>
      </c>
      <c r="AO262" s="23">
        <v>0</v>
      </c>
      <c r="AP262" s="23">
        <v>0</v>
      </c>
      <c r="AQ262" s="23">
        <v>0</v>
      </c>
      <c r="AR262" s="23">
        <v>0</v>
      </c>
      <c r="AU262" s="23">
        <f t="shared" si="130"/>
        <v>13986.111111111111</v>
      </c>
      <c r="AV262" s="23">
        <f t="shared" si="129"/>
        <v>13986.111111111111</v>
      </c>
      <c r="AW262" s="23">
        <v>0</v>
      </c>
      <c r="AX262" s="23">
        <v>0</v>
      </c>
      <c r="AY262" s="23">
        <v>0</v>
      </c>
      <c r="AZ262" s="23">
        <v>0</v>
      </c>
    </row>
    <row r="263" spans="1:52" x14ac:dyDescent="0.25">
      <c r="A263" s="68"/>
      <c r="B263" s="68"/>
      <c r="C263" s="158"/>
      <c r="D263" s="158"/>
      <c r="E263" s="157"/>
      <c r="F263" s="158"/>
      <c r="G263" s="160"/>
      <c r="AD263" s="9" t="str">
        <f t="shared" si="151"/>
        <v/>
      </c>
      <c r="AG263" s="9" t="str">
        <f t="shared" si="136"/>
        <v/>
      </c>
      <c r="AH263" s="9" t="str">
        <f t="shared" si="137"/>
        <v/>
      </c>
      <c r="AL263" s="23">
        <f t="shared" si="128"/>
        <v>0</v>
      </c>
      <c r="AM263" s="23">
        <f t="shared" si="144"/>
        <v>0</v>
      </c>
      <c r="AN263" s="23">
        <f t="shared" si="148"/>
        <v>0</v>
      </c>
      <c r="AO263" s="23">
        <f t="shared" si="152"/>
        <v>0</v>
      </c>
      <c r="AP263" s="23">
        <f t="shared" si="149"/>
        <v>0</v>
      </c>
      <c r="AQ263" s="23">
        <f t="shared" ref="AQ263" si="153">E257*((1+$C$23)^6-1)</f>
        <v>0</v>
      </c>
      <c r="AR263" s="23">
        <f>E251*((1+$C$23)^12-1)</f>
        <v>0</v>
      </c>
      <c r="AU263" s="23">
        <f t="shared" si="130"/>
        <v>13986.111111111111</v>
      </c>
      <c r="AV263" s="23">
        <f t="shared" si="129"/>
        <v>13986.111111111111</v>
      </c>
      <c r="AW263" s="23">
        <f>$E$23/($B$17-$B$16)*2</f>
        <v>27972.222222222223</v>
      </c>
      <c r="AX263" s="23">
        <f>$E$23/($B$17-$B$16)*3</f>
        <v>41958.333333333336</v>
      </c>
      <c r="AY263" s="23">
        <f>$E$23/($B$17-$B$16)*6</f>
        <v>83916.666666666672</v>
      </c>
      <c r="AZ263" s="23">
        <f>$E$23/($B$17-$B$16)*12</f>
        <v>167833.33333333334</v>
      </c>
    </row>
    <row r="264" spans="1:52" x14ac:dyDescent="0.25">
      <c r="A264" s="68"/>
      <c r="B264" s="68"/>
      <c r="C264" s="158"/>
      <c r="D264" s="158"/>
      <c r="E264" s="157"/>
      <c r="F264" s="158"/>
      <c r="G264" s="160"/>
      <c r="AD264" s="9" t="str">
        <f t="shared" si="151"/>
        <v/>
      </c>
      <c r="AG264" s="9" t="str">
        <f t="shared" si="136"/>
        <v/>
      </c>
      <c r="AH264" s="9" t="str">
        <f t="shared" si="137"/>
        <v/>
      </c>
      <c r="AL264" s="23">
        <f t="shared" si="128"/>
        <v>0</v>
      </c>
      <c r="AM264" s="23">
        <f t="shared" si="144"/>
        <v>0</v>
      </c>
      <c r="AN264" s="23">
        <f t="shared" si="148"/>
        <v>0</v>
      </c>
      <c r="AO264" s="23">
        <v>0</v>
      </c>
      <c r="AP264" s="23">
        <v>0</v>
      </c>
      <c r="AQ264" s="23">
        <v>0</v>
      </c>
      <c r="AR264" s="23">
        <v>0</v>
      </c>
      <c r="AU264" s="23">
        <f t="shared" si="130"/>
        <v>13986.111111111111</v>
      </c>
      <c r="AV264" s="23">
        <f t="shared" si="129"/>
        <v>13986.111111111111</v>
      </c>
      <c r="AW264" s="23">
        <v>0</v>
      </c>
      <c r="AX264" s="23">
        <v>0</v>
      </c>
      <c r="AY264" s="23">
        <v>0</v>
      </c>
      <c r="AZ264" s="23">
        <v>0</v>
      </c>
    </row>
    <row r="265" spans="1:52" x14ac:dyDescent="0.25">
      <c r="A265" s="68"/>
      <c r="B265" s="68"/>
      <c r="C265" s="158"/>
      <c r="D265" s="158"/>
      <c r="E265" s="157"/>
      <c r="F265" s="158"/>
      <c r="G265" s="160"/>
      <c r="AD265" s="9" t="str">
        <f t="shared" si="151"/>
        <v/>
      </c>
      <c r="AG265" s="9" t="str">
        <f t="shared" si="136"/>
        <v/>
      </c>
      <c r="AH265" s="9" t="str">
        <f t="shared" si="137"/>
        <v/>
      </c>
      <c r="AL265" s="23">
        <f t="shared" si="128"/>
        <v>0</v>
      </c>
      <c r="AM265" s="23">
        <f t="shared" si="144"/>
        <v>0</v>
      </c>
      <c r="AN265" s="23">
        <f t="shared" si="148"/>
        <v>0</v>
      </c>
      <c r="AO265" s="23">
        <f t="shared" si="152"/>
        <v>0</v>
      </c>
      <c r="AP265" s="23">
        <v>0</v>
      </c>
      <c r="AQ265" s="23">
        <v>0</v>
      </c>
      <c r="AR265" s="23">
        <v>0</v>
      </c>
      <c r="AU265" s="23">
        <f t="shared" si="130"/>
        <v>13986.111111111111</v>
      </c>
      <c r="AV265" s="23">
        <f t="shared" si="129"/>
        <v>13986.111111111111</v>
      </c>
      <c r="AW265" s="23">
        <f>$E$23/($B$17-$B$16)*2</f>
        <v>27972.222222222223</v>
      </c>
      <c r="AX265" s="23">
        <v>0</v>
      </c>
      <c r="AY265" s="23">
        <v>0</v>
      </c>
      <c r="AZ265" s="23">
        <v>0</v>
      </c>
    </row>
    <row r="266" spans="1:52" x14ac:dyDescent="0.25">
      <c r="A266" s="68"/>
      <c r="B266" s="68"/>
      <c r="C266" s="158"/>
      <c r="D266" s="158"/>
      <c r="E266" s="157"/>
      <c r="F266" s="158"/>
      <c r="G266" s="160"/>
      <c r="AD266" s="9" t="str">
        <f t="shared" si="151"/>
        <v/>
      </c>
      <c r="AG266" s="9" t="str">
        <f t="shared" si="136"/>
        <v/>
      </c>
      <c r="AH266" s="9" t="str">
        <f t="shared" si="137"/>
        <v/>
      </c>
      <c r="AL266" s="23">
        <f t="shared" si="128"/>
        <v>0</v>
      </c>
      <c r="AM266" s="23">
        <f t="shared" si="144"/>
        <v>0</v>
      </c>
      <c r="AN266" s="23">
        <f t="shared" si="148"/>
        <v>0</v>
      </c>
      <c r="AO266" s="23">
        <v>0</v>
      </c>
      <c r="AP266" s="23">
        <f t="shared" si="149"/>
        <v>0</v>
      </c>
      <c r="AQ266" s="23">
        <v>0</v>
      </c>
      <c r="AR266" s="23">
        <v>0</v>
      </c>
      <c r="AU266" s="23">
        <f t="shared" si="130"/>
        <v>13986.111111111111</v>
      </c>
      <c r="AV266" s="23">
        <f t="shared" si="129"/>
        <v>13986.111111111111</v>
      </c>
      <c r="AW266" s="23">
        <v>0</v>
      </c>
      <c r="AX266" s="23">
        <f>$E$23/($B$17-$B$16)*3</f>
        <v>41958.333333333336</v>
      </c>
      <c r="AY266" s="23">
        <v>0</v>
      </c>
      <c r="AZ266" s="23">
        <v>0</v>
      </c>
    </row>
    <row r="267" spans="1:52" x14ac:dyDescent="0.25">
      <c r="A267" s="68"/>
      <c r="B267" s="68"/>
      <c r="C267" s="158"/>
      <c r="D267" s="158"/>
      <c r="E267" s="157"/>
      <c r="F267" s="158"/>
      <c r="G267" s="160"/>
      <c r="AD267" s="9" t="str">
        <f t="shared" si="151"/>
        <v/>
      </c>
      <c r="AG267" s="9" t="str">
        <f t="shared" si="136"/>
        <v/>
      </c>
      <c r="AH267" s="9" t="str">
        <f t="shared" si="137"/>
        <v/>
      </c>
      <c r="AL267" s="23">
        <f t="shared" si="128"/>
        <v>0</v>
      </c>
      <c r="AM267" s="23">
        <f>IF($AN$17=1,AN267,IF($AN$17=2,AO267,IF($AN$17=3,AP267,IF($AN$17=4,AQ267,IF($AN$17=5,AR267)))))</f>
        <v>0</v>
      </c>
      <c r="AN267" s="23">
        <f t="shared" si="148"/>
        <v>0</v>
      </c>
      <c r="AO267" s="23">
        <f t="shared" si="152"/>
        <v>0</v>
      </c>
      <c r="AP267" s="23">
        <v>0</v>
      </c>
      <c r="AQ267" s="23">
        <v>0</v>
      </c>
      <c r="AR267" s="23">
        <v>0</v>
      </c>
      <c r="AU267" s="23">
        <f t="shared" si="130"/>
        <v>13986.111111111111</v>
      </c>
      <c r="AV267" s="23">
        <f t="shared" si="129"/>
        <v>13986.111111111111</v>
      </c>
      <c r="AW267" s="23">
        <f>$E$23/($B$17-$B$16)*2</f>
        <v>27972.222222222223</v>
      </c>
      <c r="AX267" s="23">
        <v>0</v>
      </c>
      <c r="AY267" s="23">
        <v>0</v>
      </c>
      <c r="AZ267" s="23">
        <v>0</v>
      </c>
    </row>
    <row r="268" spans="1:52" x14ac:dyDescent="0.25">
      <c r="A268" s="68"/>
      <c r="B268" s="68"/>
      <c r="C268" s="158"/>
      <c r="D268" s="158"/>
      <c r="E268" s="157"/>
      <c r="F268" s="158"/>
      <c r="G268" s="160"/>
      <c r="AD268" s="9" t="str">
        <f t="shared" si="151"/>
        <v/>
      </c>
      <c r="AG268" s="9" t="str">
        <f t="shared" si="136"/>
        <v/>
      </c>
      <c r="AH268" s="9" t="str">
        <f t="shared" si="137"/>
        <v/>
      </c>
      <c r="AL268" s="23">
        <f t="shared" si="128"/>
        <v>0</v>
      </c>
      <c r="AM268" s="23">
        <f t="shared" ref="AM268:AM286" si="154">IF($AN$17=1,AN268,IF($AN$17=2,AO268,IF($AN$17=3,AP268,IF($AN$17=4,AQ268,IF($AN$17=5,AR268)))))</f>
        <v>0</v>
      </c>
      <c r="AN268" s="23">
        <f t="shared" si="148"/>
        <v>0</v>
      </c>
      <c r="AO268" s="23">
        <v>0</v>
      </c>
      <c r="AP268" s="23">
        <v>0</v>
      </c>
      <c r="AQ268" s="23">
        <v>0</v>
      </c>
      <c r="AR268" s="23">
        <v>0</v>
      </c>
      <c r="AU268" s="23">
        <f t="shared" si="130"/>
        <v>13986.111111111111</v>
      </c>
      <c r="AV268" s="23">
        <f t="shared" si="129"/>
        <v>13986.111111111111</v>
      </c>
      <c r="AW268" s="23">
        <v>0</v>
      </c>
      <c r="AX268" s="23">
        <v>0</v>
      </c>
      <c r="AY268" s="23">
        <v>0</v>
      </c>
      <c r="AZ268" s="23">
        <v>0</v>
      </c>
    </row>
    <row r="269" spans="1:52" x14ac:dyDescent="0.25">
      <c r="A269" s="68"/>
      <c r="B269" s="68"/>
      <c r="C269" s="158"/>
      <c r="D269" s="158"/>
      <c r="E269" s="157"/>
      <c r="F269" s="158"/>
      <c r="G269" s="160"/>
      <c r="AD269" s="9" t="str">
        <f t="shared" si="151"/>
        <v/>
      </c>
      <c r="AG269" s="9" t="str">
        <f t="shared" si="136"/>
        <v/>
      </c>
      <c r="AH269" s="9" t="str">
        <f t="shared" si="137"/>
        <v/>
      </c>
      <c r="AL269" s="23">
        <f t="shared" si="128"/>
        <v>0</v>
      </c>
      <c r="AM269" s="23">
        <f t="shared" si="154"/>
        <v>0</v>
      </c>
      <c r="AN269" s="23">
        <f t="shared" si="148"/>
        <v>0</v>
      </c>
      <c r="AO269" s="23">
        <f t="shared" si="152"/>
        <v>0</v>
      </c>
      <c r="AP269" s="23">
        <f>E266*((1+$C$23)^3-1)</f>
        <v>0</v>
      </c>
      <c r="AQ269" s="23">
        <f>E263*((1+$C$23)^6-1)</f>
        <v>0</v>
      </c>
      <c r="AR269" s="23">
        <v>0</v>
      </c>
      <c r="AU269" s="23">
        <f t="shared" si="130"/>
        <v>13986.111111111111</v>
      </c>
      <c r="AV269" s="23">
        <f t="shared" si="129"/>
        <v>13986.111111111111</v>
      </c>
      <c r="AW269" s="23">
        <f>$E$23/($B$17-$B$16)*2</f>
        <v>27972.222222222223</v>
      </c>
      <c r="AX269" s="23">
        <f>$E$23/($B$17-$B$16)*3</f>
        <v>41958.333333333336</v>
      </c>
      <c r="AY269" s="23">
        <f>$E$23/($B$17-$B$16)*6</f>
        <v>83916.666666666672</v>
      </c>
      <c r="AZ269" s="23">
        <v>0</v>
      </c>
    </row>
    <row r="270" spans="1:52" x14ac:dyDescent="0.25">
      <c r="A270" s="68"/>
      <c r="B270" s="68"/>
      <c r="C270" s="158"/>
      <c r="D270" s="158"/>
      <c r="E270" s="157"/>
      <c r="F270" s="158"/>
      <c r="G270" s="160"/>
      <c r="AD270" s="9" t="str">
        <f t="shared" si="151"/>
        <v/>
      </c>
      <c r="AG270" s="9" t="str">
        <f t="shared" si="136"/>
        <v/>
      </c>
      <c r="AH270" s="9" t="str">
        <f t="shared" si="137"/>
        <v/>
      </c>
      <c r="AL270" s="23">
        <f t="shared" si="128"/>
        <v>0</v>
      </c>
      <c r="AM270" s="23">
        <f t="shared" si="154"/>
        <v>0</v>
      </c>
      <c r="AN270" s="23">
        <f t="shared" si="148"/>
        <v>0</v>
      </c>
      <c r="AO270" s="23">
        <v>0</v>
      </c>
      <c r="AP270" s="23">
        <v>0</v>
      </c>
      <c r="AQ270" s="23">
        <v>0</v>
      </c>
      <c r="AR270" s="23">
        <v>0</v>
      </c>
      <c r="AU270" s="23">
        <f t="shared" si="130"/>
        <v>13986.111111111111</v>
      </c>
      <c r="AV270" s="23">
        <f t="shared" si="129"/>
        <v>13986.111111111111</v>
      </c>
      <c r="AW270" s="23">
        <v>0</v>
      </c>
      <c r="AX270" s="23">
        <v>0</v>
      </c>
      <c r="AY270" s="23">
        <v>0</v>
      </c>
      <c r="AZ270" s="23">
        <v>0</v>
      </c>
    </row>
    <row r="271" spans="1:52" x14ac:dyDescent="0.25">
      <c r="A271" s="68"/>
      <c r="B271" s="68"/>
      <c r="C271" s="158"/>
      <c r="D271" s="158"/>
      <c r="E271" s="157"/>
      <c r="F271" s="158"/>
      <c r="G271" s="160"/>
      <c r="AD271" s="9" t="str">
        <f t="shared" si="151"/>
        <v/>
      </c>
      <c r="AG271" s="9" t="str">
        <f t="shared" si="136"/>
        <v/>
      </c>
      <c r="AH271" s="9" t="str">
        <f t="shared" si="137"/>
        <v/>
      </c>
      <c r="AL271" s="23">
        <f t="shared" si="128"/>
        <v>0</v>
      </c>
      <c r="AM271" s="23">
        <f t="shared" si="154"/>
        <v>0</v>
      </c>
      <c r="AN271" s="23">
        <f t="shared" si="148"/>
        <v>0</v>
      </c>
      <c r="AO271" s="23">
        <f t="shared" ref="AO271:AO283" si="155">E269*((1+$C$23)^2-1)</f>
        <v>0</v>
      </c>
      <c r="AP271" s="23">
        <v>0</v>
      </c>
      <c r="AQ271" s="23">
        <v>0</v>
      </c>
      <c r="AR271" s="23">
        <v>0</v>
      </c>
      <c r="AU271" s="23">
        <f t="shared" si="130"/>
        <v>13986.111111111111</v>
      </c>
      <c r="AV271" s="23">
        <f t="shared" si="129"/>
        <v>13986.111111111111</v>
      </c>
      <c r="AW271" s="23">
        <f>$E$23/($B$17-$B$16)*2</f>
        <v>27972.222222222223</v>
      </c>
      <c r="AX271" s="23">
        <v>0</v>
      </c>
      <c r="AY271" s="23">
        <v>0</v>
      </c>
      <c r="AZ271" s="23">
        <v>0</v>
      </c>
    </row>
    <row r="272" spans="1:52" x14ac:dyDescent="0.25">
      <c r="A272" s="68"/>
      <c r="B272" s="68"/>
      <c r="C272" s="158"/>
      <c r="D272" s="158"/>
      <c r="E272" s="157"/>
      <c r="F272" s="158"/>
      <c r="G272" s="160"/>
      <c r="AD272" s="9" t="str">
        <f t="shared" si="151"/>
        <v/>
      </c>
      <c r="AG272" s="9" t="str">
        <f t="shared" si="136"/>
        <v/>
      </c>
      <c r="AH272" s="9" t="str">
        <f t="shared" si="137"/>
        <v/>
      </c>
      <c r="AL272" s="23">
        <f t="shared" si="128"/>
        <v>0</v>
      </c>
      <c r="AM272" s="23">
        <f t="shared" si="154"/>
        <v>0</v>
      </c>
      <c r="AN272" s="23">
        <f t="shared" si="148"/>
        <v>0</v>
      </c>
      <c r="AO272" s="23">
        <v>0</v>
      </c>
      <c r="AP272" s="23">
        <f t="shared" ref="AP272:AP278" si="156">E269*((1+$C$23)^3-1)</f>
        <v>0</v>
      </c>
      <c r="AQ272" s="23">
        <v>0</v>
      </c>
      <c r="AR272" s="23">
        <v>0</v>
      </c>
      <c r="AU272" s="23">
        <f t="shared" si="130"/>
        <v>13986.111111111111</v>
      </c>
      <c r="AV272" s="23">
        <f t="shared" si="129"/>
        <v>13986.111111111111</v>
      </c>
      <c r="AW272" s="23">
        <v>0</v>
      </c>
      <c r="AX272" s="23">
        <f>$E$23/($B$17-$B$16)*3</f>
        <v>41958.333333333336</v>
      </c>
      <c r="AY272" s="23">
        <v>0</v>
      </c>
      <c r="AZ272" s="23">
        <v>0</v>
      </c>
    </row>
    <row r="273" spans="1:52" x14ac:dyDescent="0.25">
      <c r="A273" s="68"/>
      <c r="B273" s="68"/>
      <c r="C273" s="158"/>
      <c r="D273" s="158"/>
      <c r="E273" s="157"/>
      <c r="F273" s="158"/>
      <c r="G273" s="160"/>
      <c r="AD273" s="9" t="str">
        <f t="shared" si="151"/>
        <v/>
      </c>
      <c r="AG273" s="9" t="str">
        <f t="shared" si="136"/>
        <v/>
      </c>
      <c r="AH273" s="9" t="str">
        <f t="shared" si="137"/>
        <v/>
      </c>
      <c r="AL273" s="23">
        <f t="shared" si="128"/>
        <v>0</v>
      </c>
      <c r="AM273" s="23">
        <f t="shared" si="154"/>
        <v>0</v>
      </c>
      <c r="AN273" s="23">
        <f t="shared" si="148"/>
        <v>0</v>
      </c>
      <c r="AO273" s="23">
        <f t="shared" si="155"/>
        <v>0</v>
      </c>
      <c r="AP273" s="23">
        <v>0</v>
      </c>
      <c r="AQ273" s="23">
        <v>0</v>
      </c>
      <c r="AR273" s="23">
        <v>0</v>
      </c>
      <c r="AU273" s="23">
        <f t="shared" si="130"/>
        <v>13986.111111111111</v>
      </c>
      <c r="AV273" s="23">
        <f t="shared" si="129"/>
        <v>13986.111111111111</v>
      </c>
      <c r="AW273" s="23">
        <f>$E$23/($B$17-$B$16)*2</f>
        <v>27972.222222222223</v>
      </c>
      <c r="AX273" s="23">
        <v>0</v>
      </c>
      <c r="AY273" s="23">
        <v>0</v>
      </c>
      <c r="AZ273" s="23">
        <v>0</v>
      </c>
    </row>
    <row r="274" spans="1:52" x14ac:dyDescent="0.25">
      <c r="A274" s="68"/>
      <c r="B274" s="68"/>
      <c r="C274" s="158"/>
      <c r="D274" s="158"/>
      <c r="E274" s="157"/>
      <c r="F274" s="158"/>
      <c r="G274" s="160"/>
      <c r="AD274" s="9" t="str">
        <f t="shared" si="151"/>
        <v/>
      </c>
      <c r="AG274" s="9" t="str">
        <f t="shared" si="136"/>
        <v/>
      </c>
      <c r="AH274" s="9" t="str">
        <f t="shared" si="137"/>
        <v/>
      </c>
      <c r="AL274" s="23">
        <f t="shared" si="128"/>
        <v>0</v>
      </c>
      <c r="AM274" s="23">
        <f t="shared" si="154"/>
        <v>0</v>
      </c>
      <c r="AN274" s="23">
        <f>E273*$C$23</f>
        <v>0</v>
      </c>
      <c r="AO274" s="23">
        <v>0</v>
      </c>
      <c r="AP274" s="23">
        <v>0</v>
      </c>
      <c r="AQ274" s="23">
        <v>0</v>
      </c>
      <c r="AR274" s="23">
        <v>0</v>
      </c>
      <c r="AU274" s="23">
        <f t="shared" si="130"/>
        <v>13986.111111111111</v>
      </c>
      <c r="AV274" s="23">
        <f t="shared" si="129"/>
        <v>13986.111111111111</v>
      </c>
      <c r="AW274" s="23">
        <v>0</v>
      </c>
      <c r="AX274" s="23">
        <v>0</v>
      </c>
      <c r="AY274" s="23">
        <v>0</v>
      </c>
      <c r="AZ274" s="23">
        <v>0</v>
      </c>
    </row>
    <row r="275" spans="1:52" x14ac:dyDescent="0.25">
      <c r="A275" s="68"/>
      <c r="B275" s="68"/>
      <c r="C275" s="158"/>
      <c r="D275" s="158"/>
      <c r="E275" s="157"/>
      <c r="F275" s="158"/>
      <c r="G275" s="160"/>
      <c r="AD275" s="9" t="str">
        <f t="shared" si="151"/>
        <v/>
      </c>
      <c r="AG275" s="9" t="str">
        <f t="shared" si="136"/>
        <v/>
      </c>
      <c r="AH275" s="9" t="str">
        <f t="shared" si="137"/>
        <v/>
      </c>
      <c r="AL275" s="23">
        <f t="shared" si="128"/>
        <v>0</v>
      </c>
      <c r="AM275" s="23">
        <f t="shared" si="154"/>
        <v>0</v>
      </c>
      <c r="AN275" s="23">
        <f t="shared" ref="AN275:AN286" si="157">E274*$C$23</f>
        <v>0</v>
      </c>
      <c r="AO275" s="23">
        <f t="shared" si="155"/>
        <v>0</v>
      </c>
      <c r="AP275" s="23">
        <f t="shared" si="156"/>
        <v>0</v>
      </c>
      <c r="AQ275" s="23">
        <f t="shared" ref="AQ275" si="158">E269*((1+$C$23)^6-1)</f>
        <v>0</v>
      </c>
      <c r="AR275" s="23">
        <f>E263*((1+$C$23)^12-1)</f>
        <v>0</v>
      </c>
      <c r="AU275" s="23">
        <f t="shared" si="130"/>
        <v>13986.111111111111</v>
      </c>
      <c r="AV275" s="23">
        <f t="shared" si="129"/>
        <v>13986.111111111111</v>
      </c>
      <c r="AW275" s="23">
        <f>$E$23/($B$17-$B$16)*2</f>
        <v>27972.222222222223</v>
      </c>
      <c r="AX275" s="23">
        <f>$E$23/($B$17-$B$16)*3</f>
        <v>41958.333333333336</v>
      </c>
      <c r="AY275" s="23">
        <f>$E$23/($B$17-$B$16)*6</f>
        <v>83916.666666666672</v>
      </c>
      <c r="AZ275" s="23">
        <f>$E$23/($B$17-$B$16)*12</f>
        <v>167833.33333333334</v>
      </c>
    </row>
    <row r="276" spans="1:52" x14ac:dyDescent="0.25">
      <c r="A276" s="68"/>
      <c r="B276" s="68"/>
      <c r="C276" s="158"/>
      <c r="D276" s="158"/>
      <c r="E276" s="157"/>
      <c r="F276" s="158"/>
      <c r="G276" s="160"/>
      <c r="AD276" s="9" t="str">
        <f t="shared" si="151"/>
        <v/>
      </c>
      <c r="AG276" s="9" t="str">
        <f t="shared" si="136"/>
        <v/>
      </c>
      <c r="AH276" s="9" t="str">
        <f t="shared" si="137"/>
        <v/>
      </c>
      <c r="AL276" s="23">
        <f t="shared" si="128"/>
        <v>0</v>
      </c>
      <c r="AM276" s="23">
        <f t="shared" si="154"/>
        <v>0</v>
      </c>
      <c r="AN276" s="23">
        <f t="shared" si="157"/>
        <v>0</v>
      </c>
      <c r="AO276" s="23">
        <v>0</v>
      </c>
      <c r="AP276" s="23">
        <v>0</v>
      </c>
      <c r="AQ276" s="23">
        <v>0</v>
      </c>
      <c r="AR276" s="23">
        <v>0</v>
      </c>
      <c r="AU276" s="23">
        <f t="shared" si="130"/>
        <v>13986.111111111111</v>
      </c>
      <c r="AV276" s="23">
        <f t="shared" si="129"/>
        <v>13986.111111111111</v>
      </c>
      <c r="AW276" s="23">
        <v>0</v>
      </c>
      <c r="AX276" s="23">
        <v>0</v>
      </c>
      <c r="AY276" s="23">
        <v>0</v>
      </c>
      <c r="AZ276" s="23">
        <v>0</v>
      </c>
    </row>
    <row r="277" spans="1:52" x14ac:dyDescent="0.25">
      <c r="A277" s="68"/>
      <c r="B277" s="68"/>
      <c r="C277" s="158"/>
      <c r="D277" s="158"/>
      <c r="E277" s="157"/>
      <c r="F277" s="158"/>
      <c r="G277" s="160"/>
      <c r="AD277" s="9" t="str">
        <f t="shared" si="151"/>
        <v/>
      </c>
      <c r="AG277" s="9" t="str">
        <f t="shared" si="136"/>
        <v/>
      </c>
      <c r="AH277" s="9" t="str">
        <f t="shared" si="137"/>
        <v/>
      </c>
      <c r="AL277" s="23">
        <f t="shared" si="128"/>
        <v>0</v>
      </c>
      <c r="AM277" s="23">
        <f t="shared" si="154"/>
        <v>0</v>
      </c>
      <c r="AN277" s="23">
        <f t="shared" si="157"/>
        <v>0</v>
      </c>
      <c r="AO277" s="23">
        <f t="shared" si="155"/>
        <v>0</v>
      </c>
      <c r="AP277" s="23">
        <v>0</v>
      </c>
      <c r="AQ277" s="23">
        <v>0</v>
      </c>
      <c r="AR277" s="23">
        <v>0</v>
      </c>
      <c r="AU277" s="23">
        <f t="shared" si="130"/>
        <v>13986.111111111111</v>
      </c>
      <c r="AV277" s="23">
        <f t="shared" si="129"/>
        <v>13986.111111111111</v>
      </c>
      <c r="AW277" s="23">
        <f>$E$23/($B$17-$B$16)*2</f>
        <v>27972.222222222223</v>
      </c>
      <c r="AX277" s="23">
        <v>0</v>
      </c>
      <c r="AY277" s="23">
        <v>0</v>
      </c>
      <c r="AZ277" s="23">
        <v>0</v>
      </c>
    </row>
    <row r="278" spans="1:52" x14ac:dyDescent="0.25">
      <c r="A278" s="68"/>
      <c r="B278" s="68"/>
      <c r="C278" s="158"/>
      <c r="D278" s="158"/>
      <c r="E278" s="157"/>
      <c r="F278" s="158"/>
      <c r="G278" s="160"/>
      <c r="AD278" s="9" t="str">
        <f t="shared" si="151"/>
        <v/>
      </c>
      <c r="AG278" s="9" t="str">
        <f t="shared" si="136"/>
        <v/>
      </c>
      <c r="AH278" s="9" t="str">
        <f t="shared" si="137"/>
        <v/>
      </c>
      <c r="AL278" s="23">
        <f t="shared" si="128"/>
        <v>0</v>
      </c>
      <c r="AM278" s="23">
        <f t="shared" si="154"/>
        <v>0</v>
      </c>
      <c r="AN278" s="23">
        <f t="shared" si="157"/>
        <v>0</v>
      </c>
      <c r="AO278" s="23">
        <v>0</v>
      </c>
      <c r="AP278" s="23">
        <f t="shared" si="156"/>
        <v>0</v>
      </c>
      <c r="AQ278" s="23">
        <v>0</v>
      </c>
      <c r="AR278" s="23">
        <v>0</v>
      </c>
      <c r="AU278" s="23">
        <f t="shared" si="130"/>
        <v>13986.111111111111</v>
      </c>
      <c r="AV278" s="23">
        <f t="shared" si="129"/>
        <v>13986.111111111111</v>
      </c>
      <c r="AW278" s="23">
        <v>0</v>
      </c>
      <c r="AX278" s="23">
        <f>$E$23/($B$17-$B$16)*3</f>
        <v>41958.333333333336</v>
      </c>
      <c r="AY278" s="23">
        <v>0</v>
      </c>
      <c r="AZ278" s="23">
        <v>0</v>
      </c>
    </row>
    <row r="279" spans="1:52" x14ac:dyDescent="0.25">
      <c r="A279" s="68"/>
      <c r="B279" s="68"/>
      <c r="C279" s="158"/>
      <c r="D279" s="158"/>
      <c r="E279" s="157"/>
      <c r="F279" s="158"/>
      <c r="G279" s="160"/>
      <c r="AD279" s="9" t="str">
        <f t="shared" si="151"/>
        <v/>
      </c>
      <c r="AG279" s="9" t="str">
        <f t="shared" si="136"/>
        <v/>
      </c>
      <c r="AH279" s="9" t="str">
        <f t="shared" si="137"/>
        <v/>
      </c>
      <c r="AL279" s="23">
        <f t="shared" si="128"/>
        <v>0</v>
      </c>
      <c r="AM279" s="23">
        <f t="shared" si="154"/>
        <v>0</v>
      </c>
      <c r="AN279" s="23">
        <f t="shared" si="157"/>
        <v>0</v>
      </c>
      <c r="AO279" s="23">
        <f t="shared" si="155"/>
        <v>0</v>
      </c>
      <c r="AP279" s="23">
        <v>0</v>
      </c>
      <c r="AQ279" s="23">
        <v>0</v>
      </c>
      <c r="AR279" s="23">
        <v>0</v>
      </c>
      <c r="AU279" s="23">
        <f t="shared" si="130"/>
        <v>13986.111111111111</v>
      </c>
      <c r="AV279" s="23">
        <f t="shared" si="129"/>
        <v>13986.111111111111</v>
      </c>
      <c r="AW279" s="23">
        <f>$E$23/($B$17-$B$16)*2</f>
        <v>27972.222222222223</v>
      </c>
      <c r="AX279" s="23">
        <v>0</v>
      </c>
      <c r="AY279" s="23">
        <v>0</v>
      </c>
      <c r="AZ279" s="23">
        <v>0</v>
      </c>
    </row>
    <row r="280" spans="1:52" x14ac:dyDescent="0.25">
      <c r="A280" s="68"/>
      <c r="B280" s="68"/>
      <c r="C280" s="158"/>
      <c r="D280" s="158"/>
      <c r="E280" s="157"/>
      <c r="F280" s="158"/>
      <c r="G280" s="160"/>
      <c r="AD280" s="9" t="str">
        <f t="shared" si="151"/>
        <v/>
      </c>
      <c r="AG280" s="9" t="str">
        <f t="shared" si="136"/>
        <v/>
      </c>
      <c r="AH280" s="9" t="str">
        <f t="shared" si="137"/>
        <v/>
      </c>
      <c r="AL280" s="23">
        <f t="shared" ref="AL280:AL286" si="159">IF(A280&lt;=$B$16,AM280,E279*$C$23)</f>
        <v>0</v>
      </c>
      <c r="AM280" s="23">
        <f t="shared" si="154"/>
        <v>0</v>
      </c>
      <c r="AN280" s="23">
        <f t="shared" si="157"/>
        <v>0</v>
      </c>
      <c r="AO280" s="23">
        <v>0</v>
      </c>
      <c r="AP280" s="23">
        <v>0</v>
      </c>
      <c r="AQ280" s="23">
        <v>0</v>
      </c>
      <c r="AR280" s="23">
        <v>0</v>
      </c>
      <c r="AU280" s="23">
        <f t="shared" si="130"/>
        <v>13986.111111111111</v>
      </c>
      <c r="AV280" s="23">
        <f t="shared" ref="AV280:AV286" si="160">$E$23/($B$17-$B$16)</f>
        <v>13986.111111111111</v>
      </c>
      <c r="AW280" s="23">
        <v>0</v>
      </c>
      <c r="AX280" s="23">
        <v>0</v>
      </c>
      <c r="AY280" s="23">
        <v>0</v>
      </c>
      <c r="AZ280" s="23">
        <v>0</v>
      </c>
    </row>
    <row r="281" spans="1:52" x14ac:dyDescent="0.25">
      <c r="A281" s="68"/>
      <c r="B281" s="68"/>
      <c r="C281" s="158"/>
      <c r="D281" s="158"/>
      <c r="E281" s="157"/>
      <c r="F281" s="158"/>
      <c r="G281" s="160"/>
      <c r="AD281" s="9" t="str">
        <f t="shared" si="151"/>
        <v/>
      </c>
      <c r="AG281" s="9" t="str">
        <f t="shared" si="136"/>
        <v/>
      </c>
      <c r="AH281" s="9" t="str">
        <f t="shared" si="137"/>
        <v/>
      </c>
      <c r="AL281" s="23">
        <f t="shared" si="159"/>
        <v>0</v>
      </c>
      <c r="AM281" s="23">
        <f t="shared" si="154"/>
        <v>0</v>
      </c>
      <c r="AN281" s="23">
        <f t="shared" si="157"/>
        <v>0</v>
      </c>
      <c r="AO281" s="23">
        <f t="shared" si="155"/>
        <v>0</v>
      </c>
      <c r="AP281" s="23">
        <f t="shared" ref="AP281:AP284" si="161">E278*((1+$C$23)^3-1)</f>
        <v>0</v>
      </c>
      <c r="AQ281" s="23">
        <f t="shared" ref="AQ281" si="162">E275*((1+$C$23)^6-1)</f>
        <v>0</v>
      </c>
      <c r="AR281" s="23">
        <v>0</v>
      </c>
      <c r="AU281" s="23">
        <f t="shared" ref="AU281:AU286" si="163">IF($AV$17=1,AV281,IF($AV$17=2,AW281,IF($AV$17=3,AX281,IF($AV$17=4,AY281,IF($AV$17=5,AZ281)))))</f>
        <v>13986.111111111111</v>
      </c>
      <c r="AV281" s="23">
        <f t="shared" si="160"/>
        <v>13986.111111111111</v>
      </c>
      <c r="AW281" s="23">
        <f>$E$23/($B$17-$B$16)*2</f>
        <v>27972.222222222223</v>
      </c>
      <c r="AX281" s="23">
        <f>$E$23/($B$17-$B$16)*3</f>
        <v>41958.333333333336</v>
      </c>
      <c r="AY281" s="23">
        <f>$E$23/($B$17-$B$16)*6</f>
        <v>83916.666666666672</v>
      </c>
      <c r="AZ281" s="23">
        <v>0</v>
      </c>
    </row>
    <row r="282" spans="1:52" x14ac:dyDescent="0.25">
      <c r="A282" s="68"/>
      <c r="B282" s="68"/>
      <c r="C282" s="158"/>
      <c r="D282" s="158"/>
      <c r="E282" s="157"/>
      <c r="F282" s="158"/>
      <c r="G282" s="160"/>
      <c r="AD282" s="9" t="str">
        <f t="shared" si="151"/>
        <v/>
      </c>
      <c r="AG282" s="9" t="str">
        <f t="shared" si="136"/>
        <v/>
      </c>
      <c r="AH282" s="9" t="str">
        <f t="shared" si="137"/>
        <v/>
      </c>
      <c r="AL282" s="23">
        <f t="shared" si="159"/>
        <v>0</v>
      </c>
      <c r="AM282" s="23">
        <f t="shared" si="154"/>
        <v>0</v>
      </c>
      <c r="AN282" s="23">
        <f t="shared" si="157"/>
        <v>0</v>
      </c>
      <c r="AO282" s="23">
        <v>0</v>
      </c>
      <c r="AP282" s="23">
        <v>0</v>
      </c>
      <c r="AQ282" s="23">
        <v>0</v>
      </c>
      <c r="AR282" s="23">
        <v>0</v>
      </c>
      <c r="AU282" s="23">
        <f t="shared" si="163"/>
        <v>13986.111111111111</v>
      </c>
      <c r="AV282" s="23">
        <f t="shared" si="160"/>
        <v>13986.111111111111</v>
      </c>
      <c r="AW282" s="23">
        <v>0</v>
      </c>
      <c r="AX282" s="23">
        <v>0</v>
      </c>
      <c r="AY282" s="23">
        <v>0</v>
      </c>
      <c r="AZ282" s="23">
        <v>0</v>
      </c>
    </row>
    <row r="283" spans="1:52" x14ac:dyDescent="0.25">
      <c r="A283" s="68"/>
      <c r="B283" s="68"/>
      <c r="C283" s="158"/>
      <c r="D283" s="158"/>
      <c r="E283" s="157"/>
      <c r="F283" s="158"/>
      <c r="G283" s="160"/>
      <c r="AD283" s="9" t="str">
        <f t="shared" si="151"/>
        <v/>
      </c>
      <c r="AG283" s="9" t="str">
        <f t="shared" si="136"/>
        <v/>
      </c>
      <c r="AH283" s="9" t="str">
        <f t="shared" si="137"/>
        <v/>
      </c>
      <c r="AL283" s="23">
        <f t="shared" si="159"/>
        <v>0</v>
      </c>
      <c r="AM283" s="23">
        <f t="shared" si="154"/>
        <v>0</v>
      </c>
      <c r="AN283" s="23">
        <f t="shared" si="157"/>
        <v>0</v>
      </c>
      <c r="AO283" s="23">
        <f t="shared" si="155"/>
        <v>0</v>
      </c>
      <c r="AP283" s="23">
        <v>0</v>
      </c>
      <c r="AQ283" s="23">
        <v>0</v>
      </c>
      <c r="AR283" s="23">
        <v>0</v>
      </c>
      <c r="AU283" s="23">
        <f t="shared" si="163"/>
        <v>13986.111111111111</v>
      </c>
      <c r="AV283" s="23">
        <f t="shared" si="160"/>
        <v>13986.111111111111</v>
      </c>
      <c r="AW283" s="23">
        <f>$E$23/($B$17-$B$16)*2</f>
        <v>27972.222222222223</v>
      </c>
      <c r="AX283" s="23">
        <v>0</v>
      </c>
      <c r="AY283" s="23">
        <v>0</v>
      </c>
      <c r="AZ283" s="23">
        <v>0</v>
      </c>
    </row>
    <row r="284" spans="1:52" x14ac:dyDescent="0.25">
      <c r="A284" s="68"/>
      <c r="B284" s="68"/>
      <c r="C284" s="158"/>
      <c r="D284" s="158"/>
      <c r="E284" s="157"/>
      <c r="F284" s="158"/>
      <c r="G284" s="160"/>
      <c r="AD284" s="9" t="str">
        <f t="shared" si="151"/>
        <v/>
      </c>
      <c r="AG284" s="9" t="str">
        <f t="shared" si="136"/>
        <v/>
      </c>
      <c r="AH284" s="9" t="str">
        <f t="shared" si="137"/>
        <v/>
      </c>
      <c r="AL284" s="23">
        <f t="shared" si="159"/>
        <v>0</v>
      </c>
      <c r="AM284" s="23">
        <f t="shared" si="154"/>
        <v>0</v>
      </c>
      <c r="AN284" s="23">
        <f t="shared" si="157"/>
        <v>0</v>
      </c>
      <c r="AO284" s="23">
        <v>0</v>
      </c>
      <c r="AP284" s="23">
        <f t="shared" si="161"/>
        <v>0</v>
      </c>
      <c r="AQ284" s="23">
        <v>0</v>
      </c>
      <c r="AR284" s="23">
        <v>0</v>
      </c>
      <c r="AU284" s="23">
        <f t="shared" si="163"/>
        <v>13986.111111111111</v>
      </c>
      <c r="AV284" s="23">
        <f t="shared" si="160"/>
        <v>13986.111111111111</v>
      </c>
      <c r="AW284" s="23">
        <v>0</v>
      </c>
      <c r="AX284" s="23">
        <f>$E$23/($B$17-$B$16)*3</f>
        <v>41958.333333333336</v>
      </c>
      <c r="AY284" s="23">
        <v>0</v>
      </c>
      <c r="AZ284" s="23">
        <v>0</v>
      </c>
    </row>
    <row r="285" spans="1:52" x14ac:dyDescent="0.25">
      <c r="A285" s="68"/>
      <c r="B285" s="68"/>
      <c r="C285" s="158"/>
      <c r="D285" s="158"/>
      <c r="E285" s="157"/>
      <c r="F285" s="158"/>
      <c r="G285" s="160"/>
      <c r="AD285" s="9" t="str">
        <f t="shared" si="151"/>
        <v/>
      </c>
      <c r="AG285" s="9" t="str">
        <f t="shared" si="136"/>
        <v/>
      </c>
      <c r="AH285" s="9" t="str">
        <f t="shared" si="137"/>
        <v/>
      </c>
      <c r="AL285" s="23">
        <f t="shared" si="159"/>
        <v>0</v>
      </c>
      <c r="AM285" s="23">
        <f t="shared" si="154"/>
        <v>0</v>
      </c>
      <c r="AN285" s="23">
        <f t="shared" si="157"/>
        <v>0</v>
      </c>
      <c r="AO285" s="23">
        <f>E283*((1+$C$23)^2-1)</f>
        <v>0</v>
      </c>
      <c r="AP285" s="23">
        <v>0</v>
      </c>
      <c r="AQ285" s="23">
        <v>0</v>
      </c>
      <c r="AR285" s="23">
        <v>0</v>
      </c>
      <c r="AU285" s="23">
        <f t="shared" si="163"/>
        <v>13986.111111111111</v>
      </c>
      <c r="AV285" s="23">
        <f t="shared" si="160"/>
        <v>13986.111111111111</v>
      </c>
      <c r="AW285" s="23">
        <f>$E$23/($B$17-$B$16)*2</f>
        <v>27972.222222222223</v>
      </c>
      <c r="AX285" s="23">
        <v>0</v>
      </c>
      <c r="AY285" s="23">
        <v>0</v>
      </c>
      <c r="AZ285" s="23">
        <v>0</v>
      </c>
    </row>
    <row r="286" spans="1:52" x14ac:dyDescent="0.25">
      <c r="A286" s="68"/>
      <c r="B286" s="68"/>
      <c r="C286" s="158"/>
      <c r="D286" s="158"/>
      <c r="E286" s="157"/>
      <c r="F286" s="158"/>
      <c r="G286" s="160"/>
      <c r="AD286" s="9" t="str">
        <f t="shared" si="151"/>
        <v/>
      </c>
      <c r="AG286" s="9" t="str">
        <f t="shared" si="136"/>
        <v/>
      </c>
      <c r="AH286" s="9" t="str">
        <f t="shared" si="137"/>
        <v/>
      </c>
      <c r="AL286" s="23">
        <f t="shared" si="159"/>
        <v>0</v>
      </c>
      <c r="AM286" s="23">
        <f t="shared" si="154"/>
        <v>0</v>
      </c>
      <c r="AN286" s="23">
        <f t="shared" si="157"/>
        <v>0</v>
      </c>
      <c r="AO286" s="23">
        <v>0</v>
      </c>
      <c r="AP286" s="23">
        <v>0</v>
      </c>
      <c r="AQ286" s="23">
        <v>0</v>
      </c>
      <c r="AR286" s="23">
        <v>0</v>
      </c>
      <c r="AU286" s="23">
        <f t="shared" si="163"/>
        <v>13986.111111111111</v>
      </c>
      <c r="AV286" s="23">
        <f t="shared" si="160"/>
        <v>13986.111111111111</v>
      </c>
      <c r="AW286" s="23">
        <v>0</v>
      </c>
      <c r="AX286" s="23">
        <v>0</v>
      </c>
      <c r="AY286" s="23">
        <v>0</v>
      </c>
      <c r="AZ286" s="23">
        <v>0</v>
      </c>
    </row>
    <row r="287" spans="1:52" x14ac:dyDescent="0.25">
      <c r="A287" s="68"/>
      <c r="B287" s="68"/>
      <c r="C287" s="158"/>
      <c r="D287" s="158"/>
      <c r="E287" s="157"/>
      <c r="F287" s="158"/>
      <c r="G287" s="160"/>
      <c r="AD287" s="9" t="str">
        <f t="shared" si="151"/>
        <v/>
      </c>
      <c r="AG287" s="9" t="str">
        <f t="shared" ref="AG287:AG350" si="164">IF(AF287="","",IF(AF287&lt;365,AF287*AC$25*AD287,365*AD287*AC$25))</f>
        <v/>
      </c>
      <c r="AH287" s="9" t="str">
        <f t="shared" ref="AH287:AH310" si="165">IF(AF287="","",IF(AF287&lt;365,AF287*AC$26*AD287,365*AD287*AC$26))</f>
        <v/>
      </c>
      <c r="AM287" s="23"/>
      <c r="AN287" s="23"/>
      <c r="AO287" s="23"/>
      <c r="AP287" s="23"/>
      <c r="AQ287" s="23"/>
      <c r="AW287" s="23"/>
      <c r="AX287" s="23"/>
      <c r="AY287" s="23"/>
      <c r="AZ287" s="23"/>
    </row>
    <row r="288" spans="1:52" x14ac:dyDescent="0.25">
      <c r="A288" s="68"/>
      <c r="B288" s="68"/>
      <c r="C288" s="158"/>
      <c r="D288" s="158"/>
      <c r="E288" s="157"/>
      <c r="F288" s="158"/>
      <c r="G288" s="160"/>
      <c r="AD288" s="9" t="str">
        <f t="shared" si="151"/>
        <v/>
      </c>
      <c r="AG288" s="9" t="str">
        <f t="shared" si="164"/>
        <v/>
      </c>
      <c r="AH288" s="9" t="str">
        <f t="shared" si="165"/>
        <v/>
      </c>
      <c r="AM288" s="23"/>
      <c r="AN288" s="23"/>
      <c r="AO288" s="23"/>
      <c r="AP288" s="23"/>
      <c r="AQ288" s="23"/>
    </row>
    <row r="289" spans="1:43" x14ac:dyDescent="0.25">
      <c r="A289" s="68"/>
      <c r="B289" s="68"/>
      <c r="C289" s="158"/>
      <c r="D289" s="158"/>
      <c r="E289" s="157"/>
      <c r="F289" s="158"/>
      <c r="G289" s="160"/>
      <c r="AD289" s="9" t="str">
        <f t="shared" si="151"/>
        <v/>
      </c>
      <c r="AG289" s="9" t="str">
        <f t="shared" si="164"/>
        <v/>
      </c>
      <c r="AH289" s="9" t="str">
        <f t="shared" si="165"/>
        <v/>
      </c>
      <c r="AM289" s="23"/>
      <c r="AN289" s="23"/>
      <c r="AO289" s="23"/>
      <c r="AP289" s="23"/>
      <c r="AQ289" s="23"/>
    </row>
    <row r="290" spans="1:43" x14ac:dyDescent="0.25">
      <c r="A290" s="68"/>
      <c r="B290" s="68"/>
      <c r="C290" s="158"/>
      <c r="D290" s="158"/>
      <c r="E290" s="157"/>
      <c r="F290" s="158"/>
      <c r="G290" s="160"/>
      <c r="AD290" s="9" t="str">
        <f t="shared" ref="AD290:AD321" si="166">IF(AC290="","",C285)</f>
        <v/>
      </c>
      <c r="AG290" s="9" t="str">
        <f t="shared" si="164"/>
        <v/>
      </c>
      <c r="AH290" s="9" t="str">
        <f t="shared" si="165"/>
        <v/>
      </c>
      <c r="AM290" s="23"/>
      <c r="AN290" s="23"/>
      <c r="AO290" s="23"/>
      <c r="AP290" s="23"/>
      <c r="AQ290" s="23"/>
    </row>
    <row r="291" spans="1:43" x14ac:dyDescent="0.25">
      <c r="A291" s="68"/>
      <c r="B291" s="68"/>
      <c r="C291" s="158"/>
      <c r="D291" s="158"/>
      <c r="E291" s="157"/>
      <c r="F291" s="158"/>
      <c r="G291" s="160"/>
      <c r="AD291" s="9" t="str">
        <f t="shared" si="166"/>
        <v/>
      </c>
      <c r="AG291" s="9" t="str">
        <f t="shared" si="164"/>
        <v/>
      </c>
      <c r="AH291" s="9" t="str">
        <f t="shared" si="165"/>
        <v/>
      </c>
      <c r="AM291" s="23"/>
      <c r="AN291" s="23"/>
      <c r="AO291" s="23"/>
      <c r="AP291" s="23"/>
      <c r="AQ291" s="23"/>
    </row>
    <row r="292" spans="1:43" x14ac:dyDescent="0.25">
      <c r="A292" s="68"/>
      <c r="B292" s="68"/>
      <c r="C292" s="158"/>
      <c r="D292" s="158"/>
      <c r="E292" s="157"/>
      <c r="F292" s="158"/>
      <c r="G292" s="160"/>
      <c r="AD292" s="9" t="str">
        <f t="shared" si="166"/>
        <v/>
      </c>
      <c r="AG292" s="9" t="str">
        <f t="shared" si="164"/>
        <v/>
      </c>
      <c r="AH292" s="9" t="str">
        <f t="shared" si="165"/>
        <v/>
      </c>
      <c r="AM292" s="23"/>
      <c r="AN292" s="23"/>
      <c r="AO292" s="23"/>
      <c r="AP292" s="23"/>
      <c r="AQ292" s="23"/>
    </row>
    <row r="293" spans="1:43" x14ac:dyDescent="0.25">
      <c r="A293" s="68"/>
      <c r="B293" s="68"/>
      <c r="C293" s="158"/>
      <c r="D293" s="158"/>
      <c r="E293" s="157"/>
      <c r="F293" s="158"/>
      <c r="G293" s="160"/>
      <c r="AD293" s="9" t="str">
        <f t="shared" si="166"/>
        <v/>
      </c>
      <c r="AG293" s="9" t="str">
        <f t="shared" si="164"/>
        <v/>
      </c>
      <c r="AH293" s="9" t="str">
        <f t="shared" si="165"/>
        <v/>
      </c>
      <c r="AM293" s="23"/>
      <c r="AN293" s="23"/>
      <c r="AO293" s="23"/>
      <c r="AP293" s="23"/>
      <c r="AQ293" s="23"/>
    </row>
    <row r="294" spans="1:43" x14ac:dyDescent="0.25">
      <c r="A294" s="68"/>
      <c r="B294" s="68"/>
      <c r="C294" s="158"/>
      <c r="D294" s="158"/>
      <c r="E294" s="157"/>
      <c r="F294" s="158"/>
      <c r="G294" s="160"/>
      <c r="AD294" s="9" t="str">
        <f t="shared" si="166"/>
        <v/>
      </c>
      <c r="AG294" s="9" t="str">
        <f t="shared" si="164"/>
        <v/>
      </c>
      <c r="AH294" s="9" t="str">
        <f t="shared" si="165"/>
        <v/>
      </c>
      <c r="AN294" s="23"/>
      <c r="AO294" s="23"/>
    </row>
    <row r="295" spans="1:43" x14ac:dyDescent="0.25">
      <c r="A295" s="68"/>
      <c r="B295" s="68"/>
      <c r="C295" s="158"/>
      <c r="D295" s="158"/>
      <c r="E295" s="157"/>
      <c r="F295" s="158"/>
      <c r="G295" s="160"/>
      <c r="AD295" s="9" t="str">
        <f t="shared" si="166"/>
        <v/>
      </c>
      <c r="AG295" s="9" t="str">
        <f t="shared" si="164"/>
        <v/>
      </c>
      <c r="AH295" s="9" t="str">
        <f t="shared" si="165"/>
        <v/>
      </c>
      <c r="AN295" s="23"/>
      <c r="AO295" s="23"/>
    </row>
    <row r="296" spans="1:43" x14ac:dyDescent="0.25">
      <c r="A296" s="68"/>
      <c r="B296" s="68"/>
      <c r="C296" s="158"/>
      <c r="D296" s="158"/>
      <c r="E296" s="157"/>
      <c r="F296" s="158"/>
      <c r="G296" s="160"/>
      <c r="AD296" s="9" t="str">
        <f t="shared" si="166"/>
        <v/>
      </c>
      <c r="AG296" s="9" t="str">
        <f t="shared" si="164"/>
        <v/>
      </c>
      <c r="AH296" s="9" t="str">
        <f t="shared" si="165"/>
        <v/>
      </c>
      <c r="AN296" s="23"/>
      <c r="AO296" s="23"/>
    </row>
    <row r="297" spans="1:43" x14ac:dyDescent="0.25">
      <c r="A297" s="68"/>
      <c r="B297" s="68"/>
      <c r="C297" s="158"/>
      <c r="D297" s="158"/>
      <c r="E297" s="157"/>
      <c r="F297" s="158"/>
      <c r="G297" s="160"/>
      <c r="AD297" s="9" t="str">
        <f t="shared" si="166"/>
        <v/>
      </c>
      <c r="AG297" s="9" t="str">
        <f t="shared" si="164"/>
        <v/>
      </c>
      <c r="AH297" s="9" t="str">
        <f t="shared" si="165"/>
        <v/>
      </c>
      <c r="AN297" s="23"/>
      <c r="AO297" s="23"/>
    </row>
    <row r="298" spans="1:43" x14ac:dyDescent="0.25">
      <c r="A298" s="68"/>
      <c r="B298" s="68"/>
      <c r="C298" s="158"/>
      <c r="D298" s="158"/>
      <c r="E298" s="157"/>
      <c r="F298" s="158"/>
      <c r="G298" s="160"/>
      <c r="AD298" s="9" t="str">
        <f t="shared" si="166"/>
        <v/>
      </c>
      <c r="AG298" s="9" t="str">
        <f t="shared" si="164"/>
        <v/>
      </c>
      <c r="AH298" s="9" t="str">
        <f t="shared" si="165"/>
        <v/>
      </c>
      <c r="AN298" s="23"/>
      <c r="AO298" s="23"/>
    </row>
    <row r="299" spans="1:43" x14ac:dyDescent="0.25">
      <c r="A299" s="68"/>
      <c r="B299" s="68"/>
      <c r="C299" s="158"/>
      <c r="D299" s="158"/>
      <c r="E299" s="157"/>
      <c r="F299" s="158"/>
      <c r="G299" s="160"/>
      <c r="AD299" s="9" t="str">
        <f t="shared" si="166"/>
        <v/>
      </c>
      <c r="AG299" s="9" t="str">
        <f t="shared" si="164"/>
        <v/>
      </c>
      <c r="AH299" s="9" t="str">
        <f t="shared" si="165"/>
        <v/>
      </c>
      <c r="AO299" s="23"/>
    </row>
    <row r="300" spans="1:43" x14ac:dyDescent="0.25">
      <c r="A300" s="68"/>
      <c r="B300" s="68"/>
      <c r="C300" s="158"/>
      <c r="D300" s="158"/>
      <c r="E300" s="157"/>
      <c r="F300" s="158"/>
      <c r="G300" s="160"/>
      <c r="AD300" s="9" t="str">
        <f t="shared" si="166"/>
        <v/>
      </c>
      <c r="AG300" s="9" t="str">
        <f t="shared" si="164"/>
        <v/>
      </c>
      <c r="AH300" s="9" t="str">
        <f t="shared" si="165"/>
        <v/>
      </c>
      <c r="AO300" s="23"/>
    </row>
    <row r="301" spans="1:43" x14ac:dyDescent="0.25">
      <c r="A301" s="68"/>
      <c r="B301" s="68"/>
      <c r="C301" s="158"/>
      <c r="D301" s="158"/>
      <c r="E301" s="157"/>
      <c r="F301" s="158"/>
      <c r="G301" s="160"/>
      <c r="AD301" s="9" t="str">
        <f t="shared" si="166"/>
        <v/>
      </c>
      <c r="AG301" s="9" t="str">
        <f t="shared" si="164"/>
        <v/>
      </c>
      <c r="AH301" s="9" t="str">
        <f t="shared" si="165"/>
        <v/>
      </c>
      <c r="AO301" s="23"/>
    </row>
    <row r="302" spans="1:43" x14ac:dyDescent="0.25">
      <c r="A302" s="68"/>
      <c r="B302" s="68"/>
      <c r="C302" s="158"/>
      <c r="D302" s="158"/>
      <c r="E302" s="157"/>
      <c r="F302" s="158"/>
      <c r="G302" s="160"/>
      <c r="AD302" s="9" t="str">
        <f t="shared" si="166"/>
        <v/>
      </c>
      <c r="AG302" s="9" t="str">
        <f t="shared" si="164"/>
        <v/>
      </c>
      <c r="AH302" s="9" t="str">
        <f t="shared" si="165"/>
        <v/>
      </c>
      <c r="AO302" s="23"/>
    </row>
    <row r="303" spans="1:43" x14ac:dyDescent="0.25">
      <c r="A303" s="68"/>
      <c r="B303" s="68"/>
      <c r="C303" s="158"/>
      <c r="D303" s="158"/>
      <c r="E303" s="157"/>
      <c r="F303" s="158"/>
      <c r="G303" s="160"/>
      <c r="AD303" s="9" t="str">
        <f t="shared" si="166"/>
        <v/>
      </c>
      <c r="AG303" s="9" t="str">
        <f t="shared" si="164"/>
        <v/>
      </c>
      <c r="AH303" s="9" t="str">
        <f t="shared" si="165"/>
        <v/>
      </c>
      <c r="AO303" s="23"/>
    </row>
    <row r="304" spans="1:43" x14ac:dyDescent="0.25">
      <c r="A304" s="68"/>
      <c r="B304" s="68"/>
      <c r="C304" s="158"/>
      <c r="D304" s="158"/>
      <c r="E304" s="157"/>
      <c r="F304" s="158"/>
      <c r="G304" s="160"/>
      <c r="AD304" s="9" t="str">
        <f t="shared" si="166"/>
        <v/>
      </c>
      <c r="AG304" s="9" t="str">
        <f t="shared" si="164"/>
        <v/>
      </c>
      <c r="AH304" s="9" t="str">
        <f t="shared" si="165"/>
        <v/>
      </c>
      <c r="AO304" s="23"/>
    </row>
    <row r="305" spans="1:41" x14ac:dyDescent="0.25">
      <c r="A305" s="68"/>
      <c r="B305" s="68"/>
      <c r="C305" s="65"/>
      <c r="D305" s="65"/>
      <c r="E305" s="66"/>
      <c r="F305" s="65"/>
      <c r="G305" s="67"/>
      <c r="AD305" s="9" t="str">
        <f t="shared" si="166"/>
        <v/>
      </c>
      <c r="AG305" s="9" t="str">
        <f t="shared" si="164"/>
        <v/>
      </c>
      <c r="AH305" s="9" t="str">
        <f t="shared" si="165"/>
        <v/>
      </c>
      <c r="AO305" s="23"/>
    </row>
    <row r="306" spans="1:41" x14ac:dyDescent="0.25">
      <c r="A306" s="68"/>
      <c r="B306" s="68"/>
      <c r="C306" s="65"/>
      <c r="D306" s="65"/>
      <c r="E306" s="66"/>
      <c r="F306" s="65"/>
      <c r="G306" s="67"/>
      <c r="AD306" s="9" t="str">
        <f t="shared" si="166"/>
        <v/>
      </c>
      <c r="AG306" s="9" t="str">
        <f t="shared" si="164"/>
        <v/>
      </c>
      <c r="AH306" s="9" t="str">
        <f t="shared" si="165"/>
        <v/>
      </c>
      <c r="AO306" s="23"/>
    </row>
    <row r="307" spans="1:41" x14ac:dyDescent="0.25">
      <c r="A307" s="68"/>
      <c r="B307" s="68"/>
      <c r="C307" s="65"/>
      <c r="D307" s="65"/>
      <c r="E307" s="66"/>
      <c r="F307" s="65"/>
      <c r="G307" s="67"/>
      <c r="AD307" s="9" t="str">
        <f t="shared" si="166"/>
        <v/>
      </c>
      <c r="AG307" s="9" t="str">
        <f t="shared" si="164"/>
        <v/>
      </c>
      <c r="AH307" s="9" t="str">
        <f t="shared" si="165"/>
        <v/>
      </c>
      <c r="AO307" s="23"/>
    </row>
    <row r="308" spans="1:41" x14ac:dyDescent="0.25">
      <c r="A308" s="68"/>
      <c r="B308" s="68"/>
      <c r="C308" s="65"/>
      <c r="D308" s="65"/>
      <c r="E308" s="66"/>
      <c r="F308" s="65"/>
      <c r="G308" s="67"/>
      <c r="AD308" s="9" t="str">
        <f t="shared" si="166"/>
        <v/>
      </c>
      <c r="AG308" s="9" t="str">
        <f t="shared" si="164"/>
        <v/>
      </c>
      <c r="AH308" s="9" t="str">
        <f t="shared" si="165"/>
        <v/>
      </c>
      <c r="AO308" s="23"/>
    </row>
    <row r="309" spans="1:41" x14ac:dyDescent="0.25">
      <c r="A309" s="68"/>
      <c r="B309" s="68"/>
      <c r="C309" s="65"/>
      <c r="D309" s="65"/>
      <c r="E309" s="66"/>
      <c r="F309" s="65"/>
      <c r="G309" s="67"/>
      <c r="AD309" s="9" t="str">
        <f t="shared" si="166"/>
        <v/>
      </c>
      <c r="AG309" s="9" t="str">
        <f t="shared" si="164"/>
        <v/>
      </c>
      <c r="AH309" s="9" t="str">
        <f t="shared" si="165"/>
        <v/>
      </c>
      <c r="AO309" s="23"/>
    </row>
    <row r="310" spans="1:41" x14ac:dyDescent="0.25">
      <c r="A310" s="68"/>
      <c r="B310" s="68"/>
      <c r="C310" s="65"/>
      <c r="D310" s="65"/>
      <c r="E310" s="66"/>
      <c r="F310" s="65"/>
      <c r="G310" s="67"/>
      <c r="AD310" s="9" t="str">
        <f t="shared" si="166"/>
        <v/>
      </c>
      <c r="AG310" s="9" t="str">
        <f t="shared" si="164"/>
        <v/>
      </c>
      <c r="AH310" s="9" t="str">
        <f t="shared" si="165"/>
        <v/>
      </c>
    </row>
    <row r="311" spans="1:41" x14ac:dyDescent="0.25">
      <c r="A311" s="68"/>
      <c r="B311" s="68"/>
      <c r="C311" s="65"/>
      <c r="D311" s="65"/>
      <c r="E311" s="66"/>
      <c r="F311" s="65"/>
      <c r="G311" s="67"/>
      <c r="AD311" s="9" t="str">
        <f t="shared" si="166"/>
        <v/>
      </c>
      <c r="AG311" s="9" t="str">
        <f t="shared" si="164"/>
        <v/>
      </c>
    </row>
    <row r="312" spans="1:41" x14ac:dyDescent="0.25">
      <c r="A312" s="68"/>
      <c r="B312" s="68"/>
      <c r="C312" s="65"/>
      <c r="D312" s="65"/>
      <c r="E312" s="66"/>
      <c r="F312" s="65"/>
      <c r="G312" s="67"/>
      <c r="AD312" s="9" t="str">
        <f t="shared" si="166"/>
        <v/>
      </c>
      <c r="AG312" s="9" t="str">
        <f t="shared" si="164"/>
        <v/>
      </c>
    </row>
    <row r="313" spans="1:41" x14ac:dyDescent="0.25">
      <c r="A313" s="68"/>
      <c r="B313" s="68"/>
      <c r="C313" s="65"/>
      <c r="D313" s="65"/>
      <c r="E313" s="66"/>
      <c r="F313" s="65"/>
      <c r="G313" s="67"/>
      <c r="AD313" s="9" t="str">
        <f t="shared" si="166"/>
        <v/>
      </c>
      <c r="AG313" s="9" t="str">
        <f t="shared" si="164"/>
        <v/>
      </c>
    </row>
    <row r="314" spans="1:41" x14ac:dyDescent="0.25">
      <c r="A314" s="68"/>
      <c r="B314" s="68"/>
      <c r="C314" s="65"/>
      <c r="D314" s="65"/>
      <c r="E314" s="66"/>
      <c r="F314" s="65"/>
      <c r="G314" s="67"/>
      <c r="AD314" s="9" t="str">
        <f t="shared" si="166"/>
        <v/>
      </c>
      <c r="AG314" s="9" t="str">
        <f t="shared" si="164"/>
        <v/>
      </c>
    </row>
    <row r="315" spans="1:41" x14ac:dyDescent="0.25">
      <c r="A315" s="68"/>
      <c r="B315" s="68"/>
      <c r="C315" s="65"/>
      <c r="D315" s="65"/>
      <c r="E315" s="66"/>
      <c r="F315" s="65"/>
      <c r="G315" s="67"/>
      <c r="AD315" s="9" t="str">
        <f t="shared" si="166"/>
        <v/>
      </c>
      <c r="AG315" s="9" t="str">
        <f t="shared" si="164"/>
        <v/>
      </c>
    </row>
    <row r="316" spans="1:41" x14ac:dyDescent="0.25">
      <c r="A316" s="68"/>
      <c r="B316" s="68"/>
      <c r="C316" s="65"/>
      <c r="D316" s="65"/>
      <c r="E316" s="66"/>
      <c r="F316" s="65"/>
      <c r="G316" s="67"/>
      <c r="AD316" s="9" t="str">
        <f t="shared" si="166"/>
        <v/>
      </c>
      <c r="AG316" s="9" t="str">
        <f t="shared" si="164"/>
        <v/>
      </c>
    </row>
    <row r="317" spans="1:41" x14ac:dyDescent="0.25">
      <c r="A317" s="68"/>
      <c r="B317" s="68"/>
      <c r="C317" s="65"/>
      <c r="D317" s="65"/>
      <c r="E317" s="66"/>
      <c r="F317" s="65"/>
      <c r="G317" s="67"/>
      <c r="AD317" s="9" t="str">
        <f t="shared" si="166"/>
        <v/>
      </c>
      <c r="AG317" s="9" t="str">
        <f t="shared" si="164"/>
        <v/>
      </c>
    </row>
    <row r="318" spans="1:41" x14ac:dyDescent="0.25">
      <c r="A318" s="68"/>
      <c r="B318" s="68"/>
      <c r="C318" s="65"/>
      <c r="D318" s="65"/>
      <c r="E318" s="66"/>
      <c r="F318" s="65"/>
      <c r="G318" s="67"/>
      <c r="AD318" s="9" t="str">
        <f t="shared" si="166"/>
        <v/>
      </c>
      <c r="AG318" s="9" t="str">
        <f t="shared" si="164"/>
        <v/>
      </c>
    </row>
    <row r="319" spans="1:41" x14ac:dyDescent="0.25">
      <c r="A319" s="68"/>
      <c r="B319" s="68"/>
      <c r="C319" s="65"/>
      <c r="D319" s="65"/>
      <c r="E319" s="66"/>
      <c r="F319" s="65"/>
      <c r="G319" s="67"/>
      <c r="AD319" s="9" t="str">
        <f t="shared" si="166"/>
        <v/>
      </c>
      <c r="AG319" s="9" t="str">
        <f t="shared" si="164"/>
        <v/>
      </c>
    </row>
    <row r="320" spans="1:41" x14ac:dyDescent="0.25">
      <c r="A320" s="68"/>
      <c r="B320" s="68"/>
      <c r="C320" s="65"/>
      <c r="D320" s="65"/>
      <c r="E320" s="66"/>
      <c r="F320" s="65"/>
      <c r="G320" s="67"/>
      <c r="AD320" s="9" t="str">
        <f t="shared" si="166"/>
        <v/>
      </c>
      <c r="AG320" s="9" t="str">
        <f t="shared" si="164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166"/>
        <v/>
      </c>
      <c r="AG321" s="9" t="str">
        <f t="shared" si="164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53" si="167">IF(AC322="","",C317)</f>
        <v/>
      </c>
      <c r="AG322" s="9" t="str">
        <f t="shared" si="164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167"/>
        <v/>
      </c>
      <c r="AG323" s="9" t="str">
        <f t="shared" si="164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167"/>
        <v/>
      </c>
      <c r="AG324" s="9" t="str">
        <f t="shared" si="164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167"/>
        <v/>
      </c>
      <c r="AG325" s="9" t="str">
        <f t="shared" si="164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167"/>
        <v/>
      </c>
      <c r="AG326" s="9" t="str">
        <f t="shared" si="164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167"/>
        <v/>
      </c>
      <c r="AG327" s="9" t="str">
        <f t="shared" si="164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167"/>
        <v/>
      </c>
      <c r="AG328" s="9" t="str">
        <f t="shared" si="164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167"/>
        <v/>
      </c>
      <c r="AG329" s="9" t="str">
        <f t="shared" si="164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167"/>
        <v/>
      </c>
      <c r="AG330" s="9" t="str">
        <f t="shared" si="164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167"/>
        <v/>
      </c>
      <c r="AG331" s="9" t="str">
        <f t="shared" si="164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167"/>
        <v/>
      </c>
      <c r="AG332" s="9" t="str">
        <f t="shared" si="164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167"/>
        <v/>
      </c>
      <c r="AG333" s="9" t="str">
        <f t="shared" si="164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167"/>
        <v/>
      </c>
      <c r="AG334" s="9" t="str">
        <f t="shared" si="164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167"/>
        <v/>
      </c>
      <c r="AG335" s="9" t="str">
        <f t="shared" si="164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167"/>
        <v/>
      </c>
      <c r="AG336" s="9" t="str">
        <f t="shared" si="164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167"/>
        <v/>
      </c>
      <c r="AG337" s="9" t="str">
        <f t="shared" si="164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167"/>
        <v/>
      </c>
      <c r="AG338" s="9" t="str">
        <f t="shared" si="164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167"/>
        <v/>
      </c>
      <c r="AG339" s="9" t="str">
        <f t="shared" si="164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167"/>
        <v/>
      </c>
      <c r="AG340" s="9" t="str">
        <f t="shared" si="164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167"/>
        <v/>
      </c>
      <c r="AG341" s="9" t="str">
        <f t="shared" si="164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167"/>
        <v/>
      </c>
      <c r="AG342" s="9" t="str">
        <f t="shared" si="164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167"/>
        <v/>
      </c>
      <c r="AG343" s="9" t="str">
        <f t="shared" si="164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167"/>
        <v/>
      </c>
      <c r="AG344" s="9" t="str">
        <f t="shared" si="164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167"/>
        <v/>
      </c>
      <c r="AG345" s="9" t="str">
        <f t="shared" si="164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167"/>
        <v/>
      </c>
      <c r="AG346" s="9" t="str">
        <f t="shared" si="164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167"/>
        <v/>
      </c>
      <c r="AG347" s="9" t="str">
        <f t="shared" si="164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167"/>
        <v/>
      </c>
      <c r="AG348" s="9" t="str">
        <f t="shared" si="164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167"/>
        <v/>
      </c>
      <c r="AG349" s="9" t="str">
        <f t="shared" si="164"/>
        <v/>
      </c>
    </row>
    <row r="350" spans="1:33" x14ac:dyDescent="0.25">
      <c r="AD350" s="9" t="str">
        <f t="shared" si="167"/>
        <v/>
      </c>
      <c r="AG350" s="9" t="str">
        <f t="shared" si="164"/>
        <v/>
      </c>
    </row>
    <row r="351" spans="1:33" x14ac:dyDescent="0.25">
      <c r="AD351" s="9" t="str">
        <f t="shared" si="167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167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167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ref="AD354:AD385" si="168">IF(AC354="","",C349)</f>
        <v/>
      </c>
      <c r="AG354" s="9"/>
    </row>
    <row r="355" spans="30:33" x14ac:dyDescent="0.25">
      <c r="AD355" s="9" t="str">
        <f t="shared" si="168"/>
        <v/>
      </c>
      <c r="AG355" s="9"/>
    </row>
    <row r="356" spans="30:33" x14ac:dyDescent="0.25">
      <c r="AD356" s="9" t="str">
        <f t="shared" si="168"/>
        <v/>
      </c>
      <c r="AG356" s="9"/>
    </row>
    <row r="357" spans="30:33" x14ac:dyDescent="0.25">
      <c r="AD357" s="9" t="str">
        <f t="shared" si="168"/>
        <v/>
      </c>
      <c r="AG357" s="9"/>
    </row>
    <row r="358" spans="30:33" x14ac:dyDescent="0.25">
      <c r="AD358" s="9" t="str">
        <f t="shared" si="168"/>
        <v/>
      </c>
      <c r="AG358" s="9"/>
    </row>
    <row r="359" spans="30:33" x14ac:dyDescent="0.25">
      <c r="AD359" s="9" t="str">
        <f t="shared" si="168"/>
        <v/>
      </c>
      <c r="AG359" s="9"/>
    </row>
    <row r="360" spans="30:33" x14ac:dyDescent="0.25">
      <c r="AD360" s="9" t="str">
        <f t="shared" si="168"/>
        <v/>
      </c>
      <c r="AG360" s="9"/>
    </row>
    <row r="361" spans="30:33" x14ac:dyDescent="0.25">
      <c r="AD361" s="9" t="str">
        <f t="shared" si="168"/>
        <v/>
      </c>
      <c r="AG361" s="9"/>
    </row>
    <row r="362" spans="30:33" x14ac:dyDescent="0.25">
      <c r="AD362" s="9" t="str">
        <f t="shared" si="168"/>
        <v/>
      </c>
      <c r="AG362" s="9"/>
    </row>
    <row r="363" spans="30:33" x14ac:dyDescent="0.25">
      <c r="AD363" s="9" t="str">
        <f t="shared" si="168"/>
        <v/>
      </c>
      <c r="AG363" s="9"/>
    </row>
    <row r="364" spans="30:33" x14ac:dyDescent="0.25">
      <c r="AD364" s="9" t="str">
        <f t="shared" si="168"/>
        <v/>
      </c>
      <c r="AG364" s="9"/>
    </row>
    <row r="365" spans="30:33" x14ac:dyDescent="0.25">
      <c r="AD365" s="9" t="str">
        <f t="shared" si="168"/>
        <v/>
      </c>
      <c r="AG365" s="9"/>
    </row>
    <row r="366" spans="30:33" x14ac:dyDescent="0.25">
      <c r="AD366" s="9" t="str">
        <f t="shared" si="168"/>
        <v/>
      </c>
      <c r="AG366" s="9"/>
    </row>
    <row r="367" spans="30:33" x14ac:dyDescent="0.25">
      <c r="AD367" s="9" t="str">
        <f t="shared" si="168"/>
        <v/>
      </c>
      <c r="AG367" s="9"/>
    </row>
    <row r="368" spans="30:33" x14ac:dyDescent="0.25">
      <c r="AD368" s="9" t="str">
        <f t="shared" si="168"/>
        <v/>
      </c>
      <c r="AG368" s="9"/>
    </row>
    <row r="369" spans="30:33" x14ac:dyDescent="0.25">
      <c r="AD369" s="9" t="str">
        <f t="shared" si="168"/>
        <v/>
      </c>
      <c r="AG369" s="9"/>
    </row>
    <row r="370" spans="30:33" x14ac:dyDescent="0.25">
      <c r="AD370" s="9" t="str">
        <f t="shared" si="168"/>
        <v/>
      </c>
      <c r="AG370" s="9"/>
    </row>
    <row r="371" spans="30:33" x14ac:dyDescent="0.25">
      <c r="AD371" s="9" t="str">
        <f t="shared" si="168"/>
        <v/>
      </c>
      <c r="AG371" s="9"/>
    </row>
    <row r="372" spans="30:33" x14ac:dyDescent="0.25">
      <c r="AD372" s="9" t="str">
        <f t="shared" si="168"/>
        <v/>
      </c>
      <c r="AG372" s="9"/>
    </row>
    <row r="373" spans="30:33" x14ac:dyDescent="0.25">
      <c r="AD373" s="9" t="str">
        <f t="shared" si="168"/>
        <v/>
      </c>
      <c r="AG373" s="9"/>
    </row>
    <row r="374" spans="30:33" x14ac:dyDescent="0.25">
      <c r="AD374" s="9" t="str">
        <f t="shared" si="168"/>
        <v/>
      </c>
      <c r="AG374" s="9"/>
    </row>
    <row r="375" spans="30:33" x14ac:dyDescent="0.25">
      <c r="AD375" s="9" t="str">
        <f t="shared" si="168"/>
        <v/>
      </c>
      <c r="AG375" s="9"/>
    </row>
    <row r="376" spans="30:33" x14ac:dyDescent="0.25">
      <c r="AD376" s="9" t="str">
        <f t="shared" si="168"/>
        <v/>
      </c>
      <c r="AG376" s="9"/>
    </row>
    <row r="377" spans="30:33" x14ac:dyDescent="0.25">
      <c r="AD377" s="9" t="str">
        <f t="shared" si="168"/>
        <v/>
      </c>
      <c r="AG377" s="9"/>
    </row>
    <row r="378" spans="30:33" x14ac:dyDescent="0.25">
      <c r="AD378" s="9" t="str">
        <f t="shared" si="168"/>
        <v/>
      </c>
      <c r="AG378" s="9"/>
    </row>
    <row r="379" spans="30:33" x14ac:dyDescent="0.25">
      <c r="AD379" s="9" t="str">
        <f t="shared" si="168"/>
        <v/>
      </c>
      <c r="AG379" s="9"/>
    </row>
    <row r="380" spans="30:33" x14ac:dyDescent="0.25">
      <c r="AD380" s="9" t="str">
        <f t="shared" si="168"/>
        <v/>
      </c>
      <c r="AG380" s="9"/>
    </row>
    <row r="381" spans="30:33" x14ac:dyDescent="0.25">
      <c r="AD381" s="9" t="str">
        <f t="shared" si="168"/>
        <v/>
      </c>
      <c r="AG381" s="9"/>
    </row>
    <row r="382" spans="30:33" x14ac:dyDescent="0.25">
      <c r="AD382" s="9" t="str">
        <f t="shared" si="168"/>
        <v/>
      </c>
      <c r="AG382" s="9"/>
    </row>
    <row r="383" spans="30:33" x14ac:dyDescent="0.25">
      <c r="AD383" s="9" t="str">
        <f t="shared" si="168"/>
        <v/>
      </c>
      <c r="AG383" s="9"/>
    </row>
    <row r="384" spans="30:33" x14ac:dyDescent="0.25">
      <c r="AD384" s="9" t="str">
        <f t="shared" si="168"/>
        <v/>
      </c>
      <c r="AG384" s="9"/>
    </row>
    <row r="385" spans="30:33" x14ac:dyDescent="0.25">
      <c r="AD385" s="9" t="str">
        <f t="shared" si="168"/>
        <v/>
      </c>
      <c r="AG385" s="9"/>
    </row>
    <row r="386" spans="30:33" x14ac:dyDescent="0.25">
      <c r="AD386" s="9" t="str">
        <f t="shared" ref="AD386:AD417" si="169">IF(AC386="","",C381)</f>
        <v/>
      </c>
      <c r="AG386" s="9"/>
    </row>
    <row r="387" spans="30:33" x14ac:dyDescent="0.25">
      <c r="AD387" s="9" t="str">
        <f t="shared" si="169"/>
        <v/>
      </c>
      <c r="AG387" s="9"/>
    </row>
    <row r="388" spans="30:33" x14ac:dyDescent="0.25">
      <c r="AD388" s="9" t="str">
        <f t="shared" si="169"/>
        <v/>
      </c>
      <c r="AG388" s="9"/>
    </row>
    <row r="389" spans="30:33" x14ac:dyDescent="0.25">
      <c r="AD389" s="9" t="str">
        <f t="shared" si="169"/>
        <v/>
      </c>
      <c r="AG389" s="9"/>
    </row>
    <row r="390" spans="30:33" x14ac:dyDescent="0.25">
      <c r="AD390" s="9" t="str">
        <f t="shared" si="169"/>
        <v/>
      </c>
      <c r="AG390" s="9"/>
    </row>
    <row r="391" spans="30:33" x14ac:dyDescent="0.25">
      <c r="AD391" s="9" t="str">
        <f t="shared" si="169"/>
        <v/>
      </c>
      <c r="AG391" s="9"/>
    </row>
    <row r="392" spans="30:33" x14ac:dyDescent="0.25">
      <c r="AD392" s="9" t="str">
        <f t="shared" si="169"/>
        <v/>
      </c>
      <c r="AG392" s="9"/>
    </row>
    <row r="393" spans="30:33" x14ac:dyDescent="0.25">
      <c r="AD393" s="9" t="str">
        <f t="shared" si="169"/>
        <v/>
      </c>
      <c r="AG393" s="9"/>
    </row>
    <row r="394" spans="30:33" x14ac:dyDescent="0.25">
      <c r="AD394" s="9" t="str">
        <f t="shared" si="169"/>
        <v/>
      </c>
      <c r="AG394" s="9"/>
    </row>
    <row r="395" spans="30:33" x14ac:dyDescent="0.25">
      <c r="AD395" s="9" t="str">
        <f t="shared" si="169"/>
        <v/>
      </c>
      <c r="AG395" s="9"/>
    </row>
    <row r="396" spans="30:33" x14ac:dyDescent="0.25">
      <c r="AD396" s="9" t="str">
        <f t="shared" si="169"/>
        <v/>
      </c>
      <c r="AG396" s="9"/>
    </row>
    <row r="397" spans="30:33" x14ac:dyDescent="0.25">
      <c r="AD397" s="9" t="str">
        <f t="shared" si="169"/>
        <v/>
      </c>
      <c r="AG397" s="9"/>
    </row>
    <row r="398" spans="30:33" x14ac:dyDescent="0.25">
      <c r="AD398" s="9" t="str">
        <f t="shared" si="169"/>
        <v/>
      </c>
      <c r="AG398" s="9"/>
    </row>
    <row r="399" spans="30:33" x14ac:dyDescent="0.25">
      <c r="AD399" s="9" t="str">
        <f t="shared" si="169"/>
        <v/>
      </c>
      <c r="AG399" s="9"/>
    </row>
    <row r="400" spans="30:33" x14ac:dyDescent="0.25">
      <c r="AD400" s="9" t="str">
        <f t="shared" si="169"/>
        <v/>
      </c>
      <c r="AG400" s="9"/>
    </row>
    <row r="401" spans="30:33" x14ac:dyDescent="0.25">
      <c r="AD401" s="9" t="str">
        <f t="shared" si="169"/>
        <v/>
      </c>
      <c r="AG401" s="9"/>
    </row>
    <row r="402" spans="30:33" x14ac:dyDescent="0.25">
      <c r="AD402" s="9" t="str">
        <f t="shared" si="169"/>
        <v/>
      </c>
      <c r="AG402" s="9"/>
    </row>
    <row r="403" spans="30:33" x14ac:dyDescent="0.25">
      <c r="AD403" s="9" t="str">
        <f t="shared" si="169"/>
        <v/>
      </c>
      <c r="AG403" s="9"/>
    </row>
    <row r="404" spans="30:33" x14ac:dyDescent="0.25">
      <c r="AD404" s="9" t="str">
        <f t="shared" si="169"/>
        <v/>
      </c>
      <c r="AG404" s="9"/>
    </row>
    <row r="405" spans="30:33" x14ac:dyDescent="0.25">
      <c r="AD405" s="9" t="str">
        <f t="shared" si="169"/>
        <v/>
      </c>
      <c r="AG405" s="9"/>
    </row>
    <row r="406" spans="30:33" x14ac:dyDescent="0.25">
      <c r="AD406" s="9" t="str">
        <f t="shared" si="169"/>
        <v/>
      </c>
      <c r="AG406" s="9"/>
    </row>
    <row r="407" spans="30:33" x14ac:dyDescent="0.25">
      <c r="AD407" s="9" t="str">
        <f t="shared" si="169"/>
        <v/>
      </c>
      <c r="AG407" s="9"/>
    </row>
    <row r="408" spans="30:33" x14ac:dyDescent="0.25">
      <c r="AD408" s="9" t="str">
        <f t="shared" si="169"/>
        <v/>
      </c>
      <c r="AG408" s="9"/>
    </row>
    <row r="409" spans="30:33" x14ac:dyDescent="0.25">
      <c r="AD409" s="9" t="str">
        <f t="shared" si="169"/>
        <v/>
      </c>
      <c r="AG409" s="9"/>
    </row>
    <row r="410" spans="30:33" x14ac:dyDescent="0.25">
      <c r="AD410" s="9" t="str">
        <f t="shared" si="169"/>
        <v/>
      </c>
      <c r="AG410" s="9"/>
    </row>
    <row r="411" spans="30:33" x14ac:dyDescent="0.25">
      <c r="AD411" s="9" t="str">
        <f t="shared" si="169"/>
        <v/>
      </c>
      <c r="AG411" s="9"/>
    </row>
    <row r="412" spans="30:33" x14ac:dyDescent="0.25">
      <c r="AD412" s="9" t="str">
        <f t="shared" si="169"/>
        <v/>
      </c>
      <c r="AG412" s="9"/>
    </row>
    <row r="413" spans="30:33" x14ac:dyDescent="0.25">
      <c r="AD413" s="9" t="str">
        <f t="shared" si="169"/>
        <v/>
      </c>
      <c r="AG413" s="9"/>
    </row>
    <row r="414" spans="30:33" x14ac:dyDescent="0.25">
      <c r="AD414" s="9" t="str">
        <f t="shared" si="169"/>
        <v/>
      </c>
      <c r="AG414" s="9"/>
    </row>
    <row r="415" spans="30:33" x14ac:dyDescent="0.25">
      <c r="AD415" s="9" t="str">
        <f t="shared" si="169"/>
        <v/>
      </c>
      <c r="AG415" s="9"/>
    </row>
    <row r="416" spans="30:33" x14ac:dyDescent="0.25">
      <c r="AD416" s="9" t="str">
        <f t="shared" si="169"/>
        <v/>
      </c>
      <c r="AG416" s="9"/>
    </row>
    <row r="417" spans="30:33" x14ac:dyDescent="0.25">
      <c r="AD417" s="9" t="str">
        <f t="shared" si="169"/>
        <v/>
      </c>
      <c r="AG417" s="9"/>
    </row>
    <row r="418" spans="30:33" x14ac:dyDescent="0.25">
      <c r="AD418" s="9" t="str">
        <f t="shared" ref="AD418:AD420" si="170">IF(AC418="","",C413)</f>
        <v/>
      </c>
      <c r="AG418" s="9"/>
    </row>
    <row r="419" spans="30:33" x14ac:dyDescent="0.25">
      <c r="AD419" s="9" t="str">
        <f t="shared" si="170"/>
        <v/>
      </c>
      <c r="AG419" s="9"/>
    </row>
    <row r="420" spans="30:33" x14ac:dyDescent="0.25">
      <c r="AD420" s="9" t="str">
        <f t="shared" si="170"/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171">IF(AF428="","",AF428*AC$25*AD428)</f>
        <v/>
      </c>
    </row>
    <row r="429" spans="30:33" x14ac:dyDescent="0.25">
      <c r="AG429" s="9" t="str">
        <f t="shared" si="171"/>
        <v/>
      </c>
    </row>
    <row r="430" spans="30:33" x14ac:dyDescent="0.25">
      <c r="AG430" s="9" t="str">
        <f t="shared" si="171"/>
        <v/>
      </c>
    </row>
    <row r="431" spans="30:33" x14ac:dyDescent="0.25">
      <c r="AG431" s="9" t="str">
        <f t="shared" si="171"/>
        <v/>
      </c>
    </row>
    <row r="432" spans="30:33" x14ac:dyDescent="0.25">
      <c r="AG432" s="9" t="str">
        <f t="shared" si="171"/>
        <v/>
      </c>
    </row>
    <row r="433" spans="33:33" x14ac:dyDescent="0.25">
      <c r="AG433" s="9" t="str">
        <f t="shared" si="171"/>
        <v/>
      </c>
    </row>
    <row r="434" spans="33:33" x14ac:dyDescent="0.25">
      <c r="AG434" s="9" t="str">
        <f t="shared" si="171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sheetProtection algorithmName="SHA-512" hashValue="fhZo/Oi0NgqZqyhaXBvhIBdz+ePduPJYB3j8LsdG/5sx5jlhYQ4enjDScuBLKymoVpvZzNF5/oN/1zSIu4fmqg==" saltValue="5oYc0Qj6LwWOa37UKbxJOA==" spinCount="100000" sheet="1" objects="1" scenarios="1"/>
  <protectedRanges>
    <protectedRange password="C474" sqref="D19" name="Intervalo1"/>
  </protectedRanges>
  <mergeCells count="10">
    <mergeCell ref="A20:G20"/>
    <mergeCell ref="E21:E22"/>
    <mergeCell ref="AB21:AG23"/>
    <mergeCell ref="A22:B22"/>
    <mergeCell ref="A1:G1"/>
    <mergeCell ref="A2:G2"/>
    <mergeCell ref="A3:G3"/>
    <mergeCell ref="A14:G14"/>
    <mergeCell ref="A18:G18"/>
    <mergeCell ref="E17:G17"/>
  </mergeCells>
  <conditionalFormatting sqref="A23:G349">
    <cfRule type="notContainsBlanks" dxfId="15" priority="3" stopIfTrue="1">
      <formula>LEN(TRIM(A23))&gt;0</formula>
    </cfRule>
  </conditionalFormatting>
  <conditionalFormatting sqref="A24:G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 A96:G96 A98:G98 A100:G100 A102:G102 A104:G104 A106:G106 A108:G108 A110:G110 A112:G112 A114:G114 A116:G116 A118:G118 A120:G120 A122:G122 A124:G124 A126:G126 A128:G128 A130:G130 A132:G132 A134:G134 A136:G136 A138:G138 A140:G140 A142:G142 A144:G144 A146:G146 A148:G148 A150:G150 A152:G152 A154:G154 A156:G156 A158:G158 A160:G160 A162:G162 A164:G164 A166:G166 A168:G168 A170:G170 A172:G172 A174:G174 A176:G176 A178:G178 A180:G180 A182:G182 A184:G184 A186:G186 A188:G188 A190:G190 A192:G192 A194:G194 A196:G196 A198:G198 A200:G200 A202:G202 A204:G204 A206:G206 A208:G208 A210:G210 A212:G212 A214:G214 A216:G216 A218:G218 A220:G220 A222:G222 A224:G224 A226:G226 A228:G228 A230:G230 A232:G232 A234:G234 A236:G236 A238:G238 A240:G240 A242:G242 A244:G244 A246:G246 A248:G248 A250:G250 A252:G252 A254:G254 A256:G256 A258:G258 A260:G260 A262:G262 A264:G264 A266:G266 A268:G268 A270:G270 A272:G272 A274:G274 A276:G276 A278:G278 A280:G280 A282:G282 A284:G284 A286:G286 A288:G288 A290:G290 A292:G292 A294:G294 A296:G296 A298:G298 A300:G300 A302:G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14" priority="2">
      <formula>LEN(TRIM(A24))&gt;0</formula>
    </cfRule>
  </conditionalFormatting>
  <conditionalFormatting sqref="F19">
    <cfRule type="expression" dxfId="13" priority="1">
      <formula>$J$21=FALSE</formula>
    </cfRule>
  </conditionalFormatting>
  <dataValidations disablePrompts="1" count="1">
    <dataValidation type="decimal" allowBlank="1" showInputMessage="1" showErrorMessage="1" errorTitle="atenção!" error="A garantia do FAMPE deve variar de 20% a 80%." sqref="F19" xr:uid="{6FF19A5F-6687-4BFA-A18E-98DA607ECACD}">
      <formula1>0.2</formula1>
      <formula2>0.8</formula2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locked="0" defaultSize="0" autoLine="0" autoPict="0">
                <anchor moveWithCells="1">
                  <from>
                    <xdr:col>0</xdr:col>
                    <xdr:colOff>847725</xdr:colOff>
                    <xdr:row>2</xdr:row>
                    <xdr:rowOff>333375</xdr:rowOff>
                  </from>
                  <to>
                    <xdr:col>4</xdr:col>
                    <xdr:colOff>295275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5" name="Drop Down 10">
              <controlPr defaultSize="0" autoLine="0" autoPict="0">
                <anchor moveWithCells="1">
                  <from>
                    <xdr:col>4</xdr:col>
                    <xdr:colOff>266700</xdr:colOff>
                    <xdr:row>16</xdr:row>
                    <xdr:rowOff>47625</xdr:rowOff>
                  </from>
                  <to>
                    <xdr:col>6</xdr:col>
                    <xdr:colOff>1076325</xdr:colOff>
                    <xdr:row>16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6" name="Drop Down 12">
              <controlPr defaultSize="0" autoLine="0" autoPict="0">
                <anchor moveWithCells="1">
                  <from>
                    <xdr:col>6</xdr:col>
                    <xdr:colOff>142875</xdr:colOff>
                    <xdr:row>15</xdr:row>
                    <xdr:rowOff>66675</xdr:rowOff>
                  </from>
                  <to>
                    <xdr:col>6</xdr:col>
                    <xdr:colOff>1047750</xdr:colOff>
                    <xdr:row>15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7" name="Check Box 13">
              <controlPr defaultSize="0" autoFill="0" autoLine="0" autoPict="0">
                <anchor moveWithCells="1">
                  <from>
                    <xdr:col>4</xdr:col>
                    <xdr:colOff>114300</xdr:colOff>
                    <xdr:row>18</xdr:row>
                    <xdr:rowOff>85725</xdr:rowOff>
                  </from>
                  <to>
                    <xdr:col>6</xdr:col>
                    <xdr:colOff>971550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8" name="Drop Down 2">
              <controlPr locked="0" defaultSize="0" autoLine="0" autoPict="0">
                <anchor moveWithCells="1">
                  <from>
                    <xdr:col>6</xdr:col>
                    <xdr:colOff>76200</xdr:colOff>
                    <xdr:row>14</xdr:row>
                    <xdr:rowOff>47625</xdr:rowOff>
                  </from>
                  <to>
                    <xdr:col>6</xdr:col>
                    <xdr:colOff>1047750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8417-26BC-4EF7-A63F-B776FBE07727}">
  <sheetPr codeName="Planilha5">
    <pageSetUpPr fitToPage="1"/>
  </sheetPr>
  <dimension ref="A1:BG437"/>
  <sheetViews>
    <sheetView showGridLines="0" zoomScale="85" zoomScaleNormal="85" workbookViewId="0">
      <selection activeCell="A14" sqref="A14:G14"/>
    </sheetView>
  </sheetViews>
  <sheetFormatPr defaultRowHeight="15" x14ac:dyDescent="0.25"/>
  <cols>
    <col min="1" max="1" width="13.7109375" style="21" customWidth="1"/>
    <col min="2" max="2" width="22" style="40" bestFit="1" customWidth="1"/>
    <col min="3" max="3" width="16.28515625" style="21" customWidth="1"/>
    <col min="4" max="5" width="19.28515625" style="21" customWidth="1"/>
    <col min="6" max="6" width="17.42578125" style="21" hidden="1" customWidth="1"/>
    <col min="7" max="7" width="16.7109375" style="21" customWidth="1"/>
    <col min="8" max="9" width="9.1406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2.5703125" style="2" hidden="1" customWidth="1"/>
    <col min="31" max="31" width="13.42578125" style="2" hidden="1" customWidth="1"/>
    <col min="32" max="32" width="13.8554687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7" width="9.140625" style="2" hidden="1" customWidth="1"/>
    <col min="38" max="38" width="13.85546875" style="2" hidden="1" customWidth="1"/>
    <col min="39" max="39" width="18.28515625" style="2" hidden="1" customWidth="1"/>
    <col min="40" max="40" width="13.7109375" style="2" hidden="1" customWidth="1"/>
    <col min="41" max="42" width="8.85546875" style="2" hidden="1" customWidth="1"/>
    <col min="43" max="44" width="10" style="2" hidden="1" customWidth="1"/>
    <col min="45" max="46" width="9.140625" style="2" hidden="1" customWidth="1"/>
    <col min="47" max="47" width="13.140625" style="2" hidden="1" customWidth="1"/>
    <col min="48" max="48" width="10.5703125" style="2" hidden="1" customWidth="1"/>
    <col min="49" max="52" width="11.140625" style="2" hidden="1" customWidth="1"/>
    <col min="53" max="53" width="9.140625" style="2" hidden="1" customWidth="1"/>
    <col min="54" max="54" width="0" style="2" hidden="1" customWidth="1"/>
    <col min="55" max="55" width="4.28515625" style="2" hidden="1" customWidth="1"/>
    <col min="56" max="59" width="9.140625" style="91"/>
    <col min="60" max="16384" width="9.140625" style="2"/>
  </cols>
  <sheetData>
    <row r="1" spans="1:39" ht="72" customHeight="1" x14ac:dyDescent="0.25">
      <c r="A1" s="227" t="s">
        <v>59</v>
      </c>
      <c r="B1" s="227"/>
      <c r="C1" s="227"/>
      <c r="D1" s="227"/>
      <c r="E1" s="227"/>
      <c r="F1" s="227"/>
      <c r="G1" s="227"/>
      <c r="AA1" s="2">
        <v>1</v>
      </c>
      <c r="AB1" s="2">
        <v>2</v>
      </c>
    </row>
    <row r="2" spans="1:39" ht="39" customHeight="1" x14ac:dyDescent="0.25">
      <c r="A2" s="255" t="s">
        <v>57</v>
      </c>
      <c r="B2" s="255"/>
      <c r="C2" s="255"/>
      <c r="D2" s="255"/>
      <c r="E2" s="255"/>
      <c r="F2" s="255"/>
      <c r="G2" s="256"/>
      <c r="H2" s="11"/>
    </row>
    <row r="3" spans="1:39" ht="27.75" customHeight="1" x14ac:dyDescent="0.25">
      <c r="A3" s="240" t="s">
        <v>135</v>
      </c>
      <c r="B3" s="240"/>
      <c r="C3" s="240"/>
      <c r="D3" s="240"/>
      <c r="E3" s="240"/>
      <c r="F3" s="240"/>
      <c r="G3" s="241"/>
      <c r="AA3" s="2" t="s">
        <v>37</v>
      </c>
      <c r="AB3" s="2" t="s">
        <v>38</v>
      </c>
    </row>
    <row r="4" spans="1:39" ht="17.25" customHeight="1" x14ac:dyDescent="0.25">
      <c r="A4" s="54" t="s">
        <v>0</v>
      </c>
      <c r="B4" s="38"/>
      <c r="C4" s="55"/>
      <c r="D4" s="31"/>
      <c r="E4" s="54"/>
      <c r="F4" s="56"/>
      <c r="G4" s="32"/>
      <c r="J4" s="2">
        <v>1</v>
      </c>
      <c r="K4" s="2">
        <v>1</v>
      </c>
      <c r="N4" s="78" t="s">
        <v>0</v>
      </c>
      <c r="O4" s="78" t="s">
        <v>1</v>
      </c>
      <c r="P4" s="78" t="s">
        <v>55</v>
      </c>
      <c r="Q4" s="78"/>
      <c r="R4" s="78"/>
      <c r="S4" s="78" t="s">
        <v>5</v>
      </c>
      <c r="T4" s="78" t="s">
        <v>9</v>
      </c>
      <c r="U4" s="78" t="s">
        <v>8</v>
      </c>
      <c r="V4" s="78" t="s">
        <v>25</v>
      </c>
      <c r="AA4" s="2" t="s">
        <v>41</v>
      </c>
      <c r="AB4" s="2" t="s">
        <v>41</v>
      </c>
    </row>
    <row r="5" spans="1:39" ht="17.25" hidden="1" customHeight="1" x14ac:dyDescent="0.25">
      <c r="A5" s="31"/>
      <c r="B5" s="38"/>
      <c r="C5" s="31"/>
      <c r="D5" s="31"/>
      <c r="E5" s="31"/>
      <c r="F5" s="57"/>
      <c r="G5" s="58"/>
      <c r="N5" s="79" t="s">
        <v>137</v>
      </c>
      <c r="O5" s="81">
        <f>'Tabela de Encargos'!C61</f>
        <v>9.0499999999999997E-2</v>
      </c>
      <c r="P5" s="81">
        <f>'Tabela de Encargos'!D61</f>
        <v>8.5599999999999996E-2</v>
      </c>
      <c r="Q5" s="81"/>
      <c r="R5" s="81"/>
      <c r="S5" s="79">
        <f>'Tabela de Encargos'!G61</f>
        <v>144</v>
      </c>
      <c r="T5" s="79">
        <f>'Tabela de Encargos'!H61</f>
        <v>36</v>
      </c>
      <c r="U5" s="85">
        <f>'Tabela de Encargos'!I53</f>
        <v>27000</v>
      </c>
      <c r="V5" s="79"/>
      <c r="AA5" s="2" t="s">
        <v>42</v>
      </c>
      <c r="AB5" s="2" t="s">
        <v>42</v>
      </c>
    </row>
    <row r="6" spans="1:39" ht="17.25" hidden="1" customHeight="1" x14ac:dyDescent="0.3">
      <c r="A6" s="31"/>
      <c r="B6" s="59"/>
      <c r="C6" s="60">
        <f>IF(AND(J4=1,K4=1),Q5,IF(AND(J4=1,K4=2),R5,IF(AND(J4=1,K4=3),P5,"-")))</f>
        <v>0</v>
      </c>
      <c r="D6" s="57"/>
      <c r="E6" s="57"/>
      <c r="F6" s="57"/>
      <c r="G6" s="58"/>
      <c r="N6" s="79" t="s">
        <v>138</v>
      </c>
      <c r="O6" s="81">
        <f>'Tabela de Encargos'!C62</f>
        <v>7.46E-2</v>
      </c>
      <c r="P6" s="81">
        <f>'Tabela de Encargos'!D62</f>
        <v>7.22E-2</v>
      </c>
      <c r="Q6" s="81"/>
      <c r="R6" s="81"/>
      <c r="S6" s="79">
        <f>'Tabela de Encargos'!G62</f>
        <v>240</v>
      </c>
      <c r="T6" s="79">
        <f>'Tabela de Encargos'!H62</f>
        <v>120</v>
      </c>
      <c r="U6" s="85">
        <f>'Tabela de Encargos'!I54</f>
        <v>2000000</v>
      </c>
      <c r="V6" s="79"/>
    </row>
    <row r="7" spans="1:39" ht="17.25" hidden="1" customHeight="1" x14ac:dyDescent="0.3">
      <c r="A7" s="31"/>
      <c r="B7" s="61"/>
      <c r="C7" s="60" t="str">
        <f>IF(AND(J4=2,K4=1),Q6,IF(AND(J4=2,K4=2),R6,IF(AND(J4=2,K4=3),P6,"-")))</f>
        <v>-</v>
      </c>
      <c r="D7" s="57"/>
      <c r="E7" s="57"/>
      <c r="F7" s="57"/>
      <c r="G7" s="58"/>
      <c r="N7" s="79" t="s">
        <v>136</v>
      </c>
      <c r="O7" s="81">
        <f>IF($I$11=1,'Tabela de Encargos'!C56,'Tabela de Encargos'!E56)</f>
        <v>0</v>
      </c>
      <c r="P7" s="81">
        <f>IF($I$11=1,'Tabela de Encargos'!E56,'Tabela de Encargos'!F56)</f>
        <v>0</v>
      </c>
      <c r="S7" s="79">
        <f>'Tabela de Encargos'!G56</f>
        <v>24</v>
      </c>
      <c r="T7" s="79">
        <f>'Tabela de Encargos'!H56</f>
        <v>6</v>
      </c>
      <c r="U7" s="85">
        <v>200000</v>
      </c>
      <c r="V7" s="79"/>
    </row>
    <row r="8" spans="1:39" ht="17.25" hidden="1" customHeight="1" x14ac:dyDescent="0.3">
      <c r="A8" s="31"/>
      <c r="B8" s="61"/>
      <c r="C8" s="60" t="str">
        <f>IF(AND(J4=3,K4=1),Q8,IF(AND(J4=3,K4=2),R8,IF(AND(J4=3,K4=3),P8,"-")))</f>
        <v>-</v>
      </c>
      <c r="D8" s="57"/>
      <c r="E8" s="57"/>
      <c r="F8" s="57"/>
      <c r="G8" s="58"/>
      <c r="N8" s="79" t="s">
        <v>96</v>
      </c>
      <c r="O8" s="81">
        <f>IF($I$11=1,'Tabela de Encargos'!C57,'Tabela de Encargos'!E57)</f>
        <v>0</v>
      </c>
      <c r="P8" s="81">
        <f>IF($I$11=1,'Tabela de Encargos'!E57,'Tabela de Encargos'!F57)</f>
        <v>0</v>
      </c>
      <c r="Q8" s="82"/>
      <c r="R8" s="82"/>
      <c r="S8" s="79">
        <f>'Tabela de Encargos'!G57</f>
        <v>36</v>
      </c>
      <c r="T8" s="79">
        <f>'Tabela de Encargos'!H57</f>
        <v>3</v>
      </c>
      <c r="U8" s="85">
        <f>'Tabela de Encargos'!I57</f>
        <v>21000</v>
      </c>
      <c r="V8" s="79"/>
    </row>
    <row r="9" spans="1:39" ht="17.25" hidden="1" customHeight="1" x14ac:dyDescent="0.3">
      <c r="A9" s="31"/>
      <c r="B9" s="61"/>
      <c r="C9" s="60" t="str">
        <f>IF(AND(J4=4,K4=1),Q9,IF(AND(J4=4,K4=2),R9,IF(AND(J4=4,K4=3),P9,"-")))</f>
        <v>-</v>
      </c>
      <c r="D9" s="57"/>
      <c r="E9" s="57"/>
      <c r="F9" s="57"/>
      <c r="G9" s="58"/>
      <c r="N9" s="79" t="s">
        <v>97</v>
      </c>
      <c r="O9" s="81">
        <f>IF($I$11=1,'Tabela de Encargos'!C58,'Tabela de Encargos'!E58)</f>
        <v>0</v>
      </c>
      <c r="P9" s="81">
        <f>IF($I$11=1,'Tabela de Encargos'!E58,'Tabela de Encargos'!F58)</f>
        <v>0</v>
      </c>
      <c r="Q9" s="82"/>
      <c r="R9" s="82"/>
      <c r="S9" s="79">
        <f>'Tabela de Encargos'!G58</f>
        <v>18</v>
      </c>
      <c r="T9" s="79">
        <f>'Tabela de Encargos'!H58</f>
        <v>3</v>
      </c>
      <c r="U9" s="85">
        <f>'Tabela de Encargos'!I58</f>
        <v>7000</v>
      </c>
      <c r="V9" s="79"/>
    </row>
    <row r="10" spans="1:39" ht="17.25" hidden="1" customHeight="1" x14ac:dyDescent="0.3">
      <c r="A10" s="31"/>
      <c r="B10" s="61"/>
      <c r="C10" s="60" t="str">
        <f>IF(AND(J4=5,K4=1),Q10,IF(AND(J4=5,K4=2),R10,IF(AND(J4=5,K4=3),P10,"-")))</f>
        <v>-</v>
      </c>
      <c r="D10" s="57"/>
      <c r="E10" s="57"/>
      <c r="F10" s="57"/>
      <c r="G10" s="58"/>
      <c r="N10" s="79" t="s">
        <v>94</v>
      </c>
      <c r="O10" s="81">
        <f>IF($I$11=1,'Tabela de Encargos'!C59,'Tabela de Encargos'!E59)</f>
        <v>0</v>
      </c>
      <c r="P10" s="81">
        <f>IF($I$11=1,'Tabela de Encargos'!E59,'Tabela de Encargos'!F59)</f>
        <v>0</v>
      </c>
      <c r="Q10" s="82"/>
      <c r="R10" s="82"/>
      <c r="S10" s="79">
        <f>'Tabela de Encargos'!G59</f>
        <v>96</v>
      </c>
      <c r="T10" s="79">
        <f>'Tabela de Encargos'!H59</f>
        <v>6</v>
      </c>
      <c r="U10" s="85">
        <f>'Tabela de Encargos'!I59</f>
        <v>100000</v>
      </c>
      <c r="V10" s="79"/>
    </row>
    <row r="11" spans="1:39" ht="17.25" hidden="1" customHeight="1" x14ac:dyDescent="0.3">
      <c r="A11" s="31"/>
      <c r="B11" s="61"/>
      <c r="C11" s="62" t="str">
        <f>IF(AND(J4=6,K4=1),#REF!,IF(AND(J4=6,K4=2),#REF!,IF(AND(J4=6,K4=3),#REF!,"-")))</f>
        <v>-</v>
      </c>
      <c r="D11" s="57"/>
      <c r="E11" s="57"/>
      <c r="F11" s="57"/>
      <c r="G11" s="58"/>
      <c r="I11" s="2">
        <v>2</v>
      </c>
      <c r="J11" s="2" t="s">
        <v>98</v>
      </c>
      <c r="N11" s="80"/>
      <c r="O11" s="83"/>
      <c r="P11" s="83"/>
      <c r="Q11" s="83"/>
      <c r="R11" s="83"/>
      <c r="S11" s="80"/>
      <c r="T11" s="80"/>
      <c r="U11" s="87"/>
      <c r="V11" s="79"/>
    </row>
    <row r="12" spans="1:39" ht="17.2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  <c r="J12" s="2" t="s">
        <v>99</v>
      </c>
      <c r="O12" s="84">
        <v>1.9199999999999998E-2</v>
      </c>
      <c r="P12" s="84">
        <v>2.1600000000000001E-2</v>
      </c>
      <c r="Q12" s="84">
        <v>1.5900000000000001E-2</v>
      </c>
      <c r="R12" s="84">
        <v>1.5900000000000001E-2</v>
      </c>
      <c r="S12" s="2">
        <v>36</v>
      </c>
      <c r="T12" s="2">
        <v>12</v>
      </c>
      <c r="U12" s="23">
        <v>21000</v>
      </c>
    </row>
    <row r="13" spans="1:39" ht="17.25" hidden="1" customHeight="1" x14ac:dyDescent="0.3">
      <c r="A13" s="31"/>
      <c r="B13" s="61"/>
      <c r="C13" s="60" t="str">
        <f>IF(AND(J4=8,K4=1),Q12,IF(AND(J4=8,K4=2),R12,IF(AND(J4=8,K4=3),P12,"-")))</f>
        <v>-</v>
      </c>
      <c r="D13" s="57"/>
      <c r="E13" s="57"/>
      <c r="F13" s="57"/>
      <c r="G13" s="58"/>
    </row>
    <row r="14" spans="1:39" ht="21" x14ac:dyDescent="0.35">
      <c r="A14" s="266" t="s">
        <v>17</v>
      </c>
      <c r="B14" s="266"/>
      <c r="C14" s="267"/>
      <c r="D14" s="267"/>
      <c r="E14" s="267"/>
      <c r="F14" s="267"/>
      <c r="G14" s="267"/>
      <c r="AM14" s="2" t="s">
        <v>139</v>
      </c>
    </row>
    <row r="15" spans="1:39" ht="35.25" customHeight="1" x14ac:dyDescent="0.25">
      <c r="A15" s="34" t="s">
        <v>10</v>
      </c>
      <c r="B15" s="150">
        <v>1000000</v>
      </c>
      <c r="C15" s="63" t="s">
        <v>49</v>
      </c>
      <c r="D15" s="153">
        <v>0</v>
      </c>
      <c r="E15" s="51"/>
      <c r="F15" s="36" t="s">
        <v>146</v>
      </c>
      <c r="G15" s="135">
        <f>IF(B15&lt;=3000,50,IF(B15&lt;=21000,IF(B15*0.03&lt;=420,B15*0.03,420),IF(B15&lt;=100000,B15*0.02,2000+B15*0.005)))</f>
        <v>7000</v>
      </c>
      <c r="H15"/>
      <c r="I15"/>
      <c r="J15" s="2">
        <v>4</v>
      </c>
      <c r="K15"/>
      <c r="L15" s="77"/>
      <c r="M15"/>
      <c r="N15" s="78" t="s">
        <v>0</v>
      </c>
      <c r="O15" s="78" t="s">
        <v>1</v>
      </c>
      <c r="P15" s="78" t="s">
        <v>55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s="119"/>
      <c r="AL15"/>
      <c r="AM15" s="2" t="s">
        <v>140</v>
      </c>
    </row>
    <row r="16" spans="1:39" ht="35.25" customHeight="1" x14ac:dyDescent="0.25">
      <c r="A16" s="35" t="s">
        <v>6</v>
      </c>
      <c r="B16" s="133">
        <v>12</v>
      </c>
      <c r="C16" s="64" t="s">
        <v>52</v>
      </c>
      <c r="D16" s="153">
        <v>0</v>
      </c>
      <c r="E16" s="131" t="s">
        <v>150</v>
      </c>
      <c r="F16" s="130"/>
      <c r="G16" s="51"/>
      <c r="H16"/>
      <c r="I16"/>
      <c r="J16" s="2">
        <v>2</v>
      </c>
      <c r="K16"/>
      <c r="L16"/>
      <c r="M16"/>
      <c r="N16" s="79" t="s">
        <v>95</v>
      </c>
      <c r="O16" s="81">
        <f>'Tabela de Encargos'!C61</f>
        <v>9.0499999999999997E-2</v>
      </c>
      <c r="P16" s="81">
        <f>'Tabela de Encargos'!D61</f>
        <v>8.5599999999999996E-2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f>IF(AN17=1,1,IF(AN17=2,2,IF(AN17=3,3,IF(AN17=4,6,IF(AN17=5,12)))))</f>
        <v>12</v>
      </c>
      <c r="AL16" s="93">
        <f>B16/AK16</f>
        <v>1</v>
      </c>
      <c r="AM16" s="2" t="s">
        <v>141</v>
      </c>
    </row>
    <row r="17" spans="1:59" ht="35.25" customHeight="1" x14ac:dyDescent="0.25">
      <c r="A17" s="35" t="s">
        <v>22</v>
      </c>
      <c r="B17" s="133">
        <v>240</v>
      </c>
      <c r="C17" s="63" t="s">
        <v>11</v>
      </c>
      <c r="D17" s="147">
        <f ca="1">TODAY()</f>
        <v>46240</v>
      </c>
      <c r="E17" s="132" t="s">
        <v>151</v>
      </c>
      <c r="F17" s="36"/>
      <c r="G17" s="41"/>
      <c r="H17"/>
      <c r="I17"/>
      <c r="J17" s="2" t="s">
        <v>41</v>
      </c>
      <c r="K17"/>
      <c r="L17" t="b">
        <v>0</v>
      </c>
      <c r="M17"/>
      <c r="N17" s="79" t="s">
        <v>93</v>
      </c>
      <c r="O17" s="81">
        <f>IF($I$11=1,9.12%,9.85%)</f>
        <v>9.849999999999999E-2</v>
      </c>
      <c r="P17" s="81">
        <f>IF($I$11=1,8.62%,9.25%)</f>
        <v>9.2499999999999999E-2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f>IF(AN17=1,1,IF(AN17=2,2,IF(AN17=3,3,IF(AN17=4,6,IF(AN17=5,12)))))</f>
        <v>12</v>
      </c>
      <c r="AL17" s="93">
        <f>B17/AK16</f>
        <v>20</v>
      </c>
      <c r="AM17" s="2" t="s">
        <v>142</v>
      </c>
      <c r="AN17" s="2">
        <v>5</v>
      </c>
      <c r="AV17" s="2">
        <v>1</v>
      </c>
    </row>
    <row r="18" spans="1:59" ht="23.25" customHeight="1" x14ac:dyDescent="0.25">
      <c r="A18" s="268" t="s">
        <v>65</v>
      </c>
      <c r="B18" s="268"/>
      <c r="C18" s="269"/>
      <c r="D18" s="269"/>
      <c r="E18" s="270"/>
      <c r="F18" s="270"/>
      <c r="G18" s="270"/>
      <c r="H18"/>
      <c r="I18"/>
      <c r="J18" s="2" t="s">
        <v>42</v>
      </c>
      <c r="K18"/>
      <c r="L18"/>
      <c r="M18"/>
      <c r="N18" s="79" t="s">
        <v>96</v>
      </c>
      <c r="O18" s="81">
        <f>IF($I$11=1,11.48%,12.74%)</f>
        <v>0.12740000000000001</v>
      </c>
      <c r="P18" s="81">
        <f>IF($I$11=1,10.63%,11.7%)</f>
        <v>0.11699999999999999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2" t="s">
        <v>143</v>
      </c>
      <c r="AN18" s="2" t="b">
        <v>1</v>
      </c>
    </row>
    <row r="19" spans="1:59" ht="34.5" customHeight="1" x14ac:dyDescent="0.25">
      <c r="A19" s="34" t="s">
        <v>63</v>
      </c>
      <c r="B19" s="43">
        <f>IF(LARGE(G23:G241,1)*3&lt;2424,2424,LARGE(G23:G241,1)*3)</f>
        <v>13157.894736842103</v>
      </c>
      <c r="C19" s="42" t="s">
        <v>64</v>
      </c>
      <c r="D19" s="43">
        <f>(B15*1.5)/0.7</f>
        <v>2142857.1428571432</v>
      </c>
      <c r="E19" s="76"/>
      <c r="F19" s="89"/>
      <c r="G19" s="75"/>
      <c r="H19"/>
      <c r="I19"/>
      <c r="J19" t="s">
        <v>68</v>
      </c>
      <c r="K19"/>
      <c r="L19" s="2" t="b">
        <v>0</v>
      </c>
      <c r="M19"/>
      <c r="N19" s="79" t="s">
        <v>97</v>
      </c>
      <c r="O19" s="81">
        <f>IF($I$11=1,11.48%,12.74%)</f>
        <v>0.12740000000000001</v>
      </c>
      <c r="P19" s="81">
        <f>IF($I$11=1,10.63%,11.7%)</f>
        <v>0.11699999999999999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5"/>
      <c r="AN19" s="2" t="s">
        <v>144</v>
      </c>
      <c r="AV19" s="2" t="s">
        <v>15</v>
      </c>
    </row>
    <row r="20" spans="1:59" s="25" customFormat="1" ht="23.25" x14ac:dyDescent="0.2">
      <c r="A20" s="264" t="s">
        <v>31</v>
      </c>
      <c r="B20" s="264"/>
      <c r="C20" s="264"/>
      <c r="D20" s="248"/>
      <c r="E20" s="264"/>
      <c r="F20" s="264"/>
      <c r="G20" s="264"/>
      <c r="J20" s="25" t="s">
        <v>42</v>
      </c>
      <c r="N20" s="79" t="s">
        <v>94</v>
      </c>
      <c r="O20" s="81">
        <f>IF($I$11=1,9.12%,9.85%)</f>
        <v>9.849999999999999E-2</v>
      </c>
      <c r="P20" s="81">
        <f>IF($I$11=1,8.62%,9.25%)</f>
        <v>9.2499999999999999E-2</v>
      </c>
      <c r="AM20" s="26"/>
      <c r="AV20" s="25" t="s">
        <v>145</v>
      </c>
      <c r="BD20" s="92"/>
      <c r="BE20" s="92"/>
      <c r="BF20" s="92"/>
      <c r="BG20" s="92"/>
    </row>
    <row r="21" spans="1:59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18</v>
      </c>
      <c r="G21" s="37" t="s">
        <v>56</v>
      </c>
      <c r="J21" s="2" t="b">
        <v>0</v>
      </c>
      <c r="AB21" s="232" t="s">
        <v>45</v>
      </c>
      <c r="AC21" s="232"/>
      <c r="AD21" s="232"/>
      <c r="AE21" s="232"/>
      <c r="AF21" s="232"/>
      <c r="AG21" s="232"/>
      <c r="AL21" s="116" t="b">
        <f>INT(AL16)=AL16</f>
        <v>1</v>
      </c>
    </row>
    <row r="22" spans="1:59" ht="18.75" x14ac:dyDescent="0.25">
      <c r="A22" s="235" t="s">
        <v>60</v>
      </c>
      <c r="B22" s="236"/>
      <c r="C22" s="173">
        <f>SUM(C23:C242)</f>
        <v>0</v>
      </c>
      <c r="D22" s="173">
        <f>SUM(D23:D242)</f>
        <v>907894.73684210109</v>
      </c>
      <c r="E22" s="234"/>
      <c r="F22" s="47"/>
      <c r="G22" s="174">
        <f>SUM(G23:G242)</f>
        <v>907894.73684210109</v>
      </c>
      <c r="AB22" s="232"/>
      <c r="AC22" s="232"/>
      <c r="AD22" s="232"/>
      <c r="AE22" s="232"/>
      <c r="AF22" s="232"/>
      <c r="AG22" s="232"/>
      <c r="AL22" s="116" t="b">
        <f>INT(AL17)=AL17</f>
        <v>1</v>
      </c>
    </row>
    <row r="23" spans="1:59" x14ac:dyDescent="0.25">
      <c r="A23" s="68">
        <v>0</v>
      </c>
      <c r="B23" s="68"/>
      <c r="C23" s="155">
        <f>(D16+1)^(1/12)-1</f>
        <v>0</v>
      </c>
      <c r="D23" s="156"/>
      <c r="E23" s="157">
        <f>IF(AND(AA1=1,AB1=1,J16=1),B15,IF(AND(AA1=1,AB1=1,J16=2),B15+G17,IF(AND(AA1=1,AB1=2,J16=1),B15+G16,IF(AND(AA1=1,AB1=2,J16=3),B15+G16,IF(AND(AA1=2,AB1=1,J16=1),B15+G15,IF(AND(AA1=2,AB1=1,J16=2),B15+G15+G17,IF(AND(AA1=2,AB1=2,J16=2),B15+G17+G16+G15,IF(AND(AA1=2,AB1=2,J16=3),B15+G15+G16,IF(AND(AA1=2,AB1=2,J16=1),B15+G15+G16,IF(AND(AA1=1,AB1=2,J16=2),B15+G16+G17, IF(AND(AA1=1,AB1=1,J16=3),B15)))))))))))</f>
        <v>1000000</v>
      </c>
      <c r="F23" s="158"/>
      <c r="G23" s="159"/>
      <c r="AB23" s="232"/>
      <c r="AC23" s="232"/>
      <c r="AD23" s="232"/>
      <c r="AE23" s="232"/>
      <c r="AF23" s="232"/>
      <c r="AG23" s="232"/>
    </row>
    <row r="24" spans="1:59" x14ac:dyDescent="0.25">
      <c r="A24" s="68">
        <f t="shared" ref="A24:A86" si="0">IF(A23&lt;B$17,A23+1,"")</f>
        <v>1</v>
      </c>
      <c r="B24" s="68" t="str">
        <f t="shared" ref="B24:B86" si="1">IF(A24="","",IF(A24&lt;=B$16,"carência","amortização"))</f>
        <v>carência</v>
      </c>
      <c r="C24" s="156">
        <f>IF(B24="","",IF($AN$18=TRUE,AL24,AM24))</f>
        <v>0</v>
      </c>
      <c r="D24" s="156">
        <f>IF(C24="","",IF(A24&lt;=B$16,0,AU24))</f>
        <v>0</v>
      </c>
      <c r="E24" s="157">
        <f t="shared" ref="E24:E55" si="2">IF(F24="","",E23-D24)</f>
        <v>1000000</v>
      </c>
      <c r="F24" s="158">
        <f t="shared" ref="F24:F55" si="3">IF(D24="","",D24+C24)</f>
        <v>0</v>
      </c>
      <c r="G24" s="160">
        <f>IF(E24="","",D24+C24)</f>
        <v>0</v>
      </c>
      <c r="H24" s="67">
        <f t="shared" ref="H24:AI24" si="4">IF(F24="","",E24+D24)</f>
        <v>1000000</v>
      </c>
      <c r="I24" s="67">
        <f t="shared" si="4"/>
        <v>1000000</v>
      </c>
      <c r="J24" s="67">
        <f t="shared" si="4"/>
        <v>0</v>
      </c>
      <c r="K24" s="67">
        <f t="shared" si="4"/>
        <v>1000000</v>
      </c>
      <c r="L24" s="67">
        <f t="shared" si="4"/>
        <v>2000000</v>
      </c>
      <c r="M24" s="67">
        <f t="shared" si="4"/>
        <v>1000000</v>
      </c>
      <c r="N24" s="67">
        <f t="shared" si="4"/>
        <v>1000000</v>
      </c>
      <c r="O24" s="67">
        <f t="shared" si="4"/>
        <v>3000000</v>
      </c>
      <c r="P24" s="67">
        <f t="shared" si="4"/>
        <v>3000000</v>
      </c>
      <c r="Q24" s="67">
        <f t="shared" si="4"/>
        <v>2000000</v>
      </c>
      <c r="R24" s="67">
        <f t="shared" si="4"/>
        <v>4000000</v>
      </c>
      <c r="S24" s="67">
        <f t="shared" si="4"/>
        <v>6000000</v>
      </c>
      <c r="T24" s="67">
        <f t="shared" si="4"/>
        <v>5000000</v>
      </c>
      <c r="U24" s="67">
        <f t="shared" si="4"/>
        <v>6000000</v>
      </c>
      <c r="V24" s="67">
        <f t="shared" si="4"/>
        <v>10000000</v>
      </c>
      <c r="W24" s="67">
        <f t="shared" si="4"/>
        <v>11000000</v>
      </c>
      <c r="X24" s="67">
        <f t="shared" si="4"/>
        <v>11000000</v>
      </c>
      <c r="Y24" s="67">
        <f t="shared" si="4"/>
        <v>16000000</v>
      </c>
      <c r="Z24" s="67">
        <f t="shared" si="4"/>
        <v>21000000</v>
      </c>
      <c r="AA24" s="67">
        <f t="shared" si="4"/>
        <v>22000000</v>
      </c>
      <c r="AB24" s="67">
        <f t="shared" si="4"/>
        <v>27000000</v>
      </c>
      <c r="AC24" s="67">
        <f t="shared" si="4"/>
        <v>37000000</v>
      </c>
      <c r="AD24" s="67">
        <f t="shared" si="4"/>
        <v>43000000</v>
      </c>
      <c r="AE24" s="67">
        <f t="shared" si="4"/>
        <v>49000000</v>
      </c>
      <c r="AF24" s="67">
        <f t="shared" si="4"/>
        <v>64000000</v>
      </c>
      <c r="AG24" s="67">
        <f t="shared" si="4"/>
        <v>80000000</v>
      </c>
      <c r="AH24" s="67">
        <f t="shared" si="4"/>
        <v>92000000</v>
      </c>
      <c r="AI24" s="67">
        <f t="shared" si="4"/>
        <v>113000000</v>
      </c>
      <c r="AL24" s="23">
        <f t="shared" ref="AL24:AL55" si="5">IF(A24&lt;=$B$16,AM24,E23*$C$23)</f>
        <v>0</v>
      </c>
      <c r="AM24" s="23">
        <f>IF($AN$17=1,AN24,IF($AN$17=2,AO24,IF($AN$17=3,AP24,IF($AN$17=4,AQ24,IF($AN$17=5,AR24)))))</f>
        <v>0</v>
      </c>
      <c r="AN24" s="23">
        <f t="shared" ref="AN24:AN55" si="6">E23*$C$23</f>
        <v>0</v>
      </c>
      <c r="AO24" s="23">
        <v>0</v>
      </c>
      <c r="AP24" s="23">
        <v>0</v>
      </c>
      <c r="AQ24" s="23">
        <v>0</v>
      </c>
      <c r="AR24" s="23">
        <v>0</v>
      </c>
      <c r="AU24" s="23">
        <f>IF($AV$17=1,AV24,IF($AV$17=2,AW24,IF($AV$17=3,AX24,IF($AV$17=4,AY24,IF($AV$17=5,AZ24)))))</f>
        <v>4385.9649122807014</v>
      </c>
      <c r="AV24" s="23">
        <f t="shared" ref="AV24:AV87" si="7">$E$23/($B$17-$B$16)</f>
        <v>4385.9649122807014</v>
      </c>
      <c r="AW24" s="23">
        <v>0</v>
      </c>
      <c r="AX24" s="23">
        <v>0</v>
      </c>
      <c r="AY24" s="23">
        <v>0</v>
      </c>
      <c r="AZ24" s="23">
        <v>0</v>
      </c>
    </row>
    <row r="25" spans="1:59" x14ac:dyDescent="0.25">
      <c r="A25" s="68">
        <f t="shared" si="0"/>
        <v>2</v>
      </c>
      <c r="B25" s="68" t="str">
        <f t="shared" si="1"/>
        <v>carência</v>
      </c>
      <c r="C25" s="156">
        <f>IF(B25="","",IF($AN$18=TRUE,AL25,AM25))</f>
        <v>0</v>
      </c>
      <c r="D25" s="156">
        <f>IF(C25="","",IF(A25&lt;=B$16,0,AU25))</f>
        <v>0</v>
      </c>
      <c r="E25" s="157">
        <f t="shared" si="2"/>
        <v>1000000</v>
      </c>
      <c r="F25" s="158">
        <f t="shared" si="3"/>
        <v>0</v>
      </c>
      <c r="G25" s="160">
        <f t="shared" ref="G25:G86" si="8">IF(E25="","",D25+C25)</f>
        <v>0</v>
      </c>
      <c r="AA25" s="3"/>
      <c r="AB25" s="2" t="s">
        <v>46</v>
      </c>
      <c r="AC25" s="6">
        <v>4.1E-5</v>
      </c>
      <c r="AE25" s="5">
        <f ca="1">SUM(AG30:AG83)</f>
        <v>2362.8947368421054</v>
      </c>
      <c r="AG25" s="13"/>
      <c r="AH25" s="14" t="b">
        <v>1</v>
      </c>
      <c r="AL25" s="23">
        <f t="shared" si="5"/>
        <v>0</v>
      </c>
      <c r="AM25" s="23">
        <f t="shared" ref="AM25:AM35" si="9">IF($AN$17=1,AN25,IF($AN$17=2,AO25,IF($AN$17=3,AP25,IF($AN$17=4,AQ25,IF($AN$17=5,AR25)))))</f>
        <v>0</v>
      </c>
      <c r="AN25" s="23">
        <f t="shared" si="6"/>
        <v>0</v>
      </c>
      <c r="AO25" s="23">
        <f>E23*((1+$C$23)^2-1)</f>
        <v>0</v>
      </c>
      <c r="AP25" s="23">
        <v>0</v>
      </c>
      <c r="AQ25" s="23">
        <v>0</v>
      </c>
      <c r="AR25" s="23"/>
      <c r="AU25" s="23">
        <f t="shared" ref="AU25:AU88" si="10">IF($AV$17=1,AV25,IF($AV$17=2,AW25,IF($AV$17=3,AX25,IF($AV$17=4,AY25,IF($AV$17=5,AZ25)))))</f>
        <v>4385.9649122807014</v>
      </c>
      <c r="AV25" s="23">
        <f t="shared" si="7"/>
        <v>4385.9649122807014</v>
      </c>
      <c r="AW25" s="23">
        <f>$E$23/($B$17-$B$16)*2</f>
        <v>8771.9298245614027</v>
      </c>
      <c r="AX25" s="23">
        <v>0</v>
      </c>
      <c r="AY25" s="23">
        <v>0</v>
      </c>
      <c r="AZ25" s="23">
        <v>0</v>
      </c>
    </row>
    <row r="26" spans="1:59" x14ac:dyDescent="0.25">
      <c r="A26" s="68">
        <f t="shared" si="0"/>
        <v>3</v>
      </c>
      <c r="B26" s="68" t="str">
        <f t="shared" si="1"/>
        <v>carência</v>
      </c>
      <c r="C26" s="156">
        <f t="shared" ref="C26:C86" si="11">IF(B26="","",IF($AN$18=TRUE,AL26,AM26))</f>
        <v>0</v>
      </c>
      <c r="D26" s="156">
        <f t="shared" ref="D26:D86" si="12">IF(C26="","",IF(A26&lt;=B$16,0,AU26))</f>
        <v>0</v>
      </c>
      <c r="E26" s="157">
        <f t="shared" si="2"/>
        <v>1000000</v>
      </c>
      <c r="F26" s="158">
        <f t="shared" si="3"/>
        <v>0</v>
      </c>
      <c r="G26" s="160">
        <f t="shared" si="8"/>
        <v>0</v>
      </c>
      <c r="AB26" s="2" t="s">
        <v>51</v>
      </c>
      <c r="AC26" s="24">
        <f>0.00137/100</f>
        <v>1.3699999999999999E-5</v>
      </c>
      <c r="AE26" s="5">
        <f ca="1">SUM(AH30:AH308)</f>
        <v>789.55263157894649</v>
      </c>
      <c r="AL26" s="23">
        <f t="shared" si="5"/>
        <v>0</v>
      </c>
      <c r="AM26" s="23">
        <f t="shared" si="9"/>
        <v>0</v>
      </c>
      <c r="AN26" s="23">
        <f t="shared" si="6"/>
        <v>0</v>
      </c>
      <c r="AO26" s="23">
        <v>0</v>
      </c>
      <c r="AP26" s="23">
        <f>E23*((1+$C$23)^3-1)</f>
        <v>0</v>
      </c>
      <c r="AQ26" s="23">
        <v>0</v>
      </c>
      <c r="AR26" s="23">
        <v>0</v>
      </c>
      <c r="AU26" s="23">
        <f t="shared" si="10"/>
        <v>4385.9649122807014</v>
      </c>
      <c r="AV26" s="23">
        <f t="shared" si="7"/>
        <v>4385.9649122807014</v>
      </c>
      <c r="AW26" s="23">
        <v>0</v>
      </c>
      <c r="AX26" s="23">
        <f>$E$23/($B$17-$B$16)*3</f>
        <v>13157.894736842103</v>
      </c>
      <c r="AY26" s="23">
        <v>0</v>
      </c>
      <c r="AZ26" s="23">
        <v>0</v>
      </c>
    </row>
    <row r="27" spans="1:59" x14ac:dyDescent="0.25">
      <c r="A27" s="68">
        <f t="shared" si="0"/>
        <v>4</v>
      </c>
      <c r="B27" s="68" t="str">
        <f t="shared" si="1"/>
        <v>carência</v>
      </c>
      <c r="C27" s="156">
        <f t="shared" si="11"/>
        <v>0</v>
      </c>
      <c r="D27" s="156">
        <f t="shared" si="12"/>
        <v>0</v>
      </c>
      <c r="E27" s="157">
        <f t="shared" si="2"/>
        <v>1000000</v>
      </c>
      <c r="F27" s="158">
        <f t="shared" si="3"/>
        <v>0</v>
      </c>
      <c r="G27" s="160">
        <f t="shared" si="8"/>
        <v>0</v>
      </c>
      <c r="AB27" s="2" t="s">
        <v>16</v>
      </c>
      <c r="AC27" s="5">
        <f>B15</f>
        <v>1000000</v>
      </c>
      <c r="AG27" s="5"/>
      <c r="AL27" s="23">
        <f t="shared" si="5"/>
        <v>0</v>
      </c>
      <c r="AM27" s="23">
        <f t="shared" si="9"/>
        <v>0</v>
      </c>
      <c r="AN27" s="23">
        <f t="shared" si="6"/>
        <v>0</v>
      </c>
      <c r="AO27" s="23">
        <f>E25*((1+$C$23)^2-1)</f>
        <v>0</v>
      </c>
      <c r="AP27" s="23">
        <v>0</v>
      </c>
      <c r="AQ27" s="23">
        <v>0</v>
      </c>
      <c r="AR27" s="23">
        <v>0</v>
      </c>
      <c r="AU27" s="23">
        <f t="shared" si="10"/>
        <v>4385.9649122807014</v>
      </c>
      <c r="AV27" s="23">
        <f t="shared" si="7"/>
        <v>4385.9649122807014</v>
      </c>
      <c r="AW27" s="23">
        <f>$E$23/($B$17-$B$16)*2</f>
        <v>8771.9298245614027</v>
      </c>
      <c r="AX27" s="23">
        <v>0</v>
      </c>
      <c r="AY27" s="23">
        <v>0</v>
      </c>
      <c r="AZ27" s="23">
        <v>0</v>
      </c>
    </row>
    <row r="28" spans="1:59" x14ac:dyDescent="0.25">
      <c r="A28" s="68">
        <f t="shared" si="0"/>
        <v>5</v>
      </c>
      <c r="B28" s="68" t="str">
        <f t="shared" si="1"/>
        <v>carência</v>
      </c>
      <c r="C28" s="156">
        <f t="shared" si="11"/>
        <v>0</v>
      </c>
      <c r="D28" s="156">
        <f t="shared" si="12"/>
        <v>0</v>
      </c>
      <c r="E28" s="157">
        <f t="shared" si="2"/>
        <v>1000000</v>
      </c>
      <c r="F28" s="158">
        <f t="shared" si="3"/>
        <v>0</v>
      </c>
      <c r="G28" s="160">
        <f t="shared" si="8"/>
        <v>0</v>
      </c>
      <c r="AG28" s="2" t="s">
        <v>53</v>
      </c>
      <c r="AH28" s="2" t="s">
        <v>54</v>
      </c>
      <c r="AL28" s="23">
        <f t="shared" si="5"/>
        <v>0</v>
      </c>
      <c r="AM28" s="23">
        <f t="shared" si="9"/>
        <v>0</v>
      </c>
      <c r="AN28" s="23">
        <f t="shared" si="6"/>
        <v>0</v>
      </c>
      <c r="AO28" s="23">
        <v>0</v>
      </c>
      <c r="AP28" s="23">
        <v>0</v>
      </c>
      <c r="AQ28" s="23">
        <v>0</v>
      </c>
      <c r="AR28" s="23">
        <v>0</v>
      </c>
      <c r="AU28" s="23">
        <f t="shared" si="10"/>
        <v>4385.9649122807014</v>
      </c>
      <c r="AV28" s="23">
        <f t="shared" si="7"/>
        <v>4385.9649122807014</v>
      </c>
      <c r="AW28" s="23">
        <v>0</v>
      </c>
      <c r="AX28" s="23">
        <v>0</v>
      </c>
      <c r="AY28" s="23">
        <v>0</v>
      </c>
      <c r="AZ28" s="23">
        <v>0</v>
      </c>
    </row>
    <row r="29" spans="1:59" x14ac:dyDescent="0.25">
      <c r="A29" s="68">
        <f t="shared" si="0"/>
        <v>6</v>
      </c>
      <c r="B29" s="68" t="str">
        <f t="shared" si="1"/>
        <v>carência</v>
      </c>
      <c r="C29" s="156">
        <f t="shared" si="11"/>
        <v>0</v>
      </c>
      <c r="D29" s="156">
        <f t="shared" si="12"/>
        <v>0</v>
      </c>
      <c r="E29" s="157">
        <f t="shared" si="2"/>
        <v>1000000</v>
      </c>
      <c r="F29" s="158">
        <f t="shared" si="3"/>
        <v>0</v>
      </c>
      <c r="G29" s="160">
        <f t="shared" si="8"/>
        <v>0</v>
      </c>
      <c r="AA29" s="2">
        <v>0</v>
      </c>
      <c r="AB29" s="8">
        <f ca="1">D17</f>
        <v>46240</v>
      </c>
      <c r="AC29" s="9">
        <f ca="1">IF(AB29="","",AC27)</f>
        <v>1000000</v>
      </c>
      <c r="AD29" s="9">
        <f t="shared" ref="AD29:AD92" si="13">IF(AA29="","",IF(AA29&lt;=B$16,0,B$15/(B$17-B$16)))</f>
        <v>0</v>
      </c>
      <c r="AL29" s="23">
        <f t="shared" si="5"/>
        <v>0</v>
      </c>
      <c r="AM29" s="23">
        <f t="shared" si="9"/>
        <v>0</v>
      </c>
      <c r="AN29" s="23">
        <f t="shared" si="6"/>
        <v>0</v>
      </c>
      <c r="AO29" s="23">
        <f>E27*((1+$C$23)^2-1)</f>
        <v>0</v>
      </c>
      <c r="AP29" s="23">
        <f>E26*((1+$C$23)^3-1)</f>
        <v>0</v>
      </c>
      <c r="AQ29" s="23">
        <f t="shared" ref="AQ29" si="14">E23*((1+$C$23)^6-1)</f>
        <v>0</v>
      </c>
      <c r="AR29" s="23">
        <v>0</v>
      </c>
      <c r="AU29" s="23">
        <f t="shared" si="10"/>
        <v>4385.9649122807014</v>
      </c>
      <c r="AV29" s="23">
        <f t="shared" si="7"/>
        <v>4385.9649122807014</v>
      </c>
      <c r="AW29" s="23">
        <f>$E$23/($B$17-$B$16)*2</f>
        <v>8771.9298245614027</v>
      </c>
      <c r="AX29" s="23">
        <f>$E$23/($B$17-$B$16)*3</f>
        <v>13157.894736842103</v>
      </c>
      <c r="AY29" s="23">
        <f>$E$23/($B$17-$B$16)*6</f>
        <v>26315.789473684206</v>
      </c>
      <c r="AZ29" s="23">
        <v>0</v>
      </c>
    </row>
    <row r="30" spans="1:59" x14ac:dyDescent="0.25">
      <c r="A30" s="68">
        <f t="shared" si="0"/>
        <v>7</v>
      </c>
      <c r="B30" s="68" t="str">
        <f t="shared" si="1"/>
        <v>carência</v>
      </c>
      <c r="C30" s="156">
        <f t="shared" si="11"/>
        <v>0</v>
      </c>
      <c r="D30" s="156">
        <f t="shared" si="12"/>
        <v>0</v>
      </c>
      <c r="E30" s="157">
        <f t="shared" si="2"/>
        <v>1000000</v>
      </c>
      <c r="F30" s="158">
        <f t="shared" si="3"/>
        <v>0</v>
      </c>
      <c r="G30" s="160">
        <f t="shared" si="8"/>
        <v>0</v>
      </c>
      <c r="AA30" s="2">
        <f t="shared" ref="AA30:AA93" si="15">IF(AA29&lt;B$17,AA29+1,"")</f>
        <v>1</v>
      </c>
      <c r="AB30" s="8">
        <f ca="1">IF(AA30="","",AB29+30)</f>
        <v>46270</v>
      </c>
      <c r="AC30" s="9">
        <f t="shared" ref="AC30:AC41" ca="1" si="16">IF(AB30="","",IF(AA30&lt;=B$16,AC29,AC29-AD30))</f>
        <v>1000000</v>
      </c>
      <c r="AD30" s="9">
        <f t="shared" si="13"/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L30" s="23">
        <f t="shared" si="5"/>
        <v>0</v>
      </c>
      <c r="AM30" s="23">
        <f t="shared" si="9"/>
        <v>0</v>
      </c>
      <c r="AN30" s="23">
        <f t="shared" si="6"/>
        <v>0</v>
      </c>
      <c r="AO30" s="23">
        <v>0</v>
      </c>
      <c r="AP30" s="23">
        <v>0</v>
      </c>
      <c r="AQ30" s="23">
        <v>0</v>
      </c>
      <c r="AR30" s="23">
        <v>0</v>
      </c>
      <c r="AU30" s="23">
        <f t="shared" si="10"/>
        <v>4385.9649122807014</v>
      </c>
      <c r="AV30" s="23">
        <f t="shared" si="7"/>
        <v>4385.9649122807014</v>
      </c>
      <c r="AW30" s="23">
        <v>0</v>
      </c>
      <c r="AX30" s="23">
        <v>0</v>
      </c>
      <c r="AY30" s="23">
        <v>0</v>
      </c>
      <c r="AZ30" s="23">
        <v>0</v>
      </c>
    </row>
    <row r="31" spans="1:59" x14ac:dyDescent="0.25">
      <c r="A31" s="68">
        <f t="shared" si="0"/>
        <v>8</v>
      </c>
      <c r="B31" s="68" t="str">
        <f t="shared" si="1"/>
        <v>carência</v>
      </c>
      <c r="C31" s="156">
        <f t="shared" si="11"/>
        <v>0</v>
      </c>
      <c r="D31" s="156">
        <f t="shared" si="12"/>
        <v>0</v>
      </c>
      <c r="E31" s="157">
        <f t="shared" si="2"/>
        <v>1000000</v>
      </c>
      <c r="F31" s="158">
        <f t="shared" si="3"/>
        <v>0</v>
      </c>
      <c r="G31" s="160">
        <f t="shared" si="8"/>
        <v>0</v>
      </c>
      <c r="AA31" s="2">
        <f t="shared" si="15"/>
        <v>2</v>
      </c>
      <c r="AB31" s="8">
        <f t="shared" ref="AB31:AB77" ca="1" si="17">IF(AA31="","",AB30+30)</f>
        <v>46300</v>
      </c>
      <c r="AC31" s="9">
        <f t="shared" ca="1" si="16"/>
        <v>1000000</v>
      </c>
      <c r="AD31" s="9">
        <f t="shared" si="13"/>
        <v>0</v>
      </c>
      <c r="AE31" s="2">
        <f t="shared" ref="AE31:AE77" ca="1" si="18">IF(AD31="","",AB31-AB30)</f>
        <v>30</v>
      </c>
      <c r="AF31" s="2">
        <f t="shared" ref="AF31:AF94" ca="1" si="19">IF(AE31="","",AB31-AB$29)</f>
        <v>60</v>
      </c>
      <c r="AG31" s="9">
        <f t="shared" ref="AG31:AG94" ca="1" si="20">IF(AF31="","",IF(AF31&lt;365,AF31*AC$25*AD31,365*AD31*AC$25))</f>
        <v>0</v>
      </c>
      <c r="AH31" s="9">
        <f t="shared" ref="AH31:AH94" ca="1" si="21">IF(AF31="","",IF(AF31&lt;365,AF31*AC$26*AD31,365*AD31*AC$26))</f>
        <v>0</v>
      </c>
      <c r="AL31" s="23">
        <f t="shared" si="5"/>
        <v>0</v>
      </c>
      <c r="AM31" s="23">
        <f t="shared" si="9"/>
        <v>0</v>
      </c>
      <c r="AN31" s="23">
        <f t="shared" si="6"/>
        <v>0</v>
      </c>
      <c r="AO31" s="23">
        <f>E29*((1+$C$23)^2-1)</f>
        <v>0</v>
      </c>
      <c r="AP31" s="23">
        <v>0</v>
      </c>
      <c r="AQ31" s="23">
        <v>0</v>
      </c>
      <c r="AR31" s="23">
        <v>0</v>
      </c>
      <c r="AU31" s="23">
        <f t="shared" si="10"/>
        <v>4385.9649122807014</v>
      </c>
      <c r="AV31" s="23">
        <f t="shared" si="7"/>
        <v>4385.9649122807014</v>
      </c>
      <c r="AW31" s="23">
        <f>$E$23/($B$17-$B$16)*2</f>
        <v>8771.9298245614027</v>
      </c>
      <c r="AX31" s="23">
        <v>0</v>
      </c>
      <c r="AY31" s="23">
        <v>0</v>
      </c>
      <c r="AZ31" s="23">
        <v>0</v>
      </c>
    </row>
    <row r="32" spans="1:59" x14ac:dyDescent="0.25">
      <c r="A32" s="68">
        <f t="shared" si="0"/>
        <v>9</v>
      </c>
      <c r="B32" s="68" t="str">
        <f t="shared" si="1"/>
        <v>carência</v>
      </c>
      <c r="C32" s="156">
        <f t="shared" si="11"/>
        <v>0</v>
      </c>
      <c r="D32" s="156">
        <f t="shared" si="12"/>
        <v>0</v>
      </c>
      <c r="E32" s="157">
        <f t="shared" si="2"/>
        <v>1000000</v>
      </c>
      <c r="F32" s="158">
        <f t="shared" si="3"/>
        <v>0</v>
      </c>
      <c r="G32" s="160">
        <f t="shared" si="8"/>
        <v>0</v>
      </c>
      <c r="AA32" s="2">
        <f t="shared" si="15"/>
        <v>3</v>
      </c>
      <c r="AB32" s="8">
        <f t="shared" ca="1" si="17"/>
        <v>46330</v>
      </c>
      <c r="AC32" s="9">
        <f t="shared" ca="1" si="16"/>
        <v>1000000</v>
      </c>
      <c r="AD32" s="9">
        <f t="shared" si="13"/>
        <v>0</v>
      </c>
      <c r="AE32" s="2">
        <f t="shared" ca="1" si="18"/>
        <v>30</v>
      </c>
      <c r="AF32" s="2">
        <f t="shared" ca="1" si="19"/>
        <v>90</v>
      </c>
      <c r="AG32" s="9">
        <f t="shared" ca="1" si="20"/>
        <v>0</v>
      </c>
      <c r="AH32" s="9">
        <f t="shared" ca="1" si="21"/>
        <v>0</v>
      </c>
      <c r="AL32" s="23">
        <f t="shared" si="5"/>
        <v>0</v>
      </c>
      <c r="AM32" s="23">
        <f t="shared" si="9"/>
        <v>0</v>
      </c>
      <c r="AN32" s="23">
        <f t="shared" si="6"/>
        <v>0</v>
      </c>
      <c r="AO32" s="23">
        <v>0</v>
      </c>
      <c r="AP32" s="23">
        <f>E29*((1+$C$23)^3-1)</f>
        <v>0</v>
      </c>
      <c r="AQ32" s="23">
        <v>0</v>
      </c>
      <c r="AR32" s="23">
        <v>0</v>
      </c>
      <c r="AU32" s="23">
        <f t="shared" si="10"/>
        <v>4385.9649122807014</v>
      </c>
      <c r="AV32" s="23">
        <f t="shared" si="7"/>
        <v>4385.9649122807014</v>
      </c>
      <c r="AW32" s="23">
        <v>0</v>
      </c>
      <c r="AX32" s="23">
        <f>$E$23/($B$17-$B$16)*3</f>
        <v>13157.894736842103</v>
      </c>
      <c r="AY32" s="23">
        <v>0</v>
      </c>
      <c r="AZ32" s="23">
        <v>0</v>
      </c>
    </row>
    <row r="33" spans="1:52" x14ac:dyDescent="0.25">
      <c r="A33" s="68">
        <f t="shared" si="0"/>
        <v>10</v>
      </c>
      <c r="B33" s="68" t="str">
        <f t="shared" si="1"/>
        <v>carência</v>
      </c>
      <c r="C33" s="156">
        <f t="shared" si="11"/>
        <v>0</v>
      </c>
      <c r="D33" s="156">
        <f t="shared" si="12"/>
        <v>0</v>
      </c>
      <c r="E33" s="157">
        <f t="shared" si="2"/>
        <v>1000000</v>
      </c>
      <c r="F33" s="158">
        <f t="shared" si="3"/>
        <v>0</v>
      </c>
      <c r="G33" s="160">
        <f t="shared" si="8"/>
        <v>0</v>
      </c>
      <c r="AA33" s="2">
        <f t="shared" si="15"/>
        <v>4</v>
      </c>
      <c r="AB33" s="8">
        <f t="shared" ca="1" si="17"/>
        <v>46360</v>
      </c>
      <c r="AC33" s="9">
        <f t="shared" ca="1" si="16"/>
        <v>1000000</v>
      </c>
      <c r="AD33" s="9">
        <f t="shared" si="13"/>
        <v>0</v>
      </c>
      <c r="AE33" s="2">
        <f t="shared" ca="1" si="18"/>
        <v>30</v>
      </c>
      <c r="AF33" s="2">
        <f t="shared" ca="1" si="19"/>
        <v>120</v>
      </c>
      <c r="AG33" s="9">
        <f t="shared" ca="1" si="20"/>
        <v>0</v>
      </c>
      <c r="AH33" s="9">
        <f t="shared" ca="1" si="21"/>
        <v>0</v>
      </c>
      <c r="AL33" s="23">
        <f t="shared" si="5"/>
        <v>0</v>
      </c>
      <c r="AM33" s="23">
        <f t="shared" si="9"/>
        <v>0</v>
      </c>
      <c r="AN33" s="23">
        <f t="shared" si="6"/>
        <v>0</v>
      </c>
      <c r="AO33" s="23">
        <f>E31*((1+$C$23)^2-1)</f>
        <v>0</v>
      </c>
      <c r="AP33" s="23">
        <v>0</v>
      </c>
      <c r="AQ33" s="23">
        <v>0</v>
      </c>
      <c r="AR33" s="23">
        <v>0</v>
      </c>
      <c r="AU33" s="23">
        <f t="shared" si="10"/>
        <v>4385.9649122807014</v>
      </c>
      <c r="AV33" s="23">
        <f t="shared" si="7"/>
        <v>4385.9649122807014</v>
      </c>
      <c r="AW33" s="23">
        <f>$E$23/($B$17-$B$16)*2</f>
        <v>8771.9298245614027</v>
      </c>
      <c r="AX33" s="23">
        <v>0</v>
      </c>
      <c r="AY33" s="23">
        <v>0</v>
      </c>
      <c r="AZ33" s="23">
        <v>0</v>
      </c>
    </row>
    <row r="34" spans="1:52" x14ac:dyDescent="0.25">
      <c r="A34" s="68">
        <f t="shared" si="0"/>
        <v>11</v>
      </c>
      <c r="B34" s="68" t="str">
        <f t="shared" si="1"/>
        <v>carência</v>
      </c>
      <c r="C34" s="156">
        <f t="shared" si="11"/>
        <v>0</v>
      </c>
      <c r="D34" s="156">
        <f t="shared" si="12"/>
        <v>0</v>
      </c>
      <c r="E34" s="157">
        <f t="shared" si="2"/>
        <v>1000000</v>
      </c>
      <c r="F34" s="158">
        <f t="shared" si="3"/>
        <v>0</v>
      </c>
      <c r="G34" s="160">
        <f t="shared" si="8"/>
        <v>0</v>
      </c>
      <c r="AA34" s="2">
        <f t="shared" si="15"/>
        <v>5</v>
      </c>
      <c r="AB34" s="8">
        <f t="shared" ca="1" si="17"/>
        <v>46390</v>
      </c>
      <c r="AC34" s="9">
        <f t="shared" ca="1" si="16"/>
        <v>1000000</v>
      </c>
      <c r="AD34" s="9">
        <f t="shared" si="13"/>
        <v>0</v>
      </c>
      <c r="AE34" s="2">
        <f t="shared" ca="1" si="18"/>
        <v>30</v>
      </c>
      <c r="AF34" s="2">
        <f t="shared" ca="1" si="19"/>
        <v>150</v>
      </c>
      <c r="AG34" s="9">
        <f t="shared" ca="1" si="20"/>
        <v>0</v>
      </c>
      <c r="AH34" s="9">
        <f t="shared" ca="1" si="21"/>
        <v>0</v>
      </c>
      <c r="AL34" s="23">
        <f t="shared" si="5"/>
        <v>0</v>
      </c>
      <c r="AM34" s="23">
        <f t="shared" si="9"/>
        <v>0</v>
      </c>
      <c r="AN34" s="23">
        <f t="shared" si="6"/>
        <v>0</v>
      </c>
      <c r="AO34" s="23">
        <v>0</v>
      </c>
      <c r="AP34" s="23">
        <v>0</v>
      </c>
      <c r="AQ34" s="23">
        <v>0</v>
      </c>
      <c r="AR34" s="23">
        <v>0</v>
      </c>
      <c r="AU34" s="23">
        <f t="shared" si="10"/>
        <v>4385.9649122807014</v>
      </c>
      <c r="AV34" s="23">
        <f t="shared" si="7"/>
        <v>4385.9649122807014</v>
      </c>
      <c r="AW34" s="23">
        <v>0</v>
      </c>
      <c r="AX34" s="23">
        <v>0</v>
      </c>
      <c r="AY34" s="23">
        <v>0</v>
      </c>
      <c r="AZ34" s="23">
        <v>0</v>
      </c>
    </row>
    <row r="35" spans="1:52" x14ac:dyDescent="0.25">
      <c r="A35" s="68">
        <f t="shared" si="0"/>
        <v>12</v>
      </c>
      <c r="B35" s="68" t="str">
        <f t="shared" si="1"/>
        <v>carência</v>
      </c>
      <c r="C35" s="156">
        <f t="shared" si="11"/>
        <v>0</v>
      </c>
      <c r="D35" s="156">
        <f t="shared" si="12"/>
        <v>0</v>
      </c>
      <c r="E35" s="157">
        <f t="shared" si="2"/>
        <v>1000000</v>
      </c>
      <c r="F35" s="158">
        <f t="shared" si="3"/>
        <v>0</v>
      </c>
      <c r="G35" s="160">
        <f t="shared" si="8"/>
        <v>0</v>
      </c>
      <c r="AA35" s="2">
        <f t="shared" si="15"/>
        <v>6</v>
      </c>
      <c r="AB35" s="8">
        <f t="shared" ca="1" si="17"/>
        <v>46420</v>
      </c>
      <c r="AC35" s="9">
        <f t="shared" ca="1" si="16"/>
        <v>1000000</v>
      </c>
      <c r="AD35" s="9">
        <f t="shared" si="13"/>
        <v>0</v>
      </c>
      <c r="AE35" s="2">
        <f t="shared" ca="1" si="18"/>
        <v>30</v>
      </c>
      <c r="AF35" s="2">
        <f t="shared" ca="1" si="19"/>
        <v>180</v>
      </c>
      <c r="AG35" s="9">
        <f t="shared" ca="1" si="20"/>
        <v>0</v>
      </c>
      <c r="AH35" s="9">
        <f t="shared" ca="1" si="21"/>
        <v>0</v>
      </c>
      <c r="AL35" s="23">
        <f t="shared" si="5"/>
        <v>0</v>
      </c>
      <c r="AM35" s="23">
        <f t="shared" si="9"/>
        <v>0</v>
      </c>
      <c r="AN35" s="23">
        <f t="shared" si="6"/>
        <v>0</v>
      </c>
      <c r="AO35" s="23">
        <f>E33*((1+$C$23)^2-1)</f>
        <v>0</v>
      </c>
      <c r="AP35" s="23">
        <f>E32*((1+$C$23)^3-1)</f>
        <v>0</v>
      </c>
      <c r="AQ35" s="23">
        <f>E29*((1+$C$23)^6-1)</f>
        <v>0</v>
      </c>
      <c r="AR35" s="23">
        <f>E23*((1+$C$23)^12-1)</f>
        <v>0</v>
      </c>
      <c r="AU35" s="23">
        <f t="shared" si="10"/>
        <v>4385.9649122807014</v>
      </c>
      <c r="AV35" s="23">
        <f t="shared" si="7"/>
        <v>4385.9649122807014</v>
      </c>
      <c r="AW35" s="23">
        <f>$E$23/($B$17-$B$16)*2</f>
        <v>8771.9298245614027</v>
      </c>
      <c r="AX35" s="23">
        <f>$E$23/($B$17-$B$16)*3</f>
        <v>13157.894736842103</v>
      </c>
      <c r="AY35" s="23">
        <f>$E$23/($B$17-$B$16)*6</f>
        <v>26315.789473684206</v>
      </c>
      <c r="AZ35" s="23">
        <f>$E$23/($B$17-$B$16)*12</f>
        <v>52631.578947368413</v>
      </c>
    </row>
    <row r="36" spans="1:52" x14ac:dyDescent="0.25">
      <c r="A36" s="68">
        <f t="shared" si="0"/>
        <v>13</v>
      </c>
      <c r="B36" s="68" t="str">
        <f t="shared" si="1"/>
        <v>amortização</v>
      </c>
      <c r="C36" s="156">
        <f t="shared" si="11"/>
        <v>0</v>
      </c>
      <c r="D36" s="156">
        <f t="shared" si="12"/>
        <v>4385.9649122807014</v>
      </c>
      <c r="E36" s="157">
        <f t="shared" si="2"/>
        <v>995614.03508771933</v>
      </c>
      <c r="F36" s="158">
        <f t="shared" si="3"/>
        <v>4385.9649122807014</v>
      </c>
      <c r="G36" s="160">
        <f t="shared" si="8"/>
        <v>4385.9649122807014</v>
      </c>
      <c r="AA36" s="2">
        <f t="shared" si="15"/>
        <v>7</v>
      </c>
      <c r="AB36" s="8">
        <f t="shared" ca="1" si="17"/>
        <v>46450</v>
      </c>
      <c r="AC36" s="9">
        <f t="shared" ca="1" si="16"/>
        <v>1000000</v>
      </c>
      <c r="AD36" s="9">
        <f t="shared" si="13"/>
        <v>0</v>
      </c>
      <c r="AE36" s="2">
        <f t="shared" ca="1" si="18"/>
        <v>30</v>
      </c>
      <c r="AF36" s="2">
        <f t="shared" ca="1" si="19"/>
        <v>210</v>
      </c>
      <c r="AG36" s="9">
        <f t="shared" ca="1" si="20"/>
        <v>0</v>
      </c>
      <c r="AH36" s="9">
        <f t="shared" ca="1" si="21"/>
        <v>0</v>
      </c>
      <c r="AL36" s="23">
        <f t="shared" si="5"/>
        <v>0</v>
      </c>
      <c r="AM36" s="23">
        <f t="shared" ref="AM36:AM50" si="22">IF($AN$17=1,AN36,IF($AN$17=2,AO36,IF($AN$17=3,AP36,IF($AN$17=4,AQ36,IF($AN$17=5,AR36)))))</f>
        <v>0</v>
      </c>
      <c r="AN36" s="23">
        <f t="shared" si="6"/>
        <v>0</v>
      </c>
      <c r="AO36" s="23">
        <v>0</v>
      </c>
      <c r="AP36" s="23">
        <v>0</v>
      </c>
      <c r="AQ36" s="23">
        <v>0</v>
      </c>
      <c r="AR36" s="23">
        <v>0</v>
      </c>
      <c r="AU36" s="23">
        <f t="shared" si="10"/>
        <v>4385.9649122807014</v>
      </c>
      <c r="AV36" s="23">
        <f t="shared" si="7"/>
        <v>4385.9649122807014</v>
      </c>
      <c r="AW36" s="23">
        <v>0</v>
      </c>
      <c r="AX36" s="23">
        <v>0</v>
      </c>
      <c r="AY36" s="23">
        <v>0</v>
      </c>
      <c r="AZ36" s="23">
        <v>0</v>
      </c>
    </row>
    <row r="37" spans="1:52" x14ac:dyDescent="0.25">
      <c r="A37" s="68">
        <f t="shared" si="0"/>
        <v>14</v>
      </c>
      <c r="B37" s="68" t="str">
        <f t="shared" si="1"/>
        <v>amortização</v>
      </c>
      <c r="C37" s="156">
        <f t="shared" si="11"/>
        <v>0</v>
      </c>
      <c r="D37" s="156">
        <f t="shared" si="12"/>
        <v>4385.9649122807014</v>
      </c>
      <c r="E37" s="157">
        <f t="shared" si="2"/>
        <v>991228.07017543865</v>
      </c>
      <c r="F37" s="158">
        <f t="shared" si="3"/>
        <v>4385.9649122807014</v>
      </c>
      <c r="G37" s="160">
        <f t="shared" si="8"/>
        <v>4385.9649122807014</v>
      </c>
      <c r="AA37" s="2">
        <f t="shared" si="15"/>
        <v>8</v>
      </c>
      <c r="AB37" s="8">
        <f t="shared" ca="1" si="17"/>
        <v>46480</v>
      </c>
      <c r="AC37" s="9">
        <f t="shared" ca="1" si="16"/>
        <v>1000000</v>
      </c>
      <c r="AD37" s="9">
        <f t="shared" si="13"/>
        <v>0</v>
      </c>
      <c r="AE37" s="2">
        <f t="shared" ca="1" si="18"/>
        <v>30</v>
      </c>
      <c r="AF37" s="2">
        <f t="shared" ca="1" si="19"/>
        <v>240</v>
      </c>
      <c r="AG37" s="9">
        <f t="shared" ca="1" si="20"/>
        <v>0</v>
      </c>
      <c r="AH37" s="9">
        <f t="shared" ca="1" si="21"/>
        <v>0</v>
      </c>
      <c r="AL37" s="23">
        <f t="shared" si="5"/>
        <v>0</v>
      </c>
      <c r="AM37" s="23">
        <f t="shared" si="22"/>
        <v>0</v>
      </c>
      <c r="AN37" s="23">
        <f t="shared" si="6"/>
        <v>0</v>
      </c>
      <c r="AO37" s="23">
        <f>E35*((1+$C$23)^2-1)</f>
        <v>0</v>
      </c>
      <c r="AP37" s="23">
        <v>0</v>
      </c>
      <c r="AQ37" s="23">
        <v>0</v>
      </c>
      <c r="AR37" s="23">
        <v>0</v>
      </c>
      <c r="AU37" s="23">
        <f t="shared" si="10"/>
        <v>4385.9649122807014</v>
      </c>
      <c r="AV37" s="23">
        <f t="shared" si="7"/>
        <v>4385.9649122807014</v>
      </c>
      <c r="AW37" s="23">
        <f>$E$23/($B$17-$B$16)*2</f>
        <v>8771.9298245614027</v>
      </c>
      <c r="AX37" s="23">
        <v>0</v>
      </c>
      <c r="AY37" s="23">
        <v>0</v>
      </c>
      <c r="AZ37" s="23">
        <v>0</v>
      </c>
    </row>
    <row r="38" spans="1:52" x14ac:dyDescent="0.25">
      <c r="A38" s="68">
        <f t="shared" si="0"/>
        <v>15</v>
      </c>
      <c r="B38" s="68" t="str">
        <f t="shared" si="1"/>
        <v>amortização</v>
      </c>
      <c r="C38" s="156">
        <f t="shared" si="11"/>
        <v>0</v>
      </c>
      <c r="D38" s="156">
        <f t="shared" si="12"/>
        <v>4385.9649122807014</v>
      </c>
      <c r="E38" s="157">
        <f t="shared" si="2"/>
        <v>986842.10526315798</v>
      </c>
      <c r="F38" s="158">
        <f t="shared" si="3"/>
        <v>4385.9649122807014</v>
      </c>
      <c r="G38" s="160">
        <f t="shared" si="8"/>
        <v>4385.9649122807014</v>
      </c>
      <c r="AA38" s="2">
        <f t="shared" si="15"/>
        <v>9</v>
      </c>
      <c r="AB38" s="8">
        <f t="shared" ca="1" si="17"/>
        <v>46510</v>
      </c>
      <c r="AC38" s="9">
        <f t="shared" ca="1" si="16"/>
        <v>1000000</v>
      </c>
      <c r="AD38" s="9">
        <f t="shared" si="13"/>
        <v>0</v>
      </c>
      <c r="AE38" s="2">
        <f t="shared" ca="1" si="18"/>
        <v>30</v>
      </c>
      <c r="AF38" s="2">
        <f t="shared" ca="1" si="19"/>
        <v>270</v>
      </c>
      <c r="AG38" s="9">
        <f t="shared" ca="1" si="20"/>
        <v>0</v>
      </c>
      <c r="AH38" s="9">
        <f t="shared" ca="1" si="21"/>
        <v>0</v>
      </c>
      <c r="AL38" s="23">
        <f t="shared" si="5"/>
        <v>0</v>
      </c>
      <c r="AM38" s="23">
        <f t="shared" si="22"/>
        <v>0</v>
      </c>
      <c r="AN38" s="23">
        <f t="shared" si="6"/>
        <v>0</v>
      </c>
      <c r="AO38" s="23">
        <v>0</v>
      </c>
      <c r="AP38" s="23">
        <f>E35*((1+$C$23)^3-1)</f>
        <v>0</v>
      </c>
      <c r="AQ38" s="23">
        <v>0</v>
      </c>
      <c r="AR38" s="23">
        <v>0</v>
      </c>
      <c r="AU38" s="23">
        <f t="shared" si="10"/>
        <v>4385.9649122807014</v>
      </c>
      <c r="AV38" s="23">
        <f t="shared" si="7"/>
        <v>4385.9649122807014</v>
      </c>
      <c r="AW38" s="23">
        <v>0</v>
      </c>
      <c r="AX38" s="23">
        <f>$E$23/($B$17-$B$16)*3</f>
        <v>13157.894736842103</v>
      </c>
      <c r="AY38" s="23">
        <v>0</v>
      </c>
      <c r="AZ38" s="23">
        <v>0</v>
      </c>
    </row>
    <row r="39" spans="1:52" x14ac:dyDescent="0.25">
      <c r="A39" s="68">
        <f t="shared" si="0"/>
        <v>16</v>
      </c>
      <c r="B39" s="68" t="str">
        <f t="shared" si="1"/>
        <v>amortização</v>
      </c>
      <c r="C39" s="156">
        <f t="shared" si="11"/>
        <v>0</v>
      </c>
      <c r="D39" s="156">
        <f t="shared" si="12"/>
        <v>4385.9649122807014</v>
      </c>
      <c r="E39" s="157">
        <f t="shared" si="2"/>
        <v>982456.14035087731</v>
      </c>
      <c r="F39" s="158">
        <f t="shared" si="3"/>
        <v>4385.9649122807014</v>
      </c>
      <c r="G39" s="160">
        <f t="shared" si="8"/>
        <v>4385.9649122807014</v>
      </c>
      <c r="AA39" s="2">
        <f t="shared" si="15"/>
        <v>10</v>
      </c>
      <c r="AB39" s="8">
        <f t="shared" ca="1" si="17"/>
        <v>46540</v>
      </c>
      <c r="AC39" s="9">
        <f t="shared" ca="1" si="16"/>
        <v>1000000</v>
      </c>
      <c r="AD39" s="9">
        <f t="shared" si="13"/>
        <v>0</v>
      </c>
      <c r="AE39" s="2">
        <f t="shared" ca="1" si="18"/>
        <v>30</v>
      </c>
      <c r="AF39" s="2">
        <f t="shared" ca="1" si="19"/>
        <v>300</v>
      </c>
      <c r="AG39" s="9">
        <f t="shared" ca="1" si="20"/>
        <v>0</v>
      </c>
      <c r="AH39" s="9">
        <f t="shared" ca="1" si="21"/>
        <v>0</v>
      </c>
      <c r="AL39" s="23">
        <f t="shared" si="5"/>
        <v>0</v>
      </c>
      <c r="AM39" s="23">
        <f t="shared" si="22"/>
        <v>0</v>
      </c>
      <c r="AN39" s="23">
        <f t="shared" si="6"/>
        <v>0</v>
      </c>
      <c r="AO39" s="23">
        <f>E37*((1+$C$23)^2-1)</f>
        <v>0</v>
      </c>
      <c r="AP39" s="23">
        <v>0</v>
      </c>
      <c r="AQ39" s="23">
        <v>0</v>
      </c>
      <c r="AR39" s="23">
        <v>0</v>
      </c>
      <c r="AU39" s="23">
        <f t="shared" si="10"/>
        <v>4385.9649122807014</v>
      </c>
      <c r="AV39" s="23">
        <f t="shared" si="7"/>
        <v>4385.9649122807014</v>
      </c>
      <c r="AW39" s="23">
        <f>$E$23/($B$17-$B$16)*2</f>
        <v>8771.9298245614027</v>
      </c>
      <c r="AX39" s="23">
        <v>0</v>
      </c>
      <c r="AY39" s="23">
        <v>0</v>
      </c>
      <c r="AZ39" s="23">
        <v>0</v>
      </c>
    </row>
    <row r="40" spans="1:52" x14ac:dyDescent="0.25">
      <c r="A40" s="68">
        <f t="shared" si="0"/>
        <v>17</v>
      </c>
      <c r="B40" s="68" t="str">
        <f t="shared" si="1"/>
        <v>amortização</v>
      </c>
      <c r="C40" s="156">
        <f t="shared" si="11"/>
        <v>0</v>
      </c>
      <c r="D40" s="156">
        <f t="shared" si="12"/>
        <v>4385.9649122807014</v>
      </c>
      <c r="E40" s="157">
        <f t="shared" si="2"/>
        <v>978070.17543859663</v>
      </c>
      <c r="F40" s="158">
        <f t="shared" si="3"/>
        <v>4385.9649122807014</v>
      </c>
      <c r="G40" s="160">
        <f t="shared" si="8"/>
        <v>4385.9649122807014</v>
      </c>
      <c r="AA40" s="2">
        <f t="shared" si="15"/>
        <v>11</v>
      </c>
      <c r="AB40" s="8">
        <f t="shared" ca="1" si="17"/>
        <v>46570</v>
      </c>
      <c r="AC40" s="9">
        <f t="shared" ca="1" si="16"/>
        <v>1000000</v>
      </c>
      <c r="AD40" s="9">
        <f t="shared" si="13"/>
        <v>0</v>
      </c>
      <c r="AE40" s="2">
        <f t="shared" ca="1" si="18"/>
        <v>30</v>
      </c>
      <c r="AF40" s="2">
        <f t="shared" ca="1" si="19"/>
        <v>330</v>
      </c>
      <c r="AG40" s="9">
        <f t="shared" ca="1" si="20"/>
        <v>0</v>
      </c>
      <c r="AH40" s="9">
        <f t="shared" ca="1" si="21"/>
        <v>0</v>
      </c>
      <c r="AL40" s="23">
        <f t="shared" si="5"/>
        <v>0</v>
      </c>
      <c r="AM40" s="23">
        <f t="shared" si="22"/>
        <v>0</v>
      </c>
      <c r="AN40" s="23">
        <f t="shared" si="6"/>
        <v>0</v>
      </c>
      <c r="AO40" s="23">
        <v>0</v>
      </c>
      <c r="AP40" s="23">
        <v>0</v>
      </c>
      <c r="AQ40" s="23">
        <v>0</v>
      </c>
      <c r="AR40" s="23">
        <v>0</v>
      </c>
      <c r="AU40" s="23">
        <f t="shared" si="10"/>
        <v>4385.9649122807014</v>
      </c>
      <c r="AV40" s="23">
        <f t="shared" si="7"/>
        <v>4385.9649122807014</v>
      </c>
      <c r="AW40" s="23">
        <v>0</v>
      </c>
      <c r="AX40" s="23">
        <v>0</v>
      </c>
      <c r="AY40" s="23">
        <v>0</v>
      </c>
      <c r="AZ40" s="23">
        <v>0</v>
      </c>
    </row>
    <row r="41" spans="1:52" x14ac:dyDescent="0.25">
      <c r="A41" s="68">
        <f t="shared" si="0"/>
        <v>18</v>
      </c>
      <c r="B41" s="68" t="str">
        <f t="shared" si="1"/>
        <v>amortização</v>
      </c>
      <c r="C41" s="156">
        <f t="shared" si="11"/>
        <v>0</v>
      </c>
      <c r="D41" s="156">
        <f t="shared" si="12"/>
        <v>4385.9649122807014</v>
      </c>
      <c r="E41" s="157">
        <f t="shared" si="2"/>
        <v>973684.21052631596</v>
      </c>
      <c r="F41" s="158">
        <f t="shared" si="3"/>
        <v>4385.9649122807014</v>
      </c>
      <c r="G41" s="160">
        <f t="shared" si="8"/>
        <v>4385.9649122807014</v>
      </c>
      <c r="AA41" s="2">
        <f t="shared" si="15"/>
        <v>12</v>
      </c>
      <c r="AB41" s="8">
        <f t="shared" ca="1" si="17"/>
        <v>46600</v>
      </c>
      <c r="AC41" s="9">
        <f t="shared" ca="1" si="16"/>
        <v>1000000</v>
      </c>
      <c r="AD41" s="9">
        <f t="shared" si="13"/>
        <v>0</v>
      </c>
      <c r="AE41" s="2">
        <f t="shared" ca="1" si="18"/>
        <v>30</v>
      </c>
      <c r="AF41" s="2">
        <f t="shared" ca="1" si="19"/>
        <v>360</v>
      </c>
      <c r="AG41" s="9">
        <f t="shared" ca="1" si="20"/>
        <v>0</v>
      </c>
      <c r="AH41" s="9">
        <f t="shared" ca="1" si="21"/>
        <v>0</v>
      </c>
      <c r="AL41" s="23">
        <f t="shared" si="5"/>
        <v>0</v>
      </c>
      <c r="AM41" s="23">
        <f t="shared" si="22"/>
        <v>0</v>
      </c>
      <c r="AN41" s="23">
        <f t="shared" si="6"/>
        <v>0</v>
      </c>
      <c r="AO41" s="23">
        <f>E39*((1+$C$23)^2-1)</f>
        <v>0</v>
      </c>
      <c r="AP41" s="23">
        <f>E38*((1+$C$23)^3-1)</f>
        <v>0</v>
      </c>
      <c r="AQ41" s="23">
        <f t="shared" ref="AQ41" si="23">E35*((1+$C$23)^6-1)</f>
        <v>0</v>
      </c>
      <c r="AR41" s="23">
        <v>0</v>
      </c>
      <c r="AU41" s="23">
        <f t="shared" si="10"/>
        <v>4385.9649122807014</v>
      </c>
      <c r="AV41" s="23">
        <f t="shared" si="7"/>
        <v>4385.9649122807014</v>
      </c>
      <c r="AW41" s="23">
        <f>$E$23/($B$17-$B$16)*2</f>
        <v>8771.9298245614027</v>
      </c>
      <c r="AX41" s="23">
        <f>$E$23/($B$17-$B$16)*3</f>
        <v>13157.894736842103</v>
      </c>
      <c r="AY41" s="23">
        <f>$E$23/($B$17-$B$16)*6</f>
        <v>26315.789473684206</v>
      </c>
      <c r="AZ41" s="23">
        <v>0</v>
      </c>
    </row>
    <row r="42" spans="1:52" x14ac:dyDescent="0.25">
      <c r="A42" s="68">
        <f t="shared" si="0"/>
        <v>19</v>
      </c>
      <c r="B42" s="68" t="str">
        <f t="shared" si="1"/>
        <v>amortização</v>
      </c>
      <c r="C42" s="156">
        <f t="shared" si="11"/>
        <v>0</v>
      </c>
      <c r="D42" s="156">
        <f t="shared" si="12"/>
        <v>4385.9649122807014</v>
      </c>
      <c r="E42" s="157">
        <f t="shared" si="2"/>
        <v>969298.24561403529</v>
      </c>
      <c r="F42" s="158">
        <f t="shared" si="3"/>
        <v>4385.9649122807014</v>
      </c>
      <c r="G42" s="160">
        <f t="shared" si="8"/>
        <v>4385.9649122807014</v>
      </c>
      <c r="AA42" s="2">
        <f t="shared" si="15"/>
        <v>13</v>
      </c>
      <c r="AB42" s="8">
        <f t="shared" ca="1" si="17"/>
        <v>46630</v>
      </c>
      <c r="AC42" s="9">
        <f ca="1">IF(AA42="","",IF(AB42&lt;=B$16,AC27,AC41-AD42))</f>
        <v>995614.03508771933</v>
      </c>
      <c r="AD42" s="9">
        <f t="shared" si="13"/>
        <v>4385.9649122807014</v>
      </c>
      <c r="AE42" s="2">
        <f t="shared" ca="1" si="18"/>
        <v>30</v>
      </c>
      <c r="AF42" s="2">
        <f t="shared" ca="1" si="19"/>
        <v>390</v>
      </c>
      <c r="AG42" s="9">
        <f t="shared" ca="1" si="20"/>
        <v>65.635964912280699</v>
      </c>
      <c r="AH42" s="9">
        <f t="shared" ca="1" si="21"/>
        <v>21.932017543859644</v>
      </c>
      <c r="AL42" s="23">
        <f t="shared" si="5"/>
        <v>0</v>
      </c>
      <c r="AM42" s="23">
        <f t="shared" si="22"/>
        <v>0</v>
      </c>
      <c r="AN42" s="23">
        <f t="shared" si="6"/>
        <v>0</v>
      </c>
      <c r="AO42" s="23">
        <v>0</v>
      </c>
      <c r="AP42" s="23">
        <v>0</v>
      </c>
      <c r="AQ42" s="23">
        <v>0</v>
      </c>
      <c r="AR42" s="23">
        <v>0</v>
      </c>
      <c r="AU42" s="23">
        <f t="shared" si="10"/>
        <v>4385.9649122807014</v>
      </c>
      <c r="AV42" s="23">
        <f t="shared" si="7"/>
        <v>4385.9649122807014</v>
      </c>
      <c r="AW42" s="23">
        <v>0</v>
      </c>
      <c r="AX42" s="23">
        <v>0</v>
      </c>
      <c r="AY42" s="23">
        <v>0</v>
      </c>
      <c r="AZ42" s="23">
        <v>0</v>
      </c>
    </row>
    <row r="43" spans="1:52" x14ac:dyDescent="0.25">
      <c r="A43" s="68">
        <f t="shared" si="0"/>
        <v>20</v>
      </c>
      <c r="B43" s="68" t="str">
        <f t="shared" si="1"/>
        <v>amortização</v>
      </c>
      <c r="C43" s="156">
        <f t="shared" si="11"/>
        <v>0</v>
      </c>
      <c r="D43" s="156">
        <f t="shared" si="12"/>
        <v>4385.9649122807014</v>
      </c>
      <c r="E43" s="157">
        <f t="shared" si="2"/>
        <v>964912.28070175461</v>
      </c>
      <c r="F43" s="158">
        <f t="shared" si="3"/>
        <v>4385.9649122807014</v>
      </c>
      <c r="G43" s="160">
        <f t="shared" si="8"/>
        <v>4385.9649122807014</v>
      </c>
      <c r="AA43" s="2">
        <f t="shared" si="15"/>
        <v>14</v>
      </c>
      <c r="AB43" s="8">
        <f t="shared" ca="1" si="17"/>
        <v>46660</v>
      </c>
      <c r="AC43" s="9">
        <f t="shared" ref="AC43:AC106" ca="1" si="24">IF(AB43="","",IF(AA43&lt;=B$16,AC42,AC42-AD43))</f>
        <v>991228.07017543865</v>
      </c>
      <c r="AD43" s="9">
        <f t="shared" si="13"/>
        <v>4385.9649122807014</v>
      </c>
      <c r="AE43" s="2">
        <f t="shared" ca="1" si="18"/>
        <v>30</v>
      </c>
      <c r="AF43" s="2">
        <f t="shared" ca="1" si="19"/>
        <v>420</v>
      </c>
      <c r="AG43" s="9">
        <f t="shared" ca="1" si="20"/>
        <v>65.635964912280699</v>
      </c>
      <c r="AH43" s="9">
        <f t="shared" ca="1" si="21"/>
        <v>21.932017543859644</v>
      </c>
      <c r="AL43" s="23">
        <f t="shared" si="5"/>
        <v>0</v>
      </c>
      <c r="AM43" s="23">
        <f t="shared" si="22"/>
        <v>0</v>
      </c>
      <c r="AN43" s="23">
        <f t="shared" si="6"/>
        <v>0</v>
      </c>
      <c r="AO43" s="23">
        <f>E41*((1+$C$23)^2-1)</f>
        <v>0</v>
      </c>
      <c r="AP43" s="23">
        <v>0</v>
      </c>
      <c r="AQ43" s="23">
        <v>0</v>
      </c>
      <c r="AR43" s="23">
        <v>0</v>
      </c>
      <c r="AU43" s="23">
        <f t="shared" si="10"/>
        <v>4385.9649122807014</v>
      </c>
      <c r="AV43" s="23">
        <f t="shared" si="7"/>
        <v>4385.9649122807014</v>
      </c>
      <c r="AW43" s="23">
        <f>$E$23/($B$17-$B$16)*2</f>
        <v>8771.9298245614027</v>
      </c>
      <c r="AX43" s="23">
        <v>0</v>
      </c>
      <c r="AY43" s="23">
        <v>0</v>
      </c>
      <c r="AZ43" s="23">
        <v>0</v>
      </c>
    </row>
    <row r="44" spans="1:52" x14ac:dyDescent="0.25">
      <c r="A44" s="68">
        <f t="shared" si="0"/>
        <v>21</v>
      </c>
      <c r="B44" s="68" t="str">
        <f t="shared" si="1"/>
        <v>amortização</v>
      </c>
      <c r="C44" s="156">
        <f t="shared" si="11"/>
        <v>0</v>
      </c>
      <c r="D44" s="156">
        <f t="shared" si="12"/>
        <v>4385.9649122807014</v>
      </c>
      <c r="E44" s="157">
        <f t="shared" si="2"/>
        <v>960526.31578947394</v>
      </c>
      <c r="F44" s="158">
        <f t="shared" si="3"/>
        <v>4385.9649122807014</v>
      </c>
      <c r="G44" s="160">
        <f t="shared" si="8"/>
        <v>4385.9649122807014</v>
      </c>
      <c r="AA44" s="2">
        <f t="shared" si="15"/>
        <v>15</v>
      </c>
      <c r="AB44" s="8">
        <f t="shared" ca="1" si="17"/>
        <v>46690</v>
      </c>
      <c r="AC44" s="9">
        <f t="shared" ca="1" si="24"/>
        <v>986842.10526315798</v>
      </c>
      <c r="AD44" s="9">
        <f t="shared" si="13"/>
        <v>4385.9649122807014</v>
      </c>
      <c r="AE44" s="2">
        <f t="shared" ca="1" si="18"/>
        <v>30</v>
      </c>
      <c r="AF44" s="2">
        <f t="shared" ca="1" si="19"/>
        <v>450</v>
      </c>
      <c r="AG44" s="9">
        <f t="shared" ca="1" si="20"/>
        <v>65.635964912280699</v>
      </c>
      <c r="AH44" s="9">
        <f t="shared" ca="1" si="21"/>
        <v>21.932017543859644</v>
      </c>
      <c r="AL44" s="23">
        <f t="shared" si="5"/>
        <v>0</v>
      </c>
      <c r="AM44" s="23">
        <f t="shared" si="22"/>
        <v>0</v>
      </c>
      <c r="AN44" s="23">
        <f t="shared" si="6"/>
        <v>0</v>
      </c>
      <c r="AO44" s="23">
        <v>0</v>
      </c>
      <c r="AP44" s="23">
        <f>E41*((1+$C$23)^3-1)</f>
        <v>0</v>
      </c>
      <c r="AQ44" s="23">
        <v>0</v>
      </c>
      <c r="AR44" s="23">
        <v>0</v>
      </c>
      <c r="AU44" s="23">
        <f t="shared" si="10"/>
        <v>4385.9649122807014</v>
      </c>
      <c r="AV44" s="23">
        <f t="shared" si="7"/>
        <v>4385.9649122807014</v>
      </c>
      <c r="AW44" s="23">
        <v>0</v>
      </c>
      <c r="AX44" s="23">
        <f>$E$23/($B$17-$B$16)*3</f>
        <v>13157.894736842103</v>
      </c>
      <c r="AY44" s="23">
        <v>0</v>
      </c>
      <c r="AZ44" s="23">
        <v>0</v>
      </c>
    </row>
    <row r="45" spans="1:52" x14ac:dyDescent="0.25">
      <c r="A45" s="68">
        <f t="shared" si="0"/>
        <v>22</v>
      </c>
      <c r="B45" s="68" t="str">
        <f t="shared" si="1"/>
        <v>amortização</v>
      </c>
      <c r="C45" s="156">
        <f t="shared" si="11"/>
        <v>0</v>
      </c>
      <c r="D45" s="156">
        <f t="shared" si="12"/>
        <v>4385.9649122807014</v>
      </c>
      <c r="E45" s="157">
        <f t="shared" si="2"/>
        <v>956140.35087719327</v>
      </c>
      <c r="F45" s="158">
        <f t="shared" si="3"/>
        <v>4385.9649122807014</v>
      </c>
      <c r="G45" s="160">
        <f t="shared" si="8"/>
        <v>4385.9649122807014</v>
      </c>
      <c r="AA45" s="2">
        <f t="shared" si="15"/>
        <v>16</v>
      </c>
      <c r="AB45" s="8">
        <f t="shared" ca="1" si="17"/>
        <v>46720</v>
      </c>
      <c r="AC45" s="9">
        <f t="shared" ca="1" si="24"/>
        <v>982456.14035087731</v>
      </c>
      <c r="AD45" s="9">
        <f t="shared" si="13"/>
        <v>4385.9649122807014</v>
      </c>
      <c r="AE45" s="2">
        <f t="shared" ca="1" si="18"/>
        <v>30</v>
      </c>
      <c r="AF45" s="2">
        <f t="shared" ca="1" si="19"/>
        <v>480</v>
      </c>
      <c r="AG45" s="9">
        <f t="shared" ca="1" si="20"/>
        <v>65.635964912280699</v>
      </c>
      <c r="AH45" s="9">
        <f t="shared" ca="1" si="21"/>
        <v>21.932017543859644</v>
      </c>
      <c r="AL45" s="23">
        <f t="shared" si="5"/>
        <v>0</v>
      </c>
      <c r="AM45" s="23">
        <f t="shared" si="22"/>
        <v>0</v>
      </c>
      <c r="AN45" s="23">
        <f t="shared" si="6"/>
        <v>0</v>
      </c>
      <c r="AO45" s="23">
        <f>E43*((1+$C$23)^2-1)</f>
        <v>0</v>
      </c>
      <c r="AP45" s="23">
        <v>0</v>
      </c>
      <c r="AQ45" s="23">
        <v>0</v>
      </c>
      <c r="AR45" s="23">
        <v>0</v>
      </c>
      <c r="AU45" s="23">
        <f t="shared" si="10"/>
        <v>4385.9649122807014</v>
      </c>
      <c r="AV45" s="23">
        <f t="shared" si="7"/>
        <v>4385.9649122807014</v>
      </c>
      <c r="AW45" s="23">
        <f>$E$23/($B$17-$B$16)*2</f>
        <v>8771.9298245614027</v>
      </c>
      <c r="AX45" s="23">
        <v>0</v>
      </c>
      <c r="AY45" s="23">
        <v>0</v>
      </c>
      <c r="AZ45" s="23">
        <v>0</v>
      </c>
    </row>
    <row r="46" spans="1:52" x14ac:dyDescent="0.25">
      <c r="A46" s="68">
        <f t="shared" si="0"/>
        <v>23</v>
      </c>
      <c r="B46" s="68" t="str">
        <f t="shared" si="1"/>
        <v>amortização</v>
      </c>
      <c r="C46" s="156">
        <f t="shared" si="11"/>
        <v>0</v>
      </c>
      <c r="D46" s="156">
        <f t="shared" si="12"/>
        <v>4385.9649122807014</v>
      </c>
      <c r="E46" s="157">
        <f t="shared" si="2"/>
        <v>951754.3859649126</v>
      </c>
      <c r="F46" s="158">
        <f t="shared" si="3"/>
        <v>4385.9649122807014</v>
      </c>
      <c r="G46" s="160">
        <f t="shared" si="8"/>
        <v>4385.9649122807014</v>
      </c>
      <c r="AA46" s="2">
        <f t="shared" si="15"/>
        <v>17</v>
      </c>
      <c r="AB46" s="8">
        <f t="shared" ca="1" si="17"/>
        <v>46750</v>
      </c>
      <c r="AC46" s="9">
        <f t="shared" ca="1" si="24"/>
        <v>978070.17543859663</v>
      </c>
      <c r="AD46" s="9">
        <f t="shared" si="13"/>
        <v>4385.9649122807014</v>
      </c>
      <c r="AE46" s="2">
        <f t="shared" ca="1" si="18"/>
        <v>30</v>
      </c>
      <c r="AF46" s="2">
        <f t="shared" ca="1" si="19"/>
        <v>510</v>
      </c>
      <c r="AG46" s="9">
        <f t="shared" ca="1" si="20"/>
        <v>65.635964912280699</v>
      </c>
      <c r="AH46" s="9">
        <f t="shared" ca="1" si="21"/>
        <v>21.932017543859644</v>
      </c>
      <c r="AL46" s="23">
        <f t="shared" si="5"/>
        <v>0</v>
      </c>
      <c r="AM46" s="23">
        <f t="shared" si="22"/>
        <v>0</v>
      </c>
      <c r="AN46" s="23">
        <f t="shared" si="6"/>
        <v>0</v>
      </c>
      <c r="AO46" s="23">
        <v>0</v>
      </c>
      <c r="AP46" s="23">
        <v>0</v>
      </c>
      <c r="AQ46" s="23">
        <v>0</v>
      </c>
      <c r="AR46" s="23">
        <v>0</v>
      </c>
      <c r="AU46" s="23">
        <f t="shared" si="10"/>
        <v>4385.9649122807014</v>
      </c>
      <c r="AV46" s="23">
        <f t="shared" si="7"/>
        <v>4385.9649122807014</v>
      </c>
      <c r="AW46" s="23">
        <v>0</v>
      </c>
      <c r="AX46" s="23">
        <v>0</v>
      </c>
      <c r="AY46" s="23">
        <v>0</v>
      </c>
      <c r="AZ46" s="23">
        <v>0</v>
      </c>
    </row>
    <row r="47" spans="1:52" x14ac:dyDescent="0.25">
      <c r="A47" s="68">
        <f t="shared" si="0"/>
        <v>24</v>
      </c>
      <c r="B47" s="68" t="str">
        <f t="shared" si="1"/>
        <v>amortização</v>
      </c>
      <c r="C47" s="156">
        <f t="shared" si="11"/>
        <v>0</v>
      </c>
      <c r="D47" s="156">
        <f t="shared" si="12"/>
        <v>4385.9649122807014</v>
      </c>
      <c r="E47" s="157">
        <f t="shared" si="2"/>
        <v>947368.42105263192</v>
      </c>
      <c r="F47" s="158">
        <f t="shared" si="3"/>
        <v>4385.9649122807014</v>
      </c>
      <c r="G47" s="160">
        <f t="shared" si="8"/>
        <v>4385.9649122807014</v>
      </c>
      <c r="AA47" s="2">
        <f t="shared" si="15"/>
        <v>18</v>
      </c>
      <c r="AB47" s="8">
        <f t="shared" ca="1" si="17"/>
        <v>46780</v>
      </c>
      <c r="AC47" s="9">
        <f t="shared" ca="1" si="24"/>
        <v>973684.21052631596</v>
      </c>
      <c r="AD47" s="9">
        <f t="shared" si="13"/>
        <v>4385.9649122807014</v>
      </c>
      <c r="AE47" s="2">
        <f t="shared" ca="1" si="18"/>
        <v>30</v>
      </c>
      <c r="AF47" s="2">
        <f t="shared" ca="1" si="19"/>
        <v>540</v>
      </c>
      <c r="AG47" s="9">
        <f t="shared" ca="1" si="20"/>
        <v>65.635964912280699</v>
      </c>
      <c r="AH47" s="9">
        <f t="shared" ca="1" si="21"/>
        <v>21.932017543859644</v>
      </c>
      <c r="AL47" s="23">
        <f t="shared" si="5"/>
        <v>0</v>
      </c>
      <c r="AM47" s="23">
        <f t="shared" si="22"/>
        <v>0</v>
      </c>
      <c r="AN47" s="23">
        <f t="shared" si="6"/>
        <v>0</v>
      </c>
      <c r="AO47" s="23">
        <f>E45*((1+$C$23)^2-1)</f>
        <v>0</v>
      </c>
      <c r="AP47" s="23">
        <f>E44*((1+$C$23)^3-1)</f>
        <v>0</v>
      </c>
      <c r="AQ47" s="23">
        <f t="shared" ref="AQ47" si="25">E41*((1+$C$23)^6-1)</f>
        <v>0</v>
      </c>
      <c r="AR47" s="23">
        <f>E35*((1+$C$23)^12-1)</f>
        <v>0</v>
      </c>
      <c r="AU47" s="23">
        <f t="shared" si="10"/>
        <v>4385.9649122807014</v>
      </c>
      <c r="AV47" s="23">
        <f t="shared" si="7"/>
        <v>4385.9649122807014</v>
      </c>
      <c r="AW47" s="23">
        <f>$E$23/($B$17-$B$16)*2</f>
        <v>8771.9298245614027</v>
      </c>
      <c r="AX47" s="23">
        <f>$E$23/($B$17-$B$16)*3</f>
        <v>13157.894736842103</v>
      </c>
      <c r="AY47" s="23">
        <f>$E$23/($B$17-$B$16)*6</f>
        <v>26315.789473684206</v>
      </c>
      <c r="AZ47" s="23">
        <f>$E$23/($B$17-$B$16)*12</f>
        <v>52631.578947368413</v>
      </c>
    </row>
    <row r="48" spans="1:52" x14ac:dyDescent="0.25">
      <c r="A48" s="68">
        <f t="shared" si="0"/>
        <v>25</v>
      </c>
      <c r="B48" s="68" t="str">
        <f t="shared" si="1"/>
        <v>amortização</v>
      </c>
      <c r="C48" s="156">
        <f t="shared" si="11"/>
        <v>0</v>
      </c>
      <c r="D48" s="156">
        <f t="shared" si="12"/>
        <v>4385.9649122807014</v>
      </c>
      <c r="E48" s="157">
        <f t="shared" si="2"/>
        <v>942982.45614035125</v>
      </c>
      <c r="F48" s="158">
        <f t="shared" si="3"/>
        <v>4385.9649122807014</v>
      </c>
      <c r="G48" s="160">
        <f t="shared" si="8"/>
        <v>4385.9649122807014</v>
      </c>
      <c r="AA48" s="2">
        <f t="shared" si="15"/>
        <v>19</v>
      </c>
      <c r="AB48" s="8">
        <f t="shared" ca="1" si="17"/>
        <v>46810</v>
      </c>
      <c r="AC48" s="9">
        <f t="shared" ca="1" si="24"/>
        <v>969298.24561403529</v>
      </c>
      <c r="AD48" s="9">
        <f t="shared" si="13"/>
        <v>4385.9649122807014</v>
      </c>
      <c r="AE48" s="2">
        <f t="shared" ca="1" si="18"/>
        <v>30</v>
      </c>
      <c r="AF48" s="2">
        <f t="shared" ca="1" si="19"/>
        <v>570</v>
      </c>
      <c r="AG48" s="9">
        <f t="shared" ca="1" si="20"/>
        <v>65.635964912280699</v>
      </c>
      <c r="AH48" s="9">
        <f t="shared" ca="1" si="21"/>
        <v>21.932017543859644</v>
      </c>
      <c r="AL48" s="23">
        <f t="shared" si="5"/>
        <v>0</v>
      </c>
      <c r="AM48" s="23">
        <f t="shared" si="22"/>
        <v>0</v>
      </c>
      <c r="AN48" s="23">
        <f t="shared" si="6"/>
        <v>0</v>
      </c>
      <c r="AO48" s="23">
        <v>0</v>
      </c>
      <c r="AP48" s="23">
        <v>0</v>
      </c>
      <c r="AQ48" s="23">
        <v>0</v>
      </c>
      <c r="AR48" s="23">
        <v>0</v>
      </c>
      <c r="AU48" s="23">
        <f t="shared" si="10"/>
        <v>4385.9649122807014</v>
      </c>
      <c r="AV48" s="23">
        <f t="shared" si="7"/>
        <v>4385.9649122807014</v>
      </c>
      <c r="AW48" s="23">
        <v>0</v>
      </c>
      <c r="AX48" s="23">
        <v>0</v>
      </c>
      <c r="AY48" s="23">
        <v>0</v>
      </c>
      <c r="AZ48" s="23">
        <v>0</v>
      </c>
    </row>
    <row r="49" spans="1:52" x14ac:dyDescent="0.25">
      <c r="A49" s="68">
        <f t="shared" si="0"/>
        <v>26</v>
      </c>
      <c r="B49" s="68" t="str">
        <f t="shared" si="1"/>
        <v>amortização</v>
      </c>
      <c r="C49" s="156">
        <f t="shared" si="11"/>
        <v>0</v>
      </c>
      <c r="D49" s="156">
        <f t="shared" si="12"/>
        <v>4385.9649122807014</v>
      </c>
      <c r="E49" s="157">
        <f t="shared" si="2"/>
        <v>938596.49122807058</v>
      </c>
      <c r="F49" s="158">
        <f t="shared" si="3"/>
        <v>4385.9649122807014</v>
      </c>
      <c r="G49" s="160">
        <f t="shared" si="8"/>
        <v>4385.9649122807014</v>
      </c>
      <c r="AA49" s="2">
        <f t="shared" si="15"/>
        <v>20</v>
      </c>
      <c r="AB49" s="8">
        <f t="shared" ca="1" si="17"/>
        <v>46840</v>
      </c>
      <c r="AC49" s="9">
        <f t="shared" ca="1" si="24"/>
        <v>964912.28070175461</v>
      </c>
      <c r="AD49" s="9">
        <f t="shared" si="13"/>
        <v>4385.9649122807014</v>
      </c>
      <c r="AE49" s="2">
        <f t="shared" ca="1" si="18"/>
        <v>30</v>
      </c>
      <c r="AF49" s="2">
        <f t="shared" ca="1" si="19"/>
        <v>600</v>
      </c>
      <c r="AG49" s="9">
        <f t="shared" ca="1" si="20"/>
        <v>65.635964912280699</v>
      </c>
      <c r="AH49" s="9">
        <f t="shared" ca="1" si="21"/>
        <v>21.932017543859644</v>
      </c>
      <c r="AL49" s="23">
        <f t="shared" si="5"/>
        <v>0</v>
      </c>
      <c r="AM49" s="23">
        <f t="shared" si="22"/>
        <v>0</v>
      </c>
      <c r="AN49" s="23">
        <f t="shared" si="6"/>
        <v>0</v>
      </c>
      <c r="AO49" s="23">
        <f>E47*((1+$C$23)^2-1)</f>
        <v>0</v>
      </c>
      <c r="AP49" s="23">
        <v>0</v>
      </c>
      <c r="AQ49" s="23">
        <v>0</v>
      </c>
      <c r="AR49" s="23">
        <v>0</v>
      </c>
      <c r="AU49" s="23">
        <f t="shared" si="10"/>
        <v>4385.9649122807014</v>
      </c>
      <c r="AV49" s="23">
        <f t="shared" si="7"/>
        <v>4385.9649122807014</v>
      </c>
      <c r="AW49" s="23">
        <f>$E$23/($B$17-$B$16)*2</f>
        <v>8771.9298245614027</v>
      </c>
      <c r="AX49" s="23">
        <v>0</v>
      </c>
      <c r="AY49" s="23">
        <v>0</v>
      </c>
      <c r="AZ49" s="23">
        <v>0</v>
      </c>
    </row>
    <row r="50" spans="1:52" x14ac:dyDescent="0.25">
      <c r="A50" s="68">
        <f t="shared" si="0"/>
        <v>27</v>
      </c>
      <c r="B50" s="68" t="str">
        <f t="shared" si="1"/>
        <v>amortização</v>
      </c>
      <c r="C50" s="156">
        <f t="shared" si="11"/>
        <v>0</v>
      </c>
      <c r="D50" s="156">
        <f t="shared" si="12"/>
        <v>4385.9649122807014</v>
      </c>
      <c r="E50" s="157">
        <f t="shared" si="2"/>
        <v>934210.5263157899</v>
      </c>
      <c r="F50" s="158">
        <f t="shared" si="3"/>
        <v>4385.9649122807014</v>
      </c>
      <c r="G50" s="160">
        <f t="shared" si="8"/>
        <v>4385.9649122807014</v>
      </c>
      <c r="AA50" s="2">
        <f t="shared" si="15"/>
        <v>21</v>
      </c>
      <c r="AB50" s="8">
        <f t="shared" ca="1" si="17"/>
        <v>46870</v>
      </c>
      <c r="AC50" s="9">
        <f t="shared" ca="1" si="24"/>
        <v>960526.31578947394</v>
      </c>
      <c r="AD50" s="9">
        <f t="shared" si="13"/>
        <v>4385.9649122807014</v>
      </c>
      <c r="AE50" s="2">
        <f t="shared" ca="1" si="18"/>
        <v>30</v>
      </c>
      <c r="AF50" s="2">
        <f t="shared" ca="1" si="19"/>
        <v>630</v>
      </c>
      <c r="AG50" s="9">
        <f t="shared" ca="1" si="20"/>
        <v>65.635964912280699</v>
      </c>
      <c r="AH50" s="9">
        <f t="shared" ca="1" si="21"/>
        <v>21.932017543859644</v>
      </c>
      <c r="AL50" s="23">
        <f t="shared" si="5"/>
        <v>0</v>
      </c>
      <c r="AM50" s="23">
        <f t="shared" si="22"/>
        <v>0</v>
      </c>
      <c r="AN50" s="23">
        <f t="shared" si="6"/>
        <v>0</v>
      </c>
      <c r="AO50" s="23">
        <v>0</v>
      </c>
      <c r="AP50" s="23">
        <f>E47*((1+$C$23)^3-1)</f>
        <v>0</v>
      </c>
      <c r="AQ50" s="23">
        <v>0</v>
      </c>
      <c r="AR50" s="23">
        <v>0</v>
      </c>
      <c r="AU50" s="23">
        <f t="shared" si="10"/>
        <v>4385.9649122807014</v>
      </c>
      <c r="AV50" s="23">
        <f t="shared" si="7"/>
        <v>4385.9649122807014</v>
      </c>
      <c r="AW50" s="23">
        <v>0</v>
      </c>
      <c r="AX50" s="23">
        <f>$E$23/($B$17-$B$16)*3</f>
        <v>13157.894736842103</v>
      </c>
      <c r="AY50" s="23">
        <v>0</v>
      </c>
      <c r="AZ50" s="23">
        <v>0</v>
      </c>
    </row>
    <row r="51" spans="1:52" x14ac:dyDescent="0.25">
      <c r="A51" s="68">
        <f t="shared" si="0"/>
        <v>28</v>
      </c>
      <c r="B51" s="68" t="str">
        <f t="shared" si="1"/>
        <v>amortização</v>
      </c>
      <c r="C51" s="156">
        <f t="shared" si="11"/>
        <v>0</v>
      </c>
      <c r="D51" s="156">
        <f t="shared" si="12"/>
        <v>4385.9649122807014</v>
      </c>
      <c r="E51" s="157">
        <f t="shared" si="2"/>
        <v>929824.56140350923</v>
      </c>
      <c r="F51" s="158">
        <f t="shared" si="3"/>
        <v>4385.9649122807014</v>
      </c>
      <c r="G51" s="160">
        <f t="shared" si="8"/>
        <v>4385.9649122807014</v>
      </c>
      <c r="AA51" s="2">
        <f t="shared" si="15"/>
        <v>22</v>
      </c>
      <c r="AB51" s="8">
        <f t="shared" ca="1" si="17"/>
        <v>46900</v>
      </c>
      <c r="AC51" s="9">
        <f t="shared" ca="1" si="24"/>
        <v>956140.35087719327</v>
      </c>
      <c r="AD51" s="9">
        <f t="shared" si="13"/>
        <v>4385.9649122807014</v>
      </c>
      <c r="AE51" s="2">
        <f t="shared" ca="1" si="18"/>
        <v>30</v>
      </c>
      <c r="AF51" s="2">
        <f t="shared" ca="1" si="19"/>
        <v>660</v>
      </c>
      <c r="AG51" s="9">
        <f t="shared" ca="1" si="20"/>
        <v>65.635964912280699</v>
      </c>
      <c r="AH51" s="9">
        <f t="shared" ca="1" si="21"/>
        <v>21.932017543859644</v>
      </c>
      <c r="AL51" s="23">
        <f t="shared" si="5"/>
        <v>0</v>
      </c>
      <c r="AM51" s="23">
        <f>IF($AN$17=1,AN51,IF($AN$17=2,AO51,IF($AN$17=3,AP51,IF($AN$17=4,AQ51,IF($AN$17=5,AR51)))))</f>
        <v>0</v>
      </c>
      <c r="AN51" s="23">
        <f t="shared" si="6"/>
        <v>0</v>
      </c>
      <c r="AO51" s="23">
        <f>E49*((1+$C$23)^2-1)</f>
        <v>0</v>
      </c>
      <c r="AP51" s="23">
        <v>0</v>
      </c>
      <c r="AQ51" s="23">
        <v>0</v>
      </c>
      <c r="AR51" s="23">
        <v>0</v>
      </c>
      <c r="AU51" s="23">
        <f t="shared" si="10"/>
        <v>4385.9649122807014</v>
      </c>
      <c r="AV51" s="23">
        <f t="shared" si="7"/>
        <v>4385.9649122807014</v>
      </c>
      <c r="AW51" s="23">
        <f>$E$23/($B$17-$B$16)*2</f>
        <v>8771.9298245614027</v>
      </c>
      <c r="AX51" s="23">
        <v>0</v>
      </c>
      <c r="AY51" s="23">
        <v>0</v>
      </c>
      <c r="AZ51" s="23">
        <v>0</v>
      </c>
    </row>
    <row r="52" spans="1:52" x14ac:dyDescent="0.25">
      <c r="A52" s="68">
        <f t="shared" si="0"/>
        <v>29</v>
      </c>
      <c r="B52" s="68" t="str">
        <f t="shared" si="1"/>
        <v>amortização</v>
      </c>
      <c r="C52" s="156">
        <f t="shared" si="11"/>
        <v>0</v>
      </c>
      <c r="D52" s="156">
        <f t="shared" si="12"/>
        <v>4385.9649122807014</v>
      </c>
      <c r="E52" s="157">
        <f t="shared" si="2"/>
        <v>925438.59649122856</v>
      </c>
      <c r="F52" s="158">
        <f t="shared" si="3"/>
        <v>4385.9649122807014</v>
      </c>
      <c r="G52" s="160">
        <f t="shared" si="8"/>
        <v>4385.9649122807014</v>
      </c>
      <c r="AA52" s="2">
        <f t="shared" si="15"/>
        <v>23</v>
      </c>
      <c r="AB52" s="8">
        <f t="shared" ca="1" si="17"/>
        <v>46930</v>
      </c>
      <c r="AC52" s="9">
        <f t="shared" ca="1" si="24"/>
        <v>951754.3859649126</v>
      </c>
      <c r="AD52" s="9">
        <f t="shared" si="13"/>
        <v>4385.9649122807014</v>
      </c>
      <c r="AE52" s="2">
        <f t="shared" ca="1" si="18"/>
        <v>30</v>
      </c>
      <c r="AF52" s="2">
        <f t="shared" ca="1" si="19"/>
        <v>690</v>
      </c>
      <c r="AG52" s="9">
        <f t="shared" ca="1" si="20"/>
        <v>65.635964912280699</v>
      </c>
      <c r="AH52" s="9">
        <f t="shared" ca="1" si="21"/>
        <v>21.932017543859644</v>
      </c>
      <c r="AL52" s="23">
        <f t="shared" si="5"/>
        <v>0</v>
      </c>
      <c r="AM52" s="23">
        <f t="shared" ref="AM52:AM77" si="26">IF($AN$17=1,AN52,IF($AN$17=2,AO52,IF($AN$17=3,AP52,IF($AN$17=4,AQ52,IF($AN$17=5,AR52)))))</f>
        <v>0</v>
      </c>
      <c r="AN52" s="23">
        <f t="shared" si="6"/>
        <v>0</v>
      </c>
      <c r="AO52" s="23">
        <v>0</v>
      </c>
      <c r="AP52" s="23">
        <v>0</v>
      </c>
      <c r="AQ52" s="23">
        <v>0</v>
      </c>
      <c r="AR52" s="23">
        <v>0</v>
      </c>
      <c r="AU52" s="23">
        <f t="shared" si="10"/>
        <v>4385.9649122807014</v>
      </c>
      <c r="AV52" s="23">
        <f t="shared" si="7"/>
        <v>4385.9649122807014</v>
      </c>
      <c r="AW52" s="23">
        <v>0</v>
      </c>
      <c r="AX52" s="23">
        <v>0</v>
      </c>
      <c r="AY52" s="23">
        <v>0</v>
      </c>
      <c r="AZ52" s="23">
        <v>0</v>
      </c>
    </row>
    <row r="53" spans="1:52" x14ac:dyDescent="0.25">
      <c r="A53" s="68">
        <f t="shared" si="0"/>
        <v>30</v>
      </c>
      <c r="B53" s="68" t="str">
        <f t="shared" si="1"/>
        <v>amortização</v>
      </c>
      <c r="C53" s="156">
        <f t="shared" si="11"/>
        <v>0</v>
      </c>
      <c r="D53" s="156">
        <f t="shared" si="12"/>
        <v>4385.9649122807014</v>
      </c>
      <c r="E53" s="157">
        <f t="shared" si="2"/>
        <v>921052.63157894788</v>
      </c>
      <c r="F53" s="158">
        <f t="shared" si="3"/>
        <v>4385.9649122807014</v>
      </c>
      <c r="G53" s="160">
        <f t="shared" si="8"/>
        <v>4385.9649122807014</v>
      </c>
      <c r="AA53" s="2">
        <f t="shared" si="15"/>
        <v>24</v>
      </c>
      <c r="AB53" s="8">
        <f t="shared" ca="1" si="17"/>
        <v>46960</v>
      </c>
      <c r="AC53" s="9">
        <f t="shared" ca="1" si="24"/>
        <v>947368.42105263192</v>
      </c>
      <c r="AD53" s="9">
        <f t="shared" si="13"/>
        <v>4385.9649122807014</v>
      </c>
      <c r="AE53" s="2">
        <f t="shared" ca="1" si="18"/>
        <v>30</v>
      </c>
      <c r="AF53" s="2">
        <f t="shared" ca="1" si="19"/>
        <v>720</v>
      </c>
      <c r="AG53" s="9">
        <f t="shared" ca="1" si="20"/>
        <v>65.635964912280699</v>
      </c>
      <c r="AH53" s="9">
        <f t="shared" ca="1" si="21"/>
        <v>21.932017543859644</v>
      </c>
      <c r="AL53" s="23">
        <f t="shared" si="5"/>
        <v>0</v>
      </c>
      <c r="AM53" s="23">
        <f t="shared" si="26"/>
        <v>0</v>
      </c>
      <c r="AN53" s="23">
        <f t="shared" si="6"/>
        <v>0</v>
      </c>
      <c r="AO53" s="23">
        <f>E51*((1+$C$23)^2-1)</f>
        <v>0</v>
      </c>
      <c r="AP53" s="23">
        <f>E50*((1+$C$23)^3-1)</f>
        <v>0</v>
      </c>
      <c r="AQ53" s="23">
        <f>E47*((1+$C$23)^6-1)</f>
        <v>0</v>
      </c>
      <c r="AR53" s="23">
        <v>0</v>
      </c>
      <c r="AU53" s="23">
        <f t="shared" si="10"/>
        <v>4385.9649122807014</v>
      </c>
      <c r="AV53" s="23">
        <f t="shared" si="7"/>
        <v>4385.9649122807014</v>
      </c>
      <c r="AW53" s="23">
        <f>$E$23/($B$17-$B$16)*2</f>
        <v>8771.9298245614027</v>
      </c>
      <c r="AX53" s="23">
        <f>$E$23/($B$17-$B$16)*3</f>
        <v>13157.894736842103</v>
      </c>
      <c r="AY53" s="23">
        <f>$E$23/($B$17-$B$16)*6</f>
        <v>26315.789473684206</v>
      </c>
      <c r="AZ53" s="23">
        <v>0</v>
      </c>
    </row>
    <row r="54" spans="1:52" x14ac:dyDescent="0.25">
      <c r="A54" s="68">
        <f t="shared" si="0"/>
        <v>31</v>
      </c>
      <c r="B54" s="68" t="str">
        <f t="shared" si="1"/>
        <v>amortização</v>
      </c>
      <c r="C54" s="156">
        <f t="shared" si="11"/>
        <v>0</v>
      </c>
      <c r="D54" s="156">
        <f t="shared" si="12"/>
        <v>4385.9649122807014</v>
      </c>
      <c r="E54" s="157">
        <f t="shared" si="2"/>
        <v>916666.66666666721</v>
      </c>
      <c r="F54" s="158">
        <f t="shared" si="3"/>
        <v>4385.9649122807014</v>
      </c>
      <c r="G54" s="160">
        <f t="shared" si="8"/>
        <v>4385.9649122807014</v>
      </c>
      <c r="AA54" s="2">
        <f t="shared" si="15"/>
        <v>25</v>
      </c>
      <c r="AB54" s="8">
        <f t="shared" ca="1" si="17"/>
        <v>46990</v>
      </c>
      <c r="AC54" s="9">
        <f t="shared" ca="1" si="24"/>
        <v>942982.45614035125</v>
      </c>
      <c r="AD54" s="9">
        <f t="shared" si="13"/>
        <v>4385.9649122807014</v>
      </c>
      <c r="AE54" s="2">
        <f t="shared" ca="1" si="18"/>
        <v>30</v>
      </c>
      <c r="AF54" s="2">
        <f t="shared" ca="1" si="19"/>
        <v>750</v>
      </c>
      <c r="AG54" s="9">
        <f t="shared" ca="1" si="20"/>
        <v>65.635964912280699</v>
      </c>
      <c r="AH54" s="9">
        <f t="shared" ca="1" si="21"/>
        <v>21.932017543859644</v>
      </c>
      <c r="AL54" s="23">
        <f t="shared" si="5"/>
        <v>0</v>
      </c>
      <c r="AM54" s="23">
        <f t="shared" si="26"/>
        <v>0</v>
      </c>
      <c r="AN54" s="23">
        <f t="shared" si="6"/>
        <v>0</v>
      </c>
      <c r="AO54" s="23">
        <v>0</v>
      </c>
      <c r="AP54" s="23">
        <v>0</v>
      </c>
      <c r="AQ54" s="23">
        <v>0</v>
      </c>
      <c r="AR54" s="23">
        <v>0</v>
      </c>
      <c r="AU54" s="23">
        <f t="shared" si="10"/>
        <v>4385.9649122807014</v>
      </c>
      <c r="AV54" s="23">
        <f t="shared" si="7"/>
        <v>4385.9649122807014</v>
      </c>
      <c r="AW54" s="23">
        <v>0</v>
      </c>
      <c r="AX54" s="23">
        <v>0</v>
      </c>
      <c r="AY54" s="23">
        <v>0</v>
      </c>
      <c r="AZ54" s="23">
        <v>0</v>
      </c>
    </row>
    <row r="55" spans="1:52" x14ac:dyDescent="0.25">
      <c r="A55" s="68">
        <f t="shared" si="0"/>
        <v>32</v>
      </c>
      <c r="B55" s="68" t="str">
        <f t="shared" si="1"/>
        <v>amortização</v>
      </c>
      <c r="C55" s="156">
        <f t="shared" si="11"/>
        <v>0</v>
      </c>
      <c r="D55" s="156">
        <f t="shared" si="12"/>
        <v>4385.9649122807014</v>
      </c>
      <c r="E55" s="157">
        <f t="shared" si="2"/>
        <v>912280.70175438654</v>
      </c>
      <c r="F55" s="158">
        <f t="shared" si="3"/>
        <v>4385.9649122807014</v>
      </c>
      <c r="G55" s="160">
        <f t="shared" si="8"/>
        <v>4385.9649122807014</v>
      </c>
      <c r="AA55" s="2">
        <f t="shared" si="15"/>
        <v>26</v>
      </c>
      <c r="AB55" s="8">
        <f t="shared" ca="1" si="17"/>
        <v>47020</v>
      </c>
      <c r="AC55" s="9">
        <f t="shared" ca="1" si="24"/>
        <v>938596.49122807058</v>
      </c>
      <c r="AD55" s="9">
        <f t="shared" si="13"/>
        <v>4385.9649122807014</v>
      </c>
      <c r="AE55" s="2">
        <f t="shared" ca="1" si="18"/>
        <v>30</v>
      </c>
      <c r="AF55" s="2">
        <f t="shared" ca="1" si="19"/>
        <v>780</v>
      </c>
      <c r="AG55" s="9">
        <f t="shared" ca="1" si="20"/>
        <v>65.635964912280699</v>
      </c>
      <c r="AH55" s="9">
        <f t="shared" ca="1" si="21"/>
        <v>21.932017543859644</v>
      </c>
      <c r="AL55" s="23">
        <f t="shared" si="5"/>
        <v>0</v>
      </c>
      <c r="AM55" s="23">
        <f t="shared" si="26"/>
        <v>0</v>
      </c>
      <c r="AN55" s="23">
        <f t="shared" si="6"/>
        <v>0</v>
      </c>
      <c r="AO55" s="23">
        <f>E53*((1+$C$23)^2-1)</f>
        <v>0</v>
      </c>
      <c r="AP55" s="23">
        <v>0</v>
      </c>
      <c r="AQ55" s="23">
        <v>0</v>
      </c>
      <c r="AR55" s="23">
        <v>0</v>
      </c>
      <c r="AU55" s="23">
        <f t="shared" si="10"/>
        <v>4385.9649122807014</v>
      </c>
      <c r="AV55" s="23">
        <f t="shared" si="7"/>
        <v>4385.9649122807014</v>
      </c>
      <c r="AW55" s="23">
        <f>$E$23/($B$17-$B$16)*2</f>
        <v>8771.9298245614027</v>
      </c>
      <c r="AX55" s="23">
        <v>0</v>
      </c>
      <c r="AY55" s="23">
        <v>0</v>
      </c>
      <c r="AZ55" s="23">
        <v>0</v>
      </c>
    </row>
    <row r="56" spans="1:52" x14ac:dyDescent="0.25">
      <c r="A56" s="68">
        <f t="shared" si="0"/>
        <v>33</v>
      </c>
      <c r="B56" s="68" t="str">
        <f t="shared" si="1"/>
        <v>amortização</v>
      </c>
      <c r="C56" s="156">
        <f t="shared" si="11"/>
        <v>0</v>
      </c>
      <c r="D56" s="156">
        <f t="shared" si="12"/>
        <v>4385.9649122807014</v>
      </c>
      <c r="E56" s="157">
        <f t="shared" ref="E56:E86" si="27">IF(F56="","",E55-D56)</f>
        <v>907894.73684210586</v>
      </c>
      <c r="F56" s="158">
        <f t="shared" ref="F56:F86" si="28">IF(D56="","",D56+C56)</f>
        <v>4385.9649122807014</v>
      </c>
      <c r="G56" s="160">
        <f t="shared" si="8"/>
        <v>4385.9649122807014</v>
      </c>
      <c r="AA56" s="2">
        <f t="shared" si="15"/>
        <v>27</v>
      </c>
      <c r="AB56" s="8">
        <f t="shared" ca="1" si="17"/>
        <v>47050</v>
      </c>
      <c r="AC56" s="9">
        <f t="shared" ca="1" si="24"/>
        <v>934210.5263157899</v>
      </c>
      <c r="AD56" s="9">
        <f t="shared" si="13"/>
        <v>4385.9649122807014</v>
      </c>
      <c r="AE56" s="2">
        <f t="shared" ca="1" si="18"/>
        <v>30</v>
      </c>
      <c r="AF56" s="2">
        <f t="shared" ca="1" si="19"/>
        <v>810</v>
      </c>
      <c r="AG56" s="9">
        <f t="shared" ca="1" si="20"/>
        <v>65.635964912280699</v>
      </c>
      <c r="AH56" s="9">
        <f t="shared" ca="1" si="21"/>
        <v>21.932017543859644</v>
      </c>
      <c r="AL56" s="23">
        <f t="shared" ref="AL56:AL87" si="29">IF(A56&lt;=$B$16,AM56,E55*$C$23)</f>
        <v>0</v>
      </c>
      <c r="AM56" s="23">
        <f t="shared" si="26"/>
        <v>0</v>
      </c>
      <c r="AN56" s="23">
        <f t="shared" ref="AN56:AN87" si="30">E55*$C$23</f>
        <v>0</v>
      </c>
      <c r="AO56" s="23">
        <v>0</v>
      </c>
      <c r="AP56" s="23">
        <f>E53*((1+$C$23)^3-1)</f>
        <v>0</v>
      </c>
      <c r="AQ56" s="23">
        <v>0</v>
      </c>
      <c r="AR56" s="23">
        <v>0</v>
      </c>
      <c r="AU56" s="23">
        <f t="shared" si="10"/>
        <v>4385.9649122807014</v>
      </c>
      <c r="AV56" s="23">
        <f t="shared" si="7"/>
        <v>4385.9649122807014</v>
      </c>
      <c r="AW56" s="23">
        <v>0</v>
      </c>
      <c r="AX56" s="23">
        <f>$E$23/($B$17-$B$16)*3</f>
        <v>13157.894736842103</v>
      </c>
      <c r="AY56" s="23">
        <v>0</v>
      </c>
      <c r="AZ56" s="23">
        <v>0</v>
      </c>
    </row>
    <row r="57" spans="1:52" x14ac:dyDescent="0.25">
      <c r="A57" s="68">
        <f t="shared" si="0"/>
        <v>34</v>
      </c>
      <c r="B57" s="68" t="str">
        <f t="shared" si="1"/>
        <v>amortização</v>
      </c>
      <c r="C57" s="156">
        <f t="shared" si="11"/>
        <v>0</v>
      </c>
      <c r="D57" s="156">
        <f t="shared" si="12"/>
        <v>4385.9649122807014</v>
      </c>
      <c r="E57" s="157">
        <f t="shared" si="27"/>
        <v>903508.77192982519</v>
      </c>
      <c r="F57" s="158">
        <f t="shared" si="28"/>
        <v>4385.9649122807014</v>
      </c>
      <c r="G57" s="160">
        <f t="shared" si="8"/>
        <v>4385.9649122807014</v>
      </c>
      <c r="AA57" s="2">
        <f t="shared" si="15"/>
        <v>28</v>
      </c>
      <c r="AB57" s="8">
        <f t="shared" ca="1" si="17"/>
        <v>47080</v>
      </c>
      <c r="AC57" s="9">
        <f t="shared" ca="1" si="24"/>
        <v>929824.56140350923</v>
      </c>
      <c r="AD57" s="9">
        <f t="shared" si="13"/>
        <v>4385.9649122807014</v>
      </c>
      <c r="AE57" s="2">
        <f t="shared" ca="1" si="18"/>
        <v>30</v>
      </c>
      <c r="AF57" s="2">
        <f t="shared" ca="1" si="19"/>
        <v>840</v>
      </c>
      <c r="AG57" s="9">
        <f t="shared" ca="1" si="20"/>
        <v>65.635964912280699</v>
      </c>
      <c r="AH57" s="9">
        <f t="shared" ca="1" si="21"/>
        <v>21.932017543859644</v>
      </c>
      <c r="AL57" s="23">
        <f t="shared" si="29"/>
        <v>0</v>
      </c>
      <c r="AM57" s="23">
        <f t="shared" si="26"/>
        <v>0</v>
      </c>
      <c r="AN57" s="23">
        <f t="shared" si="30"/>
        <v>0</v>
      </c>
      <c r="AO57" s="23">
        <f>E55*((1+$C$23)^2-1)</f>
        <v>0</v>
      </c>
      <c r="AP57" s="23">
        <v>0</v>
      </c>
      <c r="AQ57" s="23">
        <v>0</v>
      </c>
      <c r="AR57" s="23">
        <v>0</v>
      </c>
      <c r="AU57" s="23">
        <f t="shared" si="10"/>
        <v>4385.9649122807014</v>
      </c>
      <c r="AV57" s="23">
        <f t="shared" si="7"/>
        <v>4385.9649122807014</v>
      </c>
      <c r="AW57" s="23">
        <f>$E$23/($B$17-$B$16)*2</f>
        <v>8771.9298245614027</v>
      </c>
      <c r="AX57" s="23">
        <v>0</v>
      </c>
      <c r="AY57" s="23">
        <v>0</v>
      </c>
      <c r="AZ57" s="23">
        <v>0</v>
      </c>
    </row>
    <row r="58" spans="1:52" x14ac:dyDescent="0.25">
      <c r="A58" s="68">
        <f t="shared" si="0"/>
        <v>35</v>
      </c>
      <c r="B58" s="68" t="str">
        <f t="shared" si="1"/>
        <v>amortização</v>
      </c>
      <c r="C58" s="156">
        <f t="shared" si="11"/>
        <v>0</v>
      </c>
      <c r="D58" s="156">
        <f t="shared" si="12"/>
        <v>4385.9649122807014</v>
      </c>
      <c r="E58" s="157">
        <f t="shared" si="27"/>
        <v>899122.80701754452</v>
      </c>
      <c r="F58" s="158">
        <f t="shared" si="28"/>
        <v>4385.9649122807014</v>
      </c>
      <c r="G58" s="160">
        <f t="shared" si="8"/>
        <v>4385.9649122807014</v>
      </c>
      <c r="AA58" s="2">
        <f t="shared" si="15"/>
        <v>29</v>
      </c>
      <c r="AB58" s="8">
        <f t="shared" ca="1" si="17"/>
        <v>47110</v>
      </c>
      <c r="AC58" s="9">
        <f t="shared" ca="1" si="24"/>
        <v>925438.59649122856</v>
      </c>
      <c r="AD58" s="9">
        <f t="shared" si="13"/>
        <v>4385.9649122807014</v>
      </c>
      <c r="AE58" s="2">
        <f t="shared" ca="1" si="18"/>
        <v>30</v>
      </c>
      <c r="AF58" s="2">
        <f t="shared" ca="1" si="19"/>
        <v>870</v>
      </c>
      <c r="AG58" s="9">
        <f t="shared" ca="1" si="20"/>
        <v>65.635964912280699</v>
      </c>
      <c r="AH58" s="9">
        <f t="shared" ca="1" si="21"/>
        <v>21.932017543859644</v>
      </c>
      <c r="AL58" s="23">
        <f t="shared" si="29"/>
        <v>0</v>
      </c>
      <c r="AM58" s="23">
        <f t="shared" si="26"/>
        <v>0</v>
      </c>
      <c r="AN58" s="23">
        <f t="shared" si="30"/>
        <v>0</v>
      </c>
      <c r="AO58" s="23">
        <v>0</v>
      </c>
      <c r="AP58" s="23">
        <v>0</v>
      </c>
      <c r="AQ58" s="23">
        <v>0</v>
      </c>
      <c r="AR58" s="23">
        <v>0</v>
      </c>
      <c r="AU58" s="23">
        <f t="shared" si="10"/>
        <v>4385.9649122807014</v>
      </c>
      <c r="AV58" s="23">
        <f t="shared" si="7"/>
        <v>4385.9649122807014</v>
      </c>
      <c r="AW58" s="23">
        <v>0</v>
      </c>
      <c r="AX58" s="23">
        <v>0</v>
      </c>
      <c r="AY58" s="23">
        <v>0</v>
      </c>
      <c r="AZ58" s="23">
        <v>0</v>
      </c>
    </row>
    <row r="59" spans="1:52" x14ac:dyDescent="0.25">
      <c r="A59" s="68">
        <f t="shared" si="0"/>
        <v>36</v>
      </c>
      <c r="B59" s="68" t="str">
        <f t="shared" si="1"/>
        <v>amortização</v>
      </c>
      <c r="C59" s="156">
        <f t="shared" si="11"/>
        <v>0</v>
      </c>
      <c r="D59" s="156">
        <f t="shared" si="12"/>
        <v>4385.9649122807014</v>
      </c>
      <c r="E59" s="157">
        <f t="shared" si="27"/>
        <v>894736.84210526384</v>
      </c>
      <c r="F59" s="158">
        <f t="shared" si="28"/>
        <v>4385.9649122807014</v>
      </c>
      <c r="G59" s="160">
        <f t="shared" si="8"/>
        <v>4385.9649122807014</v>
      </c>
      <c r="AA59" s="2">
        <f t="shared" si="15"/>
        <v>30</v>
      </c>
      <c r="AB59" s="8">
        <f t="shared" ca="1" si="17"/>
        <v>47140</v>
      </c>
      <c r="AC59" s="9">
        <f t="shared" ca="1" si="24"/>
        <v>921052.63157894788</v>
      </c>
      <c r="AD59" s="9">
        <f t="shared" si="13"/>
        <v>4385.9649122807014</v>
      </c>
      <c r="AE59" s="2">
        <f t="shared" ca="1" si="18"/>
        <v>30</v>
      </c>
      <c r="AF59" s="2">
        <f t="shared" ca="1" si="19"/>
        <v>900</v>
      </c>
      <c r="AG59" s="9">
        <f t="shared" ca="1" si="20"/>
        <v>65.635964912280699</v>
      </c>
      <c r="AH59" s="9">
        <f t="shared" ca="1" si="21"/>
        <v>21.932017543859644</v>
      </c>
      <c r="AL59" s="23">
        <f t="shared" si="29"/>
        <v>0</v>
      </c>
      <c r="AM59" s="23">
        <f t="shared" si="26"/>
        <v>0</v>
      </c>
      <c r="AN59" s="23">
        <f t="shared" si="30"/>
        <v>0</v>
      </c>
      <c r="AO59" s="23">
        <f>E57*((1+$C$23)^2-1)</f>
        <v>0</v>
      </c>
      <c r="AP59" s="23">
        <f>E56*((1+$C$23)^3-1)</f>
        <v>0</v>
      </c>
      <c r="AQ59" s="23">
        <f t="shared" ref="AQ59" si="31">E53*((1+$C$23)^6-1)</f>
        <v>0</v>
      </c>
      <c r="AR59" s="23">
        <f>E47*((1+$C$23)^12-1)</f>
        <v>0</v>
      </c>
      <c r="AU59" s="23">
        <f t="shared" si="10"/>
        <v>4385.9649122807014</v>
      </c>
      <c r="AV59" s="23">
        <f t="shared" si="7"/>
        <v>4385.9649122807014</v>
      </c>
      <c r="AW59" s="23">
        <f>$E$23/($B$17-$B$16)*2</f>
        <v>8771.9298245614027</v>
      </c>
      <c r="AX59" s="23">
        <f>$E$23/($B$17-$B$16)*3</f>
        <v>13157.894736842103</v>
      </c>
      <c r="AY59" s="23">
        <f>$E$23/($B$17-$B$16)*6</f>
        <v>26315.789473684206</v>
      </c>
      <c r="AZ59" s="23">
        <f>$E$23/($B$17-$B$16)*12</f>
        <v>52631.578947368413</v>
      </c>
    </row>
    <row r="60" spans="1:52" x14ac:dyDescent="0.25">
      <c r="A60" s="68">
        <f t="shared" si="0"/>
        <v>37</v>
      </c>
      <c r="B60" s="68" t="str">
        <f t="shared" si="1"/>
        <v>amortização</v>
      </c>
      <c r="C60" s="156">
        <f t="shared" si="11"/>
        <v>0</v>
      </c>
      <c r="D60" s="156">
        <f t="shared" si="12"/>
        <v>4385.9649122807014</v>
      </c>
      <c r="E60" s="157">
        <f t="shared" si="27"/>
        <v>890350.87719298317</v>
      </c>
      <c r="F60" s="158">
        <f t="shared" si="28"/>
        <v>4385.9649122807014</v>
      </c>
      <c r="G60" s="160">
        <f t="shared" si="8"/>
        <v>4385.9649122807014</v>
      </c>
      <c r="AA60" s="2">
        <f t="shared" si="15"/>
        <v>31</v>
      </c>
      <c r="AB60" s="8">
        <f t="shared" ca="1" si="17"/>
        <v>47170</v>
      </c>
      <c r="AC60" s="9">
        <f t="shared" ca="1" si="24"/>
        <v>916666.66666666721</v>
      </c>
      <c r="AD60" s="9">
        <f t="shared" si="13"/>
        <v>4385.9649122807014</v>
      </c>
      <c r="AE60" s="2">
        <f t="shared" ca="1" si="18"/>
        <v>30</v>
      </c>
      <c r="AF60" s="2">
        <f t="shared" ca="1" si="19"/>
        <v>930</v>
      </c>
      <c r="AG60" s="9">
        <f t="shared" ca="1" si="20"/>
        <v>65.635964912280699</v>
      </c>
      <c r="AH60" s="9">
        <f t="shared" ca="1" si="21"/>
        <v>21.932017543859644</v>
      </c>
      <c r="AL60" s="23">
        <f t="shared" si="29"/>
        <v>0</v>
      </c>
      <c r="AM60" s="23">
        <f t="shared" si="26"/>
        <v>0</v>
      </c>
      <c r="AN60" s="23">
        <f t="shared" si="30"/>
        <v>0</v>
      </c>
      <c r="AO60" s="23">
        <v>0</v>
      </c>
      <c r="AP60" s="23">
        <v>0</v>
      </c>
      <c r="AQ60" s="23">
        <v>0</v>
      </c>
      <c r="AR60" s="23">
        <v>0</v>
      </c>
      <c r="AU60" s="23">
        <f t="shared" si="10"/>
        <v>4385.9649122807014</v>
      </c>
      <c r="AV60" s="23">
        <f t="shared" si="7"/>
        <v>4385.9649122807014</v>
      </c>
      <c r="AW60" s="23">
        <v>0</v>
      </c>
      <c r="AX60" s="23">
        <v>0</v>
      </c>
      <c r="AY60" s="23">
        <v>0</v>
      </c>
      <c r="AZ60" s="23">
        <v>0</v>
      </c>
    </row>
    <row r="61" spans="1:52" x14ac:dyDescent="0.25">
      <c r="A61" s="68">
        <f t="shared" si="0"/>
        <v>38</v>
      </c>
      <c r="B61" s="68" t="str">
        <f t="shared" si="1"/>
        <v>amortização</v>
      </c>
      <c r="C61" s="156">
        <f t="shared" si="11"/>
        <v>0</v>
      </c>
      <c r="D61" s="156">
        <f t="shared" si="12"/>
        <v>4385.9649122807014</v>
      </c>
      <c r="E61" s="157">
        <f t="shared" si="27"/>
        <v>885964.9122807025</v>
      </c>
      <c r="F61" s="158">
        <f t="shared" si="28"/>
        <v>4385.9649122807014</v>
      </c>
      <c r="G61" s="160">
        <f t="shared" si="8"/>
        <v>4385.9649122807014</v>
      </c>
      <c r="AA61" s="2">
        <f t="shared" si="15"/>
        <v>32</v>
      </c>
      <c r="AB61" s="8">
        <f t="shared" ca="1" si="17"/>
        <v>47200</v>
      </c>
      <c r="AC61" s="9">
        <f t="shared" ca="1" si="24"/>
        <v>912280.70175438654</v>
      </c>
      <c r="AD61" s="9">
        <f t="shared" si="13"/>
        <v>4385.9649122807014</v>
      </c>
      <c r="AE61" s="2">
        <f t="shared" ca="1" si="18"/>
        <v>30</v>
      </c>
      <c r="AF61" s="2">
        <f t="shared" ca="1" si="19"/>
        <v>960</v>
      </c>
      <c r="AG61" s="9">
        <f t="shared" ca="1" si="20"/>
        <v>65.635964912280699</v>
      </c>
      <c r="AH61" s="9">
        <f t="shared" ca="1" si="21"/>
        <v>21.932017543859644</v>
      </c>
      <c r="AL61" s="23">
        <f t="shared" si="29"/>
        <v>0</v>
      </c>
      <c r="AM61" s="23">
        <f t="shared" si="26"/>
        <v>0</v>
      </c>
      <c r="AN61" s="23">
        <f t="shared" si="30"/>
        <v>0</v>
      </c>
      <c r="AO61" s="23">
        <f>E59*((1+$C$23)^2-1)</f>
        <v>0</v>
      </c>
      <c r="AP61" s="23">
        <v>0</v>
      </c>
      <c r="AQ61" s="23">
        <v>0</v>
      </c>
      <c r="AR61" s="23">
        <v>0</v>
      </c>
      <c r="AU61" s="23">
        <f t="shared" si="10"/>
        <v>4385.9649122807014</v>
      </c>
      <c r="AV61" s="23">
        <f t="shared" si="7"/>
        <v>4385.9649122807014</v>
      </c>
      <c r="AW61" s="23">
        <f>$E$23/($B$17-$B$16)*2</f>
        <v>8771.9298245614027</v>
      </c>
      <c r="AX61" s="23">
        <v>0</v>
      </c>
      <c r="AY61" s="23">
        <v>0</v>
      </c>
      <c r="AZ61" s="23">
        <v>0</v>
      </c>
    </row>
    <row r="62" spans="1:52" x14ac:dyDescent="0.25">
      <c r="A62" s="68">
        <f t="shared" si="0"/>
        <v>39</v>
      </c>
      <c r="B62" s="68" t="str">
        <f t="shared" si="1"/>
        <v>amortização</v>
      </c>
      <c r="C62" s="156">
        <f t="shared" si="11"/>
        <v>0</v>
      </c>
      <c r="D62" s="156">
        <f t="shared" si="12"/>
        <v>4385.9649122807014</v>
      </c>
      <c r="E62" s="157">
        <f t="shared" si="27"/>
        <v>881578.94736842182</v>
      </c>
      <c r="F62" s="158">
        <f t="shared" si="28"/>
        <v>4385.9649122807014</v>
      </c>
      <c r="G62" s="160">
        <f t="shared" si="8"/>
        <v>4385.9649122807014</v>
      </c>
      <c r="AA62" s="2">
        <f t="shared" si="15"/>
        <v>33</v>
      </c>
      <c r="AB62" s="8">
        <f t="shared" ca="1" si="17"/>
        <v>47230</v>
      </c>
      <c r="AC62" s="9">
        <f t="shared" ca="1" si="24"/>
        <v>907894.73684210586</v>
      </c>
      <c r="AD62" s="9">
        <f t="shared" si="13"/>
        <v>4385.9649122807014</v>
      </c>
      <c r="AE62" s="2">
        <f t="shared" ca="1" si="18"/>
        <v>30</v>
      </c>
      <c r="AF62" s="2">
        <f t="shared" ca="1" si="19"/>
        <v>990</v>
      </c>
      <c r="AG62" s="9">
        <f t="shared" ca="1" si="20"/>
        <v>65.635964912280699</v>
      </c>
      <c r="AH62" s="9">
        <f t="shared" ca="1" si="21"/>
        <v>21.932017543859644</v>
      </c>
      <c r="AL62" s="23">
        <f t="shared" si="29"/>
        <v>0</v>
      </c>
      <c r="AM62" s="23">
        <f t="shared" si="26"/>
        <v>0</v>
      </c>
      <c r="AN62" s="23">
        <f t="shared" si="30"/>
        <v>0</v>
      </c>
      <c r="AO62" s="23">
        <v>0</v>
      </c>
      <c r="AP62" s="23">
        <f>E59*((1+$C$23)^3-1)</f>
        <v>0</v>
      </c>
      <c r="AQ62" s="23">
        <v>0</v>
      </c>
      <c r="AR62" s="23">
        <v>0</v>
      </c>
      <c r="AU62" s="23">
        <f t="shared" si="10"/>
        <v>4385.9649122807014</v>
      </c>
      <c r="AV62" s="23">
        <f t="shared" si="7"/>
        <v>4385.9649122807014</v>
      </c>
      <c r="AW62" s="23">
        <v>0</v>
      </c>
      <c r="AX62" s="23">
        <f>$E$23/($B$17-$B$16)*3</f>
        <v>13157.894736842103</v>
      </c>
      <c r="AY62" s="23">
        <v>0</v>
      </c>
      <c r="AZ62" s="23">
        <v>0</v>
      </c>
    </row>
    <row r="63" spans="1:52" x14ac:dyDescent="0.25">
      <c r="A63" s="68">
        <f t="shared" si="0"/>
        <v>40</v>
      </c>
      <c r="B63" s="68" t="str">
        <f t="shared" si="1"/>
        <v>amortização</v>
      </c>
      <c r="C63" s="156">
        <f t="shared" si="11"/>
        <v>0</v>
      </c>
      <c r="D63" s="156">
        <f t="shared" si="12"/>
        <v>4385.9649122807014</v>
      </c>
      <c r="E63" s="157">
        <f t="shared" si="27"/>
        <v>877192.98245614115</v>
      </c>
      <c r="F63" s="158">
        <f t="shared" si="28"/>
        <v>4385.9649122807014</v>
      </c>
      <c r="G63" s="160">
        <f t="shared" si="8"/>
        <v>4385.9649122807014</v>
      </c>
      <c r="AA63" s="2">
        <f t="shared" si="15"/>
        <v>34</v>
      </c>
      <c r="AB63" s="8">
        <f t="shared" ca="1" si="17"/>
        <v>47260</v>
      </c>
      <c r="AC63" s="9">
        <f t="shared" ca="1" si="24"/>
        <v>903508.77192982519</v>
      </c>
      <c r="AD63" s="9">
        <f t="shared" si="13"/>
        <v>4385.9649122807014</v>
      </c>
      <c r="AE63" s="2">
        <f t="shared" ca="1" si="18"/>
        <v>30</v>
      </c>
      <c r="AF63" s="2">
        <f t="shared" ca="1" si="19"/>
        <v>1020</v>
      </c>
      <c r="AG63" s="9">
        <f t="shared" ca="1" si="20"/>
        <v>65.635964912280699</v>
      </c>
      <c r="AH63" s="9">
        <f t="shared" ca="1" si="21"/>
        <v>21.932017543859644</v>
      </c>
      <c r="AL63" s="23">
        <f t="shared" si="29"/>
        <v>0</v>
      </c>
      <c r="AM63" s="23">
        <f t="shared" si="26"/>
        <v>0</v>
      </c>
      <c r="AN63" s="23">
        <f t="shared" si="30"/>
        <v>0</v>
      </c>
      <c r="AO63" s="23">
        <f>E61*((1+$C$23)^2-1)</f>
        <v>0</v>
      </c>
      <c r="AP63" s="23">
        <v>0</v>
      </c>
      <c r="AQ63" s="23">
        <v>0</v>
      </c>
      <c r="AR63" s="23">
        <v>0</v>
      </c>
      <c r="AU63" s="23">
        <f t="shared" si="10"/>
        <v>4385.9649122807014</v>
      </c>
      <c r="AV63" s="23">
        <f t="shared" si="7"/>
        <v>4385.9649122807014</v>
      </c>
      <c r="AW63" s="23">
        <f>$E$23/($B$17-$B$16)*2</f>
        <v>8771.9298245614027</v>
      </c>
      <c r="AX63" s="23">
        <v>0</v>
      </c>
      <c r="AY63" s="23">
        <v>0</v>
      </c>
      <c r="AZ63" s="23">
        <v>0</v>
      </c>
    </row>
    <row r="64" spans="1:52" x14ac:dyDescent="0.25">
      <c r="A64" s="68">
        <f t="shared" si="0"/>
        <v>41</v>
      </c>
      <c r="B64" s="68" t="str">
        <f t="shared" si="1"/>
        <v>amortização</v>
      </c>
      <c r="C64" s="156">
        <f t="shared" si="11"/>
        <v>0</v>
      </c>
      <c r="D64" s="156">
        <f t="shared" si="12"/>
        <v>4385.9649122807014</v>
      </c>
      <c r="E64" s="157">
        <f t="shared" si="27"/>
        <v>872807.01754386048</v>
      </c>
      <c r="F64" s="158">
        <f t="shared" si="28"/>
        <v>4385.9649122807014</v>
      </c>
      <c r="G64" s="160">
        <f t="shared" si="8"/>
        <v>4385.9649122807014</v>
      </c>
      <c r="AA64" s="2">
        <f t="shared" si="15"/>
        <v>35</v>
      </c>
      <c r="AB64" s="8">
        <f t="shared" ca="1" si="17"/>
        <v>47290</v>
      </c>
      <c r="AC64" s="9">
        <f t="shared" ca="1" si="24"/>
        <v>899122.80701754452</v>
      </c>
      <c r="AD64" s="9">
        <f t="shared" si="13"/>
        <v>4385.9649122807014</v>
      </c>
      <c r="AE64" s="2">
        <f t="shared" ca="1" si="18"/>
        <v>30</v>
      </c>
      <c r="AF64" s="2">
        <f t="shared" ca="1" si="19"/>
        <v>1050</v>
      </c>
      <c r="AG64" s="9">
        <f t="shared" ca="1" si="20"/>
        <v>65.635964912280699</v>
      </c>
      <c r="AH64" s="9">
        <f t="shared" ca="1" si="21"/>
        <v>21.932017543859644</v>
      </c>
      <c r="AL64" s="23">
        <f t="shared" si="29"/>
        <v>0</v>
      </c>
      <c r="AM64" s="23">
        <f t="shared" si="26"/>
        <v>0</v>
      </c>
      <c r="AN64" s="23">
        <f t="shared" si="30"/>
        <v>0</v>
      </c>
      <c r="AO64" s="23">
        <v>0</v>
      </c>
      <c r="AP64" s="23">
        <v>0</v>
      </c>
      <c r="AQ64" s="23">
        <v>0</v>
      </c>
      <c r="AR64" s="23">
        <v>0</v>
      </c>
      <c r="AU64" s="23">
        <f t="shared" si="10"/>
        <v>4385.9649122807014</v>
      </c>
      <c r="AV64" s="23">
        <f t="shared" si="7"/>
        <v>4385.9649122807014</v>
      </c>
      <c r="AW64" s="23">
        <v>0</v>
      </c>
      <c r="AX64" s="23">
        <v>0</v>
      </c>
      <c r="AY64" s="23">
        <v>0</v>
      </c>
      <c r="AZ64" s="23">
        <v>0</v>
      </c>
    </row>
    <row r="65" spans="1:52" x14ac:dyDescent="0.25">
      <c r="A65" s="68">
        <f t="shared" si="0"/>
        <v>42</v>
      </c>
      <c r="B65" s="68" t="str">
        <f t="shared" si="1"/>
        <v>amortização</v>
      </c>
      <c r="C65" s="156">
        <f t="shared" si="11"/>
        <v>0</v>
      </c>
      <c r="D65" s="156">
        <f t="shared" si="12"/>
        <v>4385.9649122807014</v>
      </c>
      <c r="E65" s="157">
        <f t="shared" si="27"/>
        <v>868421.05263157981</v>
      </c>
      <c r="F65" s="158">
        <f t="shared" si="28"/>
        <v>4385.9649122807014</v>
      </c>
      <c r="G65" s="160">
        <f t="shared" si="8"/>
        <v>4385.9649122807014</v>
      </c>
      <c r="AA65" s="2">
        <f t="shared" si="15"/>
        <v>36</v>
      </c>
      <c r="AB65" s="8">
        <f t="shared" ca="1" si="17"/>
        <v>47320</v>
      </c>
      <c r="AC65" s="9">
        <f t="shared" ca="1" si="24"/>
        <v>894736.84210526384</v>
      </c>
      <c r="AD65" s="9">
        <f t="shared" si="13"/>
        <v>4385.9649122807014</v>
      </c>
      <c r="AE65" s="2">
        <f t="shared" ca="1" si="18"/>
        <v>30</v>
      </c>
      <c r="AF65" s="2">
        <f t="shared" ca="1" si="19"/>
        <v>1080</v>
      </c>
      <c r="AG65" s="9">
        <f t="shared" ca="1" si="20"/>
        <v>65.635964912280699</v>
      </c>
      <c r="AH65" s="9">
        <f t="shared" ca="1" si="21"/>
        <v>21.932017543859644</v>
      </c>
      <c r="AL65" s="23">
        <f t="shared" si="29"/>
        <v>0</v>
      </c>
      <c r="AM65" s="23">
        <f t="shared" si="26"/>
        <v>0</v>
      </c>
      <c r="AN65" s="23">
        <f t="shared" si="30"/>
        <v>0</v>
      </c>
      <c r="AO65" s="23">
        <f>E63*((1+$C$23)^2-1)</f>
        <v>0</v>
      </c>
      <c r="AP65" s="23">
        <f>E62*((1+$C$23)^3-1)</f>
        <v>0</v>
      </c>
      <c r="AQ65" s="23">
        <f t="shared" ref="AQ65" si="32">E59*((1+$C$23)^6-1)</f>
        <v>0</v>
      </c>
      <c r="AR65" s="23">
        <v>0</v>
      </c>
      <c r="AU65" s="23">
        <f t="shared" si="10"/>
        <v>4385.9649122807014</v>
      </c>
      <c r="AV65" s="23">
        <f t="shared" si="7"/>
        <v>4385.9649122807014</v>
      </c>
      <c r="AW65" s="23">
        <f>$E$23/($B$17-$B$16)*2</f>
        <v>8771.9298245614027</v>
      </c>
      <c r="AX65" s="23">
        <f>$E$23/($B$17-$B$16)*3</f>
        <v>13157.894736842103</v>
      </c>
      <c r="AY65" s="23">
        <f>$E$23/($B$17-$B$16)*6</f>
        <v>26315.789473684206</v>
      </c>
      <c r="AZ65" s="23">
        <v>0</v>
      </c>
    </row>
    <row r="66" spans="1:52" x14ac:dyDescent="0.25">
      <c r="A66" s="68">
        <f t="shared" si="0"/>
        <v>43</v>
      </c>
      <c r="B66" s="68" t="str">
        <f t="shared" si="1"/>
        <v>amortização</v>
      </c>
      <c r="C66" s="156">
        <f t="shared" si="11"/>
        <v>0</v>
      </c>
      <c r="D66" s="156">
        <f t="shared" si="12"/>
        <v>4385.9649122807014</v>
      </c>
      <c r="E66" s="157">
        <f t="shared" si="27"/>
        <v>864035.08771929913</v>
      </c>
      <c r="F66" s="158">
        <f t="shared" si="28"/>
        <v>4385.9649122807014</v>
      </c>
      <c r="G66" s="160">
        <f t="shared" si="8"/>
        <v>4385.9649122807014</v>
      </c>
      <c r="AA66" s="2">
        <f t="shared" si="15"/>
        <v>37</v>
      </c>
      <c r="AB66" s="8">
        <f t="shared" ca="1" si="17"/>
        <v>47350</v>
      </c>
      <c r="AC66" s="9">
        <f t="shared" ca="1" si="24"/>
        <v>890350.87719298317</v>
      </c>
      <c r="AD66" s="9">
        <f t="shared" si="13"/>
        <v>4385.9649122807014</v>
      </c>
      <c r="AE66" s="2">
        <f t="shared" ca="1" si="18"/>
        <v>30</v>
      </c>
      <c r="AF66" s="2">
        <f t="shared" ca="1" si="19"/>
        <v>1110</v>
      </c>
      <c r="AG66" s="9">
        <f t="shared" ca="1" si="20"/>
        <v>65.635964912280699</v>
      </c>
      <c r="AH66" s="9">
        <f t="shared" ca="1" si="21"/>
        <v>21.932017543859644</v>
      </c>
      <c r="AL66" s="23">
        <f t="shared" si="29"/>
        <v>0</v>
      </c>
      <c r="AM66" s="23">
        <f t="shared" si="26"/>
        <v>0</v>
      </c>
      <c r="AN66" s="23">
        <f t="shared" si="30"/>
        <v>0</v>
      </c>
      <c r="AO66" s="23">
        <v>0</v>
      </c>
      <c r="AP66" s="23">
        <v>0</v>
      </c>
      <c r="AQ66" s="23">
        <v>0</v>
      </c>
      <c r="AR66" s="23">
        <v>0</v>
      </c>
      <c r="AU66" s="23">
        <f t="shared" si="10"/>
        <v>4385.9649122807014</v>
      </c>
      <c r="AV66" s="23">
        <f t="shared" si="7"/>
        <v>4385.9649122807014</v>
      </c>
      <c r="AW66" s="23">
        <v>0</v>
      </c>
      <c r="AX66" s="23">
        <v>0</v>
      </c>
      <c r="AY66" s="23">
        <v>0</v>
      </c>
      <c r="AZ66" s="23">
        <v>0</v>
      </c>
    </row>
    <row r="67" spans="1:52" x14ac:dyDescent="0.25">
      <c r="A67" s="68">
        <f t="shared" si="0"/>
        <v>44</v>
      </c>
      <c r="B67" s="68" t="str">
        <f t="shared" si="1"/>
        <v>amortização</v>
      </c>
      <c r="C67" s="156">
        <f t="shared" si="11"/>
        <v>0</v>
      </c>
      <c r="D67" s="156">
        <f t="shared" si="12"/>
        <v>4385.9649122807014</v>
      </c>
      <c r="E67" s="157">
        <f t="shared" si="27"/>
        <v>859649.12280701846</v>
      </c>
      <c r="F67" s="158">
        <f t="shared" si="28"/>
        <v>4385.9649122807014</v>
      </c>
      <c r="G67" s="160">
        <f t="shared" si="8"/>
        <v>4385.9649122807014</v>
      </c>
      <c r="AA67" s="2">
        <f t="shared" si="15"/>
        <v>38</v>
      </c>
      <c r="AB67" s="8">
        <f t="shared" ca="1" si="17"/>
        <v>47380</v>
      </c>
      <c r="AC67" s="9">
        <f t="shared" ca="1" si="24"/>
        <v>885964.9122807025</v>
      </c>
      <c r="AD67" s="9">
        <f t="shared" si="13"/>
        <v>4385.9649122807014</v>
      </c>
      <c r="AE67" s="2">
        <f t="shared" ca="1" si="18"/>
        <v>30</v>
      </c>
      <c r="AF67" s="2">
        <f t="shared" ca="1" si="19"/>
        <v>1140</v>
      </c>
      <c r="AG67" s="9">
        <f t="shared" ca="1" si="20"/>
        <v>65.635964912280699</v>
      </c>
      <c r="AH67" s="9">
        <f t="shared" ca="1" si="21"/>
        <v>21.932017543859644</v>
      </c>
      <c r="AL67" s="23">
        <f t="shared" si="29"/>
        <v>0</v>
      </c>
      <c r="AM67" s="23">
        <f t="shared" si="26"/>
        <v>0</v>
      </c>
      <c r="AN67" s="23">
        <f t="shared" si="30"/>
        <v>0</v>
      </c>
      <c r="AO67" s="23">
        <f>E65*((1+$C$23)^2-1)</f>
        <v>0</v>
      </c>
      <c r="AP67" s="23">
        <v>0</v>
      </c>
      <c r="AQ67" s="23">
        <v>0</v>
      </c>
      <c r="AR67" s="23">
        <v>0</v>
      </c>
      <c r="AU67" s="23">
        <f t="shared" si="10"/>
        <v>4385.9649122807014</v>
      </c>
      <c r="AV67" s="23">
        <f t="shared" si="7"/>
        <v>4385.9649122807014</v>
      </c>
      <c r="AW67" s="23">
        <f>$E$23/($B$17-$B$16)*2</f>
        <v>8771.9298245614027</v>
      </c>
      <c r="AX67" s="23">
        <v>0</v>
      </c>
      <c r="AY67" s="23">
        <v>0</v>
      </c>
      <c r="AZ67" s="23">
        <v>0</v>
      </c>
    </row>
    <row r="68" spans="1:52" x14ac:dyDescent="0.25">
      <c r="A68" s="68">
        <f t="shared" si="0"/>
        <v>45</v>
      </c>
      <c r="B68" s="68" t="str">
        <f t="shared" si="1"/>
        <v>amortização</v>
      </c>
      <c r="C68" s="156">
        <f t="shared" si="11"/>
        <v>0</v>
      </c>
      <c r="D68" s="156">
        <f t="shared" si="12"/>
        <v>4385.9649122807014</v>
      </c>
      <c r="E68" s="157">
        <f t="shared" si="27"/>
        <v>855263.15789473779</v>
      </c>
      <c r="F68" s="158">
        <f t="shared" si="28"/>
        <v>4385.9649122807014</v>
      </c>
      <c r="G68" s="160">
        <f t="shared" si="8"/>
        <v>4385.9649122807014</v>
      </c>
      <c r="AA68" s="2">
        <f t="shared" si="15"/>
        <v>39</v>
      </c>
      <c r="AB68" s="8">
        <f t="shared" ca="1" si="17"/>
        <v>47410</v>
      </c>
      <c r="AC68" s="9">
        <f t="shared" ca="1" si="24"/>
        <v>881578.94736842182</v>
      </c>
      <c r="AD68" s="9">
        <f t="shared" si="13"/>
        <v>4385.9649122807014</v>
      </c>
      <c r="AE68" s="2">
        <f t="shared" ca="1" si="18"/>
        <v>30</v>
      </c>
      <c r="AF68" s="2">
        <f t="shared" ca="1" si="19"/>
        <v>1170</v>
      </c>
      <c r="AG68" s="9">
        <f t="shared" ca="1" si="20"/>
        <v>65.635964912280699</v>
      </c>
      <c r="AH68" s="9">
        <f t="shared" ca="1" si="21"/>
        <v>21.932017543859644</v>
      </c>
      <c r="AL68" s="23">
        <f t="shared" si="29"/>
        <v>0</v>
      </c>
      <c r="AM68" s="23">
        <f t="shared" si="26"/>
        <v>0</v>
      </c>
      <c r="AN68" s="23">
        <f t="shared" si="30"/>
        <v>0</v>
      </c>
      <c r="AO68" s="23">
        <v>0</v>
      </c>
      <c r="AP68" s="23">
        <f>E65*((1+$C$23)^3-1)</f>
        <v>0</v>
      </c>
      <c r="AQ68" s="23">
        <v>0</v>
      </c>
      <c r="AR68" s="23">
        <v>0</v>
      </c>
      <c r="AU68" s="23">
        <f t="shared" si="10"/>
        <v>4385.9649122807014</v>
      </c>
      <c r="AV68" s="23">
        <f t="shared" si="7"/>
        <v>4385.9649122807014</v>
      </c>
      <c r="AW68" s="23">
        <v>0</v>
      </c>
      <c r="AX68" s="23">
        <f>$E$23/($B$17-$B$16)*3</f>
        <v>13157.894736842103</v>
      </c>
      <c r="AY68" s="23">
        <v>0</v>
      </c>
      <c r="AZ68" s="23">
        <v>0</v>
      </c>
    </row>
    <row r="69" spans="1:52" x14ac:dyDescent="0.25">
      <c r="A69" s="68">
        <f t="shared" si="0"/>
        <v>46</v>
      </c>
      <c r="B69" s="68" t="str">
        <f t="shared" si="1"/>
        <v>amortização</v>
      </c>
      <c r="C69" s="156">
        <f t="shared" si="11"/>
        <v>0</v>
      </c>
      <c r="D69" s="156">
        <f t="shared" si="12"/>
        <v>4385.9649122807014</v>
      </c>
      <c r="E69" s="157">
        <f t="shared" si="27"/>
        <v>850877.19298245711</v>
      </c>
      <c r="F69" s="158">
        <f t="shared" si="28"/>
        <v>4385.9649122807014</v>
      </c>
      <c r="G69" s="160">
        <f t="shared" si="8"/>
        <v>4385.9649122807014</v>
      </c>
      <c r="AA69" s="2">
        <f t="shared" si="15"/>
        <v>40</v>
      </c>
      <c r="AB69" s="8">
        <f t="shared" ca="1" si="17"/>
        <v>47440</v>
      </c>
      <c r="AC69" s="9">
        <f t="shared" ca="1" si="24"/>
        <v>877192.98245614115</v>
      </c>
      <c r="AD69" s="9">
        <f t="shared" si="13"/>
        <v>4385.9649122807014</v>
      </c>
      <c r="AE69" s="2">
        <f t="shared" ca="1" si="18"/>
        <v>30</v>
      </c>
      <c r="AF69" s="2">
        <f t="shared" ca="1" si="19"/>
        <v>1200</v>
      </c>
      <c r="AG69" s="9">
        <f t="shared" ca="1" si="20"/>
        <v>65.635964912280699</v>
      </c>
      <c r="AH69" s="9">
        <f t="shared" ca="1" si="21"/>
        <v>21.932017543859644</v>
      </c>
      <c r="AL69" s="23">
        <f t="shared" si="29"/>
        <v>0</v>
      </c>
      <c r="AM69" s="23">
        <f t="shared" si="26"/>
        <v>0</v>
      </c>
      <c r="AN69" s="23">
        <f t="shared" si="30"/>
        <v>0</v>
      </c>
      <c r="AO69" s="23">
        <f>E67*((1+$C$23)^2-1)</f>
        <v>0</v>
      </c>
      <c r="AP69" s="23">
        <v>0</v>
      </c>
      <c r="AQ69" s="23">
        <v>0</v>
      </c>
      <c r="AR69" s="23">
        <v>0</v>
      </c>
      <c r="AU69" s="23">
        <f t="shared" si="10"/>
        <v>4385.9649122807014</v>
      </c>
      <c r="AV69" s="23">
        <f t="shared" si="7"/>
        <v>4385.9649122807014</v>
      </c>
      <c r="AW69" s="23">
        <f>$E$23/($B$17-$B$16)*2</f>
        <v>8771.9298245614027</v>
      </c>
      <c r="AX69" s="23">
        <v>0</v>
      </c>
      <c r="AY69" s="23">
        <v>0</v>
      </c>
      <c r="AZ69" s="23">
        <v>0</v>
      </c>
    </row>
    <row r="70" spans="1:52" x14ac:dyDescent="0.25">
      <c r="A70" s="68">
        <f t="shared" si="0"/>
        <v>47</v>
      </c>
      <c r="B70" s="68" t="str">
        <f t="shared" si="1"/>
        <v>amortização</v>
      </c>
      <c r="C70" s="156">
        <f t="shared" si="11"/>
        <v>0</v>
      </c>
      <c r="D70" s="156">
        <f t="shared" si="12"/>
        <v>4385.9649122807014</v>
      </c>
      <c r="E70" s="157">
        <f t="shared" si="27"/>
        <v>846491.22807017644</v>
      </c>
      <c r="F70" s="158">
        <f t="shared" si="28"/>
        <v>4385.9649122807014</v>
      </c>
      <c r="G70" s="160">
        <f t="shared" si="8"/>
        <v>4385.9649122807014</v>
      </c>
      <c r="AA70" s="2">
        <f t="shared" si="15"/>
        <v>41</v>
      </c>
      <c r="AB70" s="8">
        <f t="shared" ca="1" si="17"/>
        <v>47470</v>
      </c>
      <c r="AC70" s="9">
        <f t="shared" ca="1" si="24"/>
        <v>872807.01754386048</v>
      </c>
      <c r="AD70" s="9">
        <f t="shared" si="13"/>
        <v>4385.9649122807014</v>
      </c>
      <c r="AE70" s="2">
        <f t="shared" ca="1" si="18"/>
        <v>30</v>
      </c>
      <c r="AF70" s="2">
        <f t="shared" ca="1" si="19"/>
        <v>1230</v>
      </c>
      <c r="AG70" s="9">
        <f t="shared" ca="1" si="20"/>
        <v>65.635964912280699</v>
      </c>
      <c r="AH70" s="9">
        <f t="shared" ca="1" si="21"/>
        <v>21.932017543859644</v>
      </c>
      <c r="AL70" s="23">
        <f t="shared" si="29"/>
        <v>0</v>
      </c>
      <c r="AM70" s="23">
        <f t="shared" si="26"/>
        <v>0</v>
      </c>
      <c r="AN70" s="23">
        <f t="shared" si="30"/>
        <v>0</v>
      </c>
      <c r="AO70" s="23">
        <v>0</v>
      </c>
      <c r="AP70" s="23">
        <v>0</v>
      </c>
      <c r="AQ70" s="23">
        <v>0</v>
      </c>
      <c r="AR70" s="23">
        <v>0</v>
      </c>
      <c r="AU70" s="23">
        <f t="shared" si="10"/>
        <v>4385.9649122807014</v>
      </c>
      <c r="AV70" s="23">
        <f t="shared" si="7"/>
        <v>4385.9649122807014</v>
      </c>
      <c r="AW70" s="23">
        <v>0</v>
      </c>
      <c r="AX70" s="23">
        <v>0</v>
      </c>
      <c r="AY70" s="23">
        <v>0</v>
      </c>
      <c r="AZ70" s="23">
        <v>0</v>
      </c>
    </row>
    <row r="71" spans="1:52" x14ac:dyDescent="0.25">
      <c r="A71" s="68">
        <f t="shared" si="0"/>
        <v>48</v>
      </c>
      <c r="B71" s="68" t="str">
        <f t="shared" si="1"/>
        <v>amortização</v>
      </c>
      <c r="C71" s="156">
        <f t="shared" si="11"/>
        <v>0</v>
      </c>
      <c r="D71" s="156">
        <f t="shared" si="12"/>
        <v>4385.9649122807014</v>
      </c>
      <c r="E71" s="157">
        <f t="shared" si="27"/>
        <v>842105.26315789577</v>
      </c>
      <c r="F71" s="158">
        <f t="shared" si="28"/>
        <v>4385.9649122807014</v>
      </c>
      <c r="G71" s="160">
        <f t="shared" si="8"/>
        <v>4385.9649122807014</v>
      </c>
      <c r="AA71" s="2">
        <f t="shared" si="15"/>
        <v>42</v>
      </c>
      <c r="AB71" s="8">
        <f t="shared" ca="1" si="17"/>
        <v>47500</v>
      </c>
      <c r="AC71" s="9">
        <f t="shared" ca="1" si="24"/>
        <v>868421.05263157981</v>
      </c>
      <c r="AD71" s="9">
        <f t="shared" si="13"/>
        <v>4385.9649122807014</v>
      </c>
      <c r="AE71" s="2">
        <f t="shared" ca="1" si="18"/>
        <v>30</v>
      </c>
      <c r="AF71" s="2">
        <f t="shared" ca="1" si="19"/>
        <v>1260</v>
      </c>
      <c r="AG71" s="9">
        <f t="shared" ca="1" si="20"/>
        <v>65.635964912280699</v>
      </c>
      <c r="AH71" s="9">
        <f t="shared" ca="1" si="21"/>
        <v>21.932017543859644</v>
      </c>
      <c r="AL71" s="23">
        <f t="shared" si="29"/>
        <v>0</v>
      </c>
      <c r="AM71" s="23">
        <f t="shared" si="26"/>
        <v>0</v>
      </c>
      <c r="AN71" s="23">
        <f t="shared" si="30"/>
        <v>0</v>
      </c>
      <c r="AO71" s="23">
        <f>E69*((1+$C$23)^2-1)</f>
        <v>0</v>
      </c>
      <c r="AP71" s="23">
        <f>E68*((1+$C$23)^3-1)</f>
        <v>0</v>
      </c>
      <c r="AQ71" s="23">
        <f>E65*((1+$C$23)^6-1)</f>
        <v>0</v>
      </c>
      <c r="AR71" s="23">
        <f>E59*((1+$C$23)^12-1)</f>
        <v>0</v>
      </c>
      <c r="AU71" s="23">
        <f t="shared" si="10"/>
        <v>4385.9649122807014</v>
      </c>
      <c r="AV71" s="23">
        <f t="shared" si="7"/>
        <v>4385.9649122807014</v>
      </c>
      <c r="AW71" s="23">
        <f>$E$23/($B$17-$B$16)*2</f>
        <v>8771.9298245614027</v>
      </c>
      <c r="AX71" s="23">
        <f>$E$23/($B$17-$B$16)*3</f>
        <v>13157.894736842103</v>
      </c>
      <c r="AY71" s="23">
        <f>$E$23/($B$17-$B$16)*6</f>
        <v>26315.789473684206</v>
      </c>
      <c r="AZ71" s="23">
        <f>$E$23/($B$17-$B$16)*12</f>
        <v>52631.578947368413</v>
      </c>
    </row>
    <row r="72" spans="1:52" x14ac:dyDescent="0.25">
      <c r="A72" s="68">
        <f t="shared" si="0"/>
        <v>49</v>
      </c>
      <c r="B72" s="68" t="str">
        <f t="shared" si="1"/>
        <v>amortização</v>
      </c>
      <c r="C72" s="156">
        <f t="shared" si="11"/>
        <v>0</v>
      </c>
      <c r="D72" s="156">
        <f t="shared" si="12"/>
        <v>4385.9649122807014</v>
      </c>
      <c r="E72" s="157">
        <f t="shared" si="27"/>
        <v>837719.29824561509</v>
      </c>
      <c r="F72" s="158">
        <f t="shared" si="28"/>
        <v>4385.9649122807014</v>
      </c>
      <c r="G72" s="160">
        <f t="shared" si="8"/>
        <v>4385.9649122807014</v>
      </c>
      <c r="AA72" s="2">
        <f t="shared" si="15"/>
        <v>43</v>
      </c>
      <c r="AB72" s="8">
        <f t="shared" ca="1" si="17"/>
        <v>47530</v>
      </c>
      <c r="AC72" s="9">
        <f t="shared" ca="1" si="24"/>
        <v>864035.08771929913</v>
      </c>
      <c r="AD72" s="9">
        <f t="shared" si="13"/>
        <v>4385.9649122807014</v>
      </c>
      <c r="AE72" s="2">
        <f t="shared" ca="1" si="18"/>
        <v>30</v>
      </c>
      <c r="AF72" s="2">
        <f t="shared" ca="1" si="19"/>
        <v>1290</v>
      </c>
      <c r="AG72" s="9">
        <f t="shared" ca="1" si="20"/>
        <v>65.635964912280699</v>
      </c>
      <c r="AH72" s="9">
        <f t="shared" ca="1" si="21"/>
        <v>21.932017543859644</v>
      </c>
      <c r="AL72" s="23">
        <f t="shared" si="29"/>
        <v>0</v>
      </c>
      <c r="AM72" s="23">
        <f t="shared" si="26"/>
        <v>0</v>
      </c>
      <c r="AN72" s="23">
        <f t="shared" si="30"/>
        <v>0</v>
      </c>
      <c r="AO72" s="23">
        <v>0</v>
      </c>
      <c r="AP72" s="23">
        <v>0</v>
      </c>
      <c r="AQ72" s="23">
        <v>0</v>
      </c>
      <c r="AR72" s="23">
        <v>0</v>
      </c>
      <c r="AU72" s="23">
        <f t="shared" si="10"/>
        <v>4385.9649122807014</v>
      </c>
      <c r="AV72" s="23">
        <f t="shared" si="7"/>
        <v>4385.9649122807014</v>
      </c>
      <c r="AW72" s="23">
        <v>0</v>
      </c>
      <c r="AX72" s="23">
        <v>0</v>
      </c>
      <c r="AY72" s="23">
        <v>0</v>
      </c>
      <c r="AZ72" s="23">
        <v>0</v>
      </c>
    </row>
    <row r="73" spans="1:52" x14ac:dyDescent="0.25">
      <c r="A73" s="68">
        <f t="shared" si="0"/>
        <v>50</v>
      </c>
      <c r="B73" s="68" t="str">
        <f t="shared" si="1"/>
        <v>amortização</v>
      </c>
      <c r="C73" s="156">
        <f t="shared" si="11"/>
        <v>0</v>
      </c>
      <c r="D73" s="156">
        <f t="shared" si="12"/>
        <v>4385.9649122807014</v>
      </c>
      <c r="E73" s="157">
        <f t="shared" si="27"/>
        <v>833333.33333333442</v>
      </c>
      <c r="F73" s="158">
        <f t="shared" si="28"/>
        <v>4385.9649122807014</v>
      </c>
      <c r="G73" s="160">
        <f t="shared" si="8"/>
        <v>4385.9649122807014</v>
      </c>
      <c r="AA73" s="2">
        <f t="shared" si="15"/>
        <v>44</v>
      </c>
      <c r="AB73" s="8">
        <f t="shared" ca="1" si="17"/>
        <v>47560</v>
      </c>
      <c r="AC73" s="9">
        <f t="shared" ca="1" si="24"/>
        <v>859649.12280701846</v>
      </c>
      <c r="AD73" s="9">
        <f t="shared" si="13"/>
        <v>4385.9649122807014</v>
      </c>
      <c r="AE73" s="2">
        <f t="shared" ca="1" si="18"/>
        <v>30</v>
      </c>
      <c r="AF73" s="2">
        <f t="shared" ca="1" si="19"/>
        <v>1320</v>
      </c>
      <c r="AG73" s="9">
        <f t="shared" ca="1" si="20"/>
        <v>65.635964912280699</v>
      </c>
      <c r="AH73" s="9">
        <f t="shared" ca="1" si="21"/>
        <v>21.932017543859644</v>
      </c>
      <c r="AL73" s="23">
        <f t="shared" si="29"/>
        <v>0</v>
      </c>
      <c r="AM73" s="23">
        <f t="shared" si="26"/>
        <v>0</v>
      </c>
      <c r="AN73" s="23">
        <f t="shared" si="30"/>
        <v>0</v>
      </c>
      <c r="AO73" s="23">
        <f>E71*((1+$C$23)^2-1)</f>
        <v>0</v>
      </c>
      <c r="AP73" s="23">
        <v>0</v>
      </c>
      <c r="AQ73" s="23">
        <v>0</v>
      </c>
      <c r="AR73" s="23">
        <v>0</v>
      </c>
      <c r="AU73" s="23">
        <f t="shared" si="10"/>
        <v>4385.9649122807014</v>
      </c>
      <c r="AV73" s="23">
        <f t="shared" si="7"/>
        <v>4385.9649122807014</v>
      </c>
      <c r="AW73" s="23">
        <f>$E$23/($B$17-$B$16)*2</f>
        <v>8771.9298245614027</v>
      </c>
      <c r="AX73" s="23">
        <v>0</v>
      </c>
      <c r="AY73" s="23">
        <v>0</v>
      </c>
      <c r="AZ73" s="23">
        <v>0</v>
      </c>
    </row>
    <row r="74" spans="1:52" x14ac:dyDescent="0.25">
      <c r="A74" s="68">
        <f t="shared" si="0"/>
        <v>51</v>
      </c>
      <c r="B74" s="68" t="str">
        <f t="shared" si="1"/>
        <v>amortização</v>
      </c>
      <c r="C74" s="156">
        <f t="shared" si="11"/>
        <v>0</v>
      </c>
      <c r="D74" s="156">
        <f t="shared" si="12"/>
        <v>4385.9649122807014</v>
      </c>
      <c r="E74" s="157">
        <f t="shared" si="27"/>
        <v>828947.36842105375</v>
      </c>
      <c r="F74" s="158">
        <f t="shared" si="28"/>
        <v>4385.9649122807014</v>
      </c>
      <c r="G74" s="160">
        <f t="shared" si="8"/>
        <v>4385.9649122807014</v>
      </c>
      <c r="AA74" s="2">
        <f t="shared" si="15"/>
        <v>45</v>
      </c>
      <c r="AB74" s="8">
        <f t="shared" ca="1" si="17"/>
        <v>47590</v>
      </c>
      <c r="AC74" s="9">
        <f t="shared" ca="1" si="24"/>
        <v>855263.15789473779</v>
      </c>
      <c r="AD74" s="9">
        <f t="shared" si="13"/>
        <v>4385.9649122807014</v>
      </c>
      <c r="AE74" s="2">
        <f t="shared" ca="1" si="18"/>
        <v>30</v>
      </c>
      <c r="AF74" s="2">
        <f t="shared" ca="1" si="19"/>
        <v>1350</v>
      </c>
      <c r="AG74" s="9">
        <f t="shared" ca="1" si="20"/>
        <v>65.635964912280699</v>
      </c>
      <c r="AH74" s="9">
        <f t="shared" ca="1" si="21"/>
        <v>21.932017543859644</v>
      </c>
      <c r="AL74" s="23">
        <f t="shared" si="29"/>
        <v>0</v>
      </c>
      <c r="AM74" s="23">
        <f t="shared" si="26"/>
        <v>0</v>
      </c>
      <c r="AN74" s="23">
        <f t="shared" si="30"/>
        <v>0</v>
      </c>
      <c r="AO74" s="23">
        <v>0</v>
      </c>
      <c r="AP74" s="23">
        <f>E71*((1+$C$23)^3-1)</f>
        <v>0</v>
      </c>
      <c r="AQ74" s="23">
        <v>0</v>
      </c>
      <c r="AR74" s="23">
        <v>0</v>
      </c>
      <c r="AU74" s="23">
        <f t="shared" si="10"/>
        <v>4385.9649122807014</v>
      </c>
      <c r="AV74" s="23">
        <f t="shared" si="7"/>
        <v>4385.9649122807014</v>
      </c>
      <c r="AW74" s="23">
        <v>0</v>
      </c>
      <c r="AX74" s="23">
        <f>$E$23/($B$17-$B$16)*3</f>
        <v>13157.894736842103</v>
      </c>
      <c r="AY74" s="23">
        <v>0</v>
      </c>
      <c r="AZ74" s="23">
        <v>0</v>
      </c>
    </row>
    <row r="75" spans="1:52" x14ac:dyDescent="0.25">
      <c r="A75" s="68">
        <f t="shared" si="0"/>
        <v>52</v>
      </c>
      <c r="B75" s="68" t="str">
        <f t="shared" si="1"/>
        <v>amortização</v>
      </c>
      <c r="C75" s="156">
        <f t="shared" si="11"/>
        <v>0</v>
      </c>
      <c r="D75" s="156">
        <f t="shared" si="12"/>
        <v>4385.9649122807014</v>
      </c>
      <c r="E75" s="157">
        <f t="shared" si="27"/>
        <v>824561.40350877307</v>
      </c>
      <c r="F75" s="158">
        <f t="shared" si="28"/>
        <v>4385.9649122807014</v>
      </c>
      <c r="G75" s="160">
        <f t="shared" si="8"/>
        <v>4385.9649122807014</v>
      </c>
      <c r="AA75" s="2">
        <f t="shared" si="15"/>
        <v>46</v>
      </c>
      <c r="AB75" s="8">
        <f t="shared" ca="1" si="17"/>
        <v>47620</v>
      </c>
      <c r="AC75" s="9">
        <f t="shared" ca="1" si="24"/>
        <v>850877.19298245711</v>
      </c>
      <c r="AD75" s="9">
        <f t="shared" si="13"/>
        <v>4385.9649122807014</v>
      </c>
      <c r="AE75" s="2">
        <f t="shared" ca="1" si="18"/>
        <v>30</v>
      </c>
      <c r="AF75" s="2">
        <f t="shared" ca="1" si="19"/>
        <v>1380</v>
      </c>
      <c r="AG75" s="9">
        <f t="shared" ca="1" si="20"/>
        <v>65.635964912280699</v>
      </c>
      <c r="AH75" s="9">
        <f t="shared" ca="1" si="21"/>
        <v>21.932017543859644</v>
      </c>
      <c r="AL75" s="23">
        <f t="shared" si="29"/>
        <v>0</v>
      </c>
      <c r="AM75" s="23">
        <f t="shared" si="26"/>
        <v>0</v>
      </c>
      <c r="AN75" s="23">
        <f t="shared" si="30"/>
        <v>0</v>
      </c>
      <c r="AO75" s="23">
        <f>E73*((1+$C$23)^2-1)</f>
        <v>0</v>
      </c>
      <c r="AP75" s="23">
        <v>0</v>
      </c>
      <c r="AQ75" s="23">
        <v>0</v>
      </c>
      <c r="AR75" s="23">
        <v>0</v>
      </c>
      <c r="AU75" s="23">
        <f t="shared" si="10"/>
        <v>4385.9649122807014</v>
      </c>
      <c r="AV75" s="23">
        <f t="shared" si="7"/>
        <v>4385.9649122807014</v>
      </c>
      <c r="AW75" s="23">
        <f>$E$23/($B$17-$B$16)*2</f>
        <v>8771.9298245614027</v>
      </c>
      <c r="AX75" s="23">
        <v>0</v>
      </c>
      <c r="AY75" s="23">
        <v>0</v>
      </c>
      <c r="AZ75" s="23">
        <v>0</v>
      </c>
    </row>
    <row r="76" spans="1:52" x14ac:dyDescent="0.25">
      <c r="A76" s="68">
        <f t="shared" si="0"/>
        <v>53</v>
      </c>
      <c r="B76" s="68" t="str">
        <f t="shared" si="1"/>
        <v>amortização</v>
      </c>
      <c r="C76" s="156">
        <f t="shared" si="11"/>
        <v>0</v>
      </c>
      <c r="D76" s="156">
        <f t="shared" si="12"/>
        <v>4385.9649122807014</v>
      </c>
      <c r="E76" s="157">
        <f t="shared" si="27"/>
        <v>820175.4385964924</v>
      </c>
      <c r="F76" s="158">
        <f t="shared" si="28"/>
        <v>4385.9649122807014</v>
      </c>
      <c r="G76" s="160">
        <f t="shared" si="8"/>
        <v>4385.9649122807014</v>
      </c>
      <c r="AA76" s="2">
        <f t="shared" si="15"/>
        <v>47</v>
      </c>
      <c r="AB76" s="8">
        <f t="shared" ca="1" si="17"/>
        <v>47650</v>
      </c>
      <c r="AC76" s="9">
        <f t="shared" ca="1" si="24"/>
        <v>846491.22807017644</v>
      </c>
      <c r="AD76" s="9">
        <f t="shared" si="13"/>
        <v>4385.9649122807014</v>
      </c>
      <c r="AE76" s="2">
        <f t="shared" ca="1" si="18"/>
        <v>30</v>
      </c>
      <c r="AF76" s="2">
        <f t="shared" ca="1" si="19"/>
        <v>1410</v>
      </c>
      <c r="AG76" s="9">
        <f t="shared" ca="1" si="20"/>
        <v>65.635964912280699</v>
      </c>
      <c r="AH76" s="9">
        <f t="shared" ca="1" si="21"/>
        <v>21.932017543859644</v>
      </c>
      <c r="AL76" s="23">
        <f t="shared" si="29"/>
        <v>0</v>
      </c>
      <c r="AM76" s="23">
        <f t="shared" si="26"/>
        <v>0</v>
      </c>
      <c r="AN76" s="23">
        <f t="shared" si="30"/>
        <v>0</v>
      </c>
      <c r="AO76" s="23">
        <v>0</v>
      </c>
      <c r="AP76" s="23">
        <v>0</v>
      </c>
      <c r="AQ76" s="23">
        <v>0</v>
      </c>
      <c r="AR76" s="23">
        <v>0</v>
      </c>
      <c r="AU76" s="23">
        <f t="shared" si="10"/>
        <v>4385.9649122807014</v>
      </c>
      <c r="AV76" s="23">
        <f t="shared" si="7"/>
        <v>4385.9649122807014</v>
      </c>
      <c r="AW76" s="23">
        <v>0</v>
      </c>
      <c r="AX76" s="23">
        <v>0</v>
      </c>
      <c r="AY76" s="23">
        <v>0</v>
      </c>
      <c r="AZ76" s="23">
        <v>0</v>
      </c>
    </row>
    <row r="77" spans="1:52" x14ac:dyDescent="0.25">
      <c r="A77" s="68">
        <f t="shared" si="0"/>
        <v>54</v>
      </c>
      <c r="B77" s="68" t="str">
        <f t="shared" si="1"/>
        <v>amortização</v>
      </c>
      <c r="C77" s="156">
        <f t="shared" si="11"/>
        <v>0</v>
      </c>
      <c r="D77" s="156">
        <f t="shared" si="12"/>
        <v>4385.9649122807014</v>
      </c>
      <c r="E77" s="157">
        <f t="shared" si="27"/>
        <v>815789.47368421173</v>
      </c>
      <c r="F77" s="158">
        <f t="shared" si="28"/>
        <v>4385.9649122807014</v>
      </c>
      <c r="G77" s="160">
        <f t="shared" si="8"/>
        <v>4385.9649122807014</v>
      </c>
      <c r="AA77" s="2">
        <f t="shared" si="15"/>
        <v>48</v>
      </c>
      <c r="AB77" s="8">
        <f t="shared" ca="1" si="17"/>
        <v>47680</v>
      </c>
      <c r="AC77" s="9">
        <f t="shared" ca="1" si="24"/>
        <v>842105.26315789577</v>
      </c>
      <c r="AD77" s="9">
        <f t="shared" si="13"/>
        <v>4385.9649122807014</v>
      </c>
      <c r="AE77" s="2">
        <f t="shared" ca="1" si="18"/>
        <v>30</v>
      </c>
      <c r="AF77" s="2">
        <f t="shared" ca="1" si="19"/>
        <v>1440</v>
      </c>
      <c r="AG77" s="9">
        <f t="shared" ca="1" si="20"/>
        <v>65.635964912280699</v>
      </c>
      <c r="AH77" s="9">
        <f t="shared" ca="1" si="21"/>
        <v>21.932017543859644</v>
      </c>
      <c r="AL77" s="23">
        <f t="shared" si="29"/>
        <v>0</v>
      </c>
      <c r="AM77" s="23">
        <f t="shared" si="26"/>
        <v>0</v>
      </c>
      <c r="AN77" s="23">
        <f t="shared" si="30"/>
        <v>0</v>
      </c>
      <c r="AO77" s="23">
        <f>E75*((1+$C$23)^2-1)</f>
        <v>0</v>
      </c>
      <c r="AP77" s="23">
        <f>E74*((1+$C$23)^3-1)</f>
        <v>0</v>
      </c>
      <c r="AQ77" s="23">
        <f t="shared" ref="AQ77" si="33">E71*((1+$C$23)^6-1)</f>
        <v>0</v>
      </c>
      <c r="AR77" s="23">
        <v>0</v>
      </c>
      <c r="AU77" s="23">
        <f t="shared" si="10"/>
        <v>4385.9649122807014</v>
      </c>
      <c r="AV77" s="23">
        <f t="shared" si="7"/>
        <v>4385.9649122807014</v>
      </c>
      <c r="AW77" s="23">
        <f>$E$23/($B$17-$B$16)*2</f>
        <v>8771.9298245614027</v>
      </c>
      <c r="AX77" s="23">
        <f>$E$23/($B$17-$B$16)*3</f>
        <v>13157.894736842103</v>
      </c>
      <c r="AY77" s="23">
        <f>$E$23/($B$17-$B$16)*6</f>
        <v>26315.789473684206</v>
      </c>
      <c r="AZ77" s="23">
        <v>0</v>
      </c>
    </row>
    <row r="78" spans="1:52" x14ac:dyDescent="0.25">
      <c r="A78" s="68">
        <f t="shared" si="0"/>
        <v>55</v>
      </c>
      <c r="B78" s="68" t="str">
        <f t="shared" si="1"/>
        <v>amortização</v>
      </c>
      <c r="C78" s="156">
        <f t="shared" si="11"/>
        <v>0</v>
      </c>
      <c r="D78" s="156">
        <f t="shared" si="12"/>
        <v>4385.9649122807014</v>
      </c>
      <c r="E78" s="157">
        <f t="shared" si="27"/>
        <v>811403.50877193105</v>
      </c>
      <c r="F78" s="158">
        <f t="shared" si="28"/>
        <v>4385.9649122807014</v>
      </c>
      <c r="G78" s="160">
        <f t="shared" si="8"/>
        <v>4385.9649122807014</v>
      </c>
      <c r="AA78" s="2">
        <f t="shared" si="15"/>
        <v>49</v>
      </c>
      <c r="AC78" s="9" t="str">
        <f t="shared" si="24"/>
        <v/>
      </c>
      <c r="AD78" s="9">
        <f t="shared" si="13"/>
        <v>4385.9649122807014</v>
      </c>
      <c r="AF78" s="2" t="str">
        <f t="shared" si="19"/>
        <v/>
      </c>
      <c r="AG78" s="9" t="str">
        <f t="shared" si="20"/>
        <v/>
      </c>
      <c r="AH78" s="9" t="str">
        <f t="shared" si="21"/>
        <v/>
      </c>
      <c r="AL78" s="23">
        <f t="shared" si="29"/>
        <v>0</v>
      </c>
      <c r="AM78" s="23">
        <f>IF($AN$17=1,AN78,IF($AN$17=2,AO78,IF($AN$17=3,AP78,IF($AN$17=4,AQ78,IF($AN$17=5,AR78)))))</f>
        <v>0</v>
      </c>
      <c r="AN78" s="23">
        <f t="shared" si="30"/>
        <v>0</v>
      </c>
      <c r="AO78" s="23">
        <v>0</v>
      </c>
      <c r="AP78" s="23">
        <v>0</v>
      </c>
      <c r="AQ78" s="23">
        <v>0</v>
      </c>
      <c r="AR78" s="23">
        <v>0</v>
      </c>
      <c r="AU78" s="23">
        <f t="shared" si="10"/>
        <v>4385.9649122807014</v>
      </c>
      <c r="AV78" s="23">
        <f t="shared" si="7"/>
        <v>4385.9649122807014</v>
      </c>
      <c r="AW78" s="23">
        <v>0</v>
      </c>
      <c r="AX78" s="23">
        <v>0</v>
      </c>
      <c r="AY78" s="23">
        <v>0</v>
      </c>
      <c r="AZ78" s="23">
        <v>0</v>
      </c>
    </row>
    <row r="79" spans="1:52" x14ac:dyDescent="0.25">
      <c r="A79" s="68">
        <f t="shared" si="0"/>
        <v>56</v>
      </c>
      <c r="B79" s="68" t="str">
        <f t="shared" si="1"/>
        <v>amortização</v>
      </c>
      <c r="C79" s="156">
        <f t="shared" si="11"/>
        <v>0</v>
      </c>
      <c r="D79" s="156">
        <f t="shared" si="12"/>
        <v>4385.9649122807014</v>
      </c>
      <c r="E79" s="157">
        <f t="shared" si="27"/>
        <v>807017.54385965038</v>
      </c>
      <c r="F79" s="158">
        <f t="shared" si="28"/>
        <v>4385.9649122807014</v>
      </c>
      <c r="G79" s="160">
        <f t="shared" si="8"/>
        <v>4385.9649122807014</v>
      </c>
      <c r="AA79" s="2">
        <f t="shared" si="15"/>
        <v>50</v>
      </c>
      <c r="AC79" s="9" t="str">
        <f t="shared" si="24"/>
        <v/>
      </c>
      <c r="AD79" s="9">
        <f t="shared" si="13"/>
        <v>4385.9649122807014</v>
      </c>
      <c r="AF79" s="2" t="str">
        <f t="shared" si="19"/>
        <v/>
      </c>
      <c r="AG79" s="9" t="str">
        <f t="shared" si="20"/>
        <v/>
      </c>
      <c r="AH79" s="9" t="str">
        <f t="shared" si="21"/>
        <v/>
      </c>
      <c r="AL79" s="23">
        <f t="shared" si="29"/>
        <v>0</v>
      </c>
      <c r="AM79" s="23">
        <f t="shared" ref="AM79:AM104" si="34">IF($AN$17=1,AN79,IF($AN$17=2,AO79,IF($AN$17=3,AP79,IF($AN$17=4,AQ79,IF($AN$17=5,AR79)))))</f>
        <v>0</v>
      </c>
      <c r="AN79" s="23">
        <f t="shared" si="30"/>
        <v>0</v>
      </c>
      <c r="AO79" s="23">
        <f>E77*((1+$C$23)^2-1)</f>
        <v>0</v>
      </c>
      <c r="AP79" s="23">
        <v>0</v>
      </c>
      <c r="AQ79" s="23">
        <v>0</v>
      </c>
      <c r="AR79" s="23">
        <v>0</v>
      </c>
      <c r="AU79" s="23">
        <f t="shared" si="10"/>
        <v>4385.9649122807014</v>
      </c>
      <c r="AV79" s="23">
        <f t="shared" si="7"/>
        <v>4385.9649122807014</v>
      </c>
      <c r="AW79" s="23">
        <f>$E$23/($B$17-$B$16)*2</f>
        <v>8771.9298245614027</v>
      </c>
      <c r="AX79" s="23">
        <v>0</v>
      </c>
      <c r="AY79" s="23">
        <v>0</v>
      </c>
      <c r="AZ79" s="23">
        <v>0</v>
      </c>
    </row>
    <row r="80" spans="1:52" x14ac:dyDescent="0.25">
      <c r="A80" s="68">
        <f t="shared" si="0"/>
        <v>57</v>
      </c>
      <c r="B80" s="68" t="str">
        <f t="shared" si="1"/>
        <v>amortização</v>
      </c>
      <c r="C80" s="156">
        <f t="shared" si="11"/>
        <v>0</v>
      </c>
      <c r="D80" s="156">
        <f t="shared" si="12"/>
        <v>4385.9649122807014</v>
      </c>
      <c r="E80" s="157">
        <f t="shared" si="27"/>
        <v>802631.57894736971</v>
      </c>
      <c r="F80" s="158">
        <f t="shared" si="28"/>
        <v>4385.9649122807014</v>
      </c>
      <c r="G80" s="160">
        <f t="shared" si="8"/>
        <v>4385.9649122807014</v>
      </c>
      <c r="AA80" s="2">
        <f t="shared" si="15"/>
        <v>51</v>
      </c>
      <c r="AC80" s="9" t="str">
        <f t="shared" si="24"/>
        <v/>
      </c>
      <c r="AD80" s="9">
        <f t="shared" si="13"/>
        <v>4385.9649122807014</v>
      </c>
      <c r="AF80" s="2" t="str">
        <f t="shared" si="19"/>
        <v/>
      </c>
      <c r="AG80" s="9" t="str">
        <f t="shared" si="20"/>
        <v/>
      </c>
      <c r="AH80" s="9" t="str">
        <f t="shared" si="21"/>
        <v/>
      </c>
      <c r="AL80" s="23">
        <f t="shared" si="29"/>
        <v>0</v>
      </c>
      <c r="AM80" s="23">
        <f t="shared" si="34"/>
        <v>0</v>
      </c>
      <c r="AN80" s="23">
        <f t="shared" si="30"/>
        <v>0</v>
      </c>
      <c r="AO80" s="23">
        <v>0</v>
      </c>
      <c r="AP80" s="23">
        <f>E77*((1+$C$23)^3-1)</f>
        <v>0</v>
      </c>
      <c r="AQ80" s="23">
        <v>0</v>
      </c>
      <c r="AR80" s="23">
        <v>0</v>
      </c>
      <c r="AU80" s="23">
        <f t="shared" si="10"/>
        <v>4385.9649122807014</v>
      </c>
      <c r="AV80" s="23">
        <f t="shared" si="7"/>
        <v>4385.9649122807014</v>
      </c>
      <c r="AW80" s="23">
        <v>0</v>
      </c>
      <c r="AX80" s="23">
        <f>$E$23/($B$17-$B$16)*3</f>
        <v>13157.894736842103</v>
      </c>
      <c r="AY80" s="23">
        <v>0</v>
      </c>
      <c r="AZ80" s="23">
        <v>0</v>
      </c>
    </row>
    <row r="81" spans="1:52" x14ac:dyDescent="0.25">
      <c r="A81" s="68">
        <f t="shared" si="0"/>
        <v>58</v>
      </c>
      <c r="B81" s="68" t="str">
        <f t="shared" si="1"/>
        <v>amortização</v>
      </c>
      <c r="C81" s="156">
        <f t="shared" si="11"/>
        <v>0</v>
      </c>
      <c r="D81" s="156">
        <f t="shared" si="12"/>
        <v>4385.9649122807014</v>
      </c>
      <c r="E81" s="157">
        <f t="shared" si="27"/>
        <v>798245.61403508903</v>
      </c>
      <c r="F81" s="158">
        <f t="shared" si="28"/>
        <v>4385.9649122807014</v>
      </c>
      <c r="G81" s="160">
        <f t="shared" si="8"/>
        <v>4385.9649122807014</v>
      </c>
      <c r="AA81" s="2">
        <f t="shared" si="15"/>
        <v>52</v>
      </c>
      <c r="AC81" s="9" t="str">
        <f t="shared" si="24"/>
        <v/>
      </c>
      <c r="AD81" s="9">
        <f t="shared" si="13"/>
        <v>4385.9649122807014</v>
      </c>
      <c r="AF81" s="2" t="str">
        <f t="shared" si="19"/>
        <v/>
      </c>
      <c r="AG81" s="9" t="str">
        <f t="shared" si="20"/>
        <v/>
      </c>
      <c r="AH81" s="9" t="str">
        <f t="shared" si="21"/>
        <v/>
      </c>
      <c r="AL81" s="23">
        <f t="shared" si="29"/>
        <v>0</v>
      </c>
      <c r="AM81" s="23">
        <f t="shared" si="34"/>
        <v>0</v>
      </c>
      <c r="AN81" s="23">
        <f t="shared" si="30"/>
        <v>0</v>
      </c>
      <c r="AO81" s="23">
        <f>E79*((1+$C$23)^2-1)</f>
        <v>0</v>
      </c>
      <c r="AP81" s="23">
        <v>0</v>
      </c>
      <c r="AQ81" s="23">
        <v>0</v>
      </c>
      <c r="AR81" s="23">
        <v>0</v>
      </c>
      <c r="AU81" s="23">
        <f t="shared" si="10"/>
        <v>4385.9649122807014</v>
      </c>
      <c r="AV81" s="23">
        <f t="shared" si="7"/>
        <v>4385.9649122807014</v>
      </c>
      <c r="AW81" s="23">
        <f>$E$23/($B$17-$B$16)*2</f>
        <v>8771.9298245614027</v>
      </c>
      <c r="AX81" s="23">
        <v>0</v>
      </c>
      <c r="AY81" s="23">
        <v>0</v>
      </c>
      <c r="AZ81" s="23">
        <v>0</v>
      </c>
    </row>
    <row r="82" spans="1:52" x14ac:dyDescent="0.25">
      <c r="A82" s="68">
        <f t="shared" si="0"/>
        <v>59</v>
      </c>
      <c r="B82" s="68" t="str">
        <f t="shared" si="1"/>
        <v>amortização</v>
      </c>
      <c r="C82" s="156">
        <f t="shared" si="11"/>
        <v>0</v>
      </c>
      <c r="D82" s="156">
        <f t="shared" si="12"/>
        <v>4385.9649122807014</v>
      </c>
      <c r="E82" s="157">
        <f t="shared" si="27"/>
        <v>793859.64912280836</v>
      </c>
      <c r="F82" s="158">
        <f t="shared" si="28"/>
        <v>4385.9649122807014</v>
      </c>
      <c r="G82" s="160">
        <f t="shared" si="8"/>
        <v>4385.9649122807014</v>
      </c>
      <c r="AA82" s="2">
        <f t="shared" si="15"/>
        <v>53</v>
      </c>
      <c r="AC82" s="9" t="str">
        <f t="shared" si="24"/>
        <v/>
      </c>
      <c r="AD82" s="9">
        <f t="shared" si="13"/>
        <v>4385.9649122807014</v>
      </c>
      <c r="AF82" s="2" t="str">
        <f t="shared" si="19"/>
        <v/>
      </c>
      <c r="AG82" s="9" t="str">
        <f t="shared" si="20"/>
        <v/>
      </c>
      <c r="AH82" s="9" t="str">
        <f t="shared" si="21"/>
        <v/>
      </c>
      <c r="AL82" s="23">
        <f t="shared" si="29"/>
        <v>0</v>
      </c>
      <c r="AM82" s="23">
        <f t="shared" si="34"/>
        <v>0</v>
      </c>
      <c r="AN82" s="23">
        <f t="shared" si="30"/>
        <v>0</v>
      </c>
      <c r="AO82" s="23">
        <v>0</v>
      </c>
      <c r="AP82" s="23">
        <v>0</v>
      </c>
      <c r="AQ82" s="23">
        <v>0</v>
      </c>
      <c r="AR82" s="23">
        <v>0</v>
      </c>
      <c r="AU82" s="23">
        <f t="shared" si="10"/>
        <v>4385.9649122807014</v>
      </c>
      <c r="AV82" s="23">
        <f t="shared" si="7"/>
        <v>4385.9649122807014</v>
      </c>
      <c r="AW82" s="23">
        <v>0</v>
      </c>
      <c r="AX82" s="23">
        <v>0</v>
      </c>
      <c r="AY82" s="23">
        <v>0</v>
      </c>
      <c r="AZ82" s="23">
        <v>0</v>
      </c>
    </row>
    <row r="83" spans="1:52" x14ac:dyDescent="0.25">
      <c r="A83" s="68">
        <f t="shared" si="0"/>
        <v>60</v>
      </c>
      <c r="B83" s="68" t="str">
        <f t="shared" si="1"/>
        <v>amortização</v>
      </c>
      <c r="C83" s="156">
        <f t="shared" si="11"/>
        <v>0</v>
      </c>
      <c r="D83" s="156">
        <f t="shared" si="12"/>
        <v>4385.9649122807014</v>
      </c>
      <c r="E83" s="157">
        <f t="shared" si="27"/>
        <v>789473.68421052769</v>
      </c>
      <c r="F83" s="158">
        <f t="shared" si="28"/>
        <v>4385.9649122807014</v>
      </c>
      <c r="G83" s="160">
        <f t="shared" si="8"/>
        <v>4385.9649122807014</v>
      </c>
      <c r="AA83" s="2">
        <f t="shared" si="15"/>
        <v>54</v>
      </c>
      <c r="AC83" s="9" t="str">
        <f t="shared" si="24"/>
        <v/>
      </c>
      <c r="AD83" s="9">
        <f t="shared" si="13"/>
        <v>4385.9649122807014</v>
      </c>
      <c r="AF83" s="2" t="str">
        <f t="shared" si="19"/>
        <v/>
      </c>
      <c r="AG83" s="9" t="str">
        <f t="shared" si="20"/>
        <v/>
      </c>
      <c r="AH83" s="9" t="str">
        <f t="shared" si="21"/>
        <v/>
      </c>
      <c r="AL83" s="23">
        <f t="shared" si="29"/>
        <v>0</v>
      </c>
      <c r="AM83" s="23">
        <f t="shared" si="34"/>
        <v>0</v>
      </c>
      <c r="AN83" s="23">
        <f t="shared" si="30"/>
        <v>0</v>
      </c>
      <c r="AO83" s="23">
        <f>E81*((1+$C$23)^2-1)</f>
        <v>0</v>
      </c>
      <c r="AP83" s="23">
        <f>E80*((1+$C$23)^3-1)</f>
        <v>0</v>
      </c>
      <c r="AQ83" s="23">
        <f t="shared" ref="AQ83" si="35">E77*((1+$C$23)^6-1)</f>
        <v>0</v>
      </c>
      <c r="AR83" s="23">
        <f>E71*((1+$C$23)^12-1)</f>
        <v>0</v>
      </c>
      <c r="AU83" s="23">
        <f t="shared" si="10"/>
        <v>4385.9649122807014</v>
      </c>
      <c r="AV83" s="23">
        <f t="shared" si="7"/>
        <v>4385.9649122807014</v>
      </c>
      <c r="AW83" s="23">
        <f>$E$23/($B$17-$B$16)*2</f>
        <v>8771.9298245614027</v>
      </c>
      <c r="AX83" s="23">
        <f>$E$23/($B$17-$B$16)*3</f>
        <v>13157.894736842103</v>
      </c>
      <c r="AY83" s="23">
        <f>$E$23/($B$17-$B$16)*6</f>
        <v>26315.789473684206</v>
      </c>
      <c r="AZ83" s="23">
        <f>$E$23/($B$17-$B$16)*12</f>
        <v>52631.578947368413</v>
      </c>
    </row>
    <row r="84" spans="1:52" x14ac:dyDescent="0.25">
      <c r="A84" s="68">
        <f t="shared" si="0"/>
        <v>61</v>
      </c>
      <c r="B84" s="68" t="str">
        <f t="shared" si="1"/>
        <v>amortização</v>
      </c>
      <c r="C84" s="156">
        <f t="shared" si="11"/>
        <v>0</v>
      </c>
      <c r="D84" s="156">
        <f t="shared" si="12"/>
        <v>4385.9649122807014</v>
      </c>
      <c r="E84" s="157">
        <f t="shared" si="27"/>
        <v>785087.71929824702</v>
      </c>
      <c r="F84" s="158">
        <f t="shared" si="28"/>
        <v>4385.9649122807014</v>
      </c>
      <c r="G84" s="160">
        <f t="shared" si="8"/>
        <v>4385.9649122807014</v>
      </c>
      <c r="AA84" s="2">
        <f t="shared" si="15"/>
        <v>55</v>
      </c>
      <c r="AC84" s="9" t="str">
        <f t="shared" si="24"/>
        <v/>
      </c>
      <c r="AD84" s="9">
        <f t="shared" si="13"/>
        <v>4385.9649122807014</v>
      </c>
      <c r="AF84" s="2" t="str">
        <f t="shared" si="19"/>
        <v/>
      </c>
      <c r="AG84" s="9" t="str">
        <f t="shared" si="20"/>
        <v/>
      </c>
      <c r="AH84" s="9" t="str">
        <f t="shared" si="21"/>
        <v/>
      </c>
      <c r="AL84" s="23">
        <f t="shared" si="29"/>
        <v>0</v>
      </c>
      <c r="AM84" s="23">
        <f t="shared" si="34"/>
        <v>0</v>
      </c>
      <c r="AN84" s="23">
        <f t="shared" si="30"/>
        <v>0</v>
      </c>
      <c r="AO84" s="23">
        <v>0</v>
      </c>
      <c r="AP84" s="23">
        <v>0</v>
      </c>
      <c r="AQ84" s="23">
        <v>0</v>
      </c>
      <c r="AR84" s="23">
        <v>0</v>
      </c>
      <c r="AU84" s="23">
        <f t="shared" si="10"/>
        <v>4385.9649122807014</v>
      </c>
      <c r="AV84" s="23">
        <f t="shared" si="7"/>
        <v>4385.9649122807014</v>
      </c>
      <c r="AW84" s="23">
        <v>0</v>
      </c>
      <c r="AX84" s="23">
        <v>0</v>
      </c>
      <c r="AY84" s="23">
        <v>0</v>
      </c>
      <c r="AZ84" s="23">
        <v>0</v>
      </c>
    </row>
    <row r="85" spans="1:52" x14ac:dyDescent="0.25">
      <c r="A85" s="68">
        <f t="shared" si="0"/>
        <v>62</v>
      </c>
      <c r="B85" s="68" t="str">
        <f t="shared" si="1"/>
        <v>amortização</v>
      </c>
      <c r="C85" s="156">
        <f t="shared" si="11"/>
        <v>0</v>
      </c>
      <c r="D85" s="156">
        <f t="shared" si="12"/>
        <v>4385.9649122807014</v>
      </c>
      <c r="E85" s="157">
        <f t="shared" si="27"/>
        <v>780701.75438596634</v>
      </c>
      <c r="F85" s="158">
        <f t="shared" si="28"/>
        <v>4385.9649122807014</v>
      </c>
      <c r="G85" s="160">
        <f t="shared" si="8"/>
        <v>4385.9649122807014</v>
      </c>
      <c r="AA85" s="2">
        <f t="shared" si="15"/>
        <v>56</v>
      </c>
      <c r="AC85" s="9" t="str">
        <f t="shared" si="24"/>
        <v/>
      </c>
      <c r="AD85" s="9">
        <f t="shared" si="13"/>
        <v>4385.9649122807014</v>
      </c>
      <c r="AF85" s="2" t="str">
        <f t="shared" si="19"/>
        <v/>
      </c>
      <c r="AG85" s="9" t="str">
        <f t="shared" si="20"/>
        <v/>
      </c>
      <c r="AH85" s="9" t="str">
        <f t="shared" si="21"/>
        <v/>
      </c>
      <c r="AL85" s="23">
        <f t="shared" si="29"/>
        <v>0</v>
      </c>
      <c r="AM85" s="23">
        <f t="shared" si="34"/>
        <v>0</v>
      </c>
      <c r="AN85" s="23">
        <f t="shared" si="30"/>
        <v>0</v>
      </c>
      <c r="AO85" s="23">
        <f>E83*((1+$C$23)^2-1)</f>
        <v>0</v>
      </c>
      <c r="AP85" s="23">
        <v>0</v>
      </c>
      <c r="AQ85" s="23">
        <v>0</v>
      </c>
      <c r="AR85" s="23">
        <v>0</v>
      </c>
      <c r="AU85" s="23">
        <f t="shared" si="10"/>
        <v>4385.9649122807014</v>
      </c>
      <c r="AV85" s="23">
        <f t="shared" si="7"/>
        <v>4385.9649122807014</v>
      </c>
      <c r="AW85" s="23">
        <f>$E$23/($B$17-$B$16)*2</f>
        <v>8771.9298245614027</v>
      </c>
      <c r="AX85" s="23">
        <v>0</v>
      </c>
      <c r="AY85" s="23">
        <v>0</v>
      </c>
      <c r="AZ85" s="23">
        <v>0</v>
      </c>
    </row>
    <row r="86" spans="1:52" x14ac:dyDescent="0.25">
      <c r="A86" s="68">
        <f t="shared" si="0"/>
        <v>63</v>
      </c>
      <c r="B86" s="68" t="str">
        <f t="shared" si="1"/>
        <v>amortização</v>
      </c>
      <c r="C86" s="156">
        <f t="shared" si="11"/>
        <v>0</v>
      </c>
      <c r="D86" s="156">
        <f t="shared" si="12"/>
        <v>4385.9649122807014</v>
      </c>
      <c r="E86" s="157">
        <f t="shared" si="27"/>
        <v>776315.78947368567</v>
      </c>
      <c r="F86" s="158">
        <f t="shared" si="28"/>
        <v>4385.9649122807014</v>
      </c>
      <c r="G86" s="160">
        <f t="shared" si="8"/>
        <v>4385.9649122807014</v>
      </c>
      <c r="AA86" s="2">
        <f t="shared" si="15"/>
        <v>57</v>
      </c>
      <c r="AC86" s="9" t="str">
        <f t="shared" si="24"/>
        <v/>
      </c>
      <c r="AD86" s="9">
        <f t="shared" si="13"/>
        <v>4385.9649122807014</v>
      </c>
      <c r="AF86" s="2" t="str">
        <f t="shared" si="19"/>
        <v/>
      </c>
      <c r="AG86" s="9" t="str">
        <f t="shared" si="20"/>
        <v/>
      </c>
      <c r="AH86" s="9" t="str">
        <f t="shared" si="21"/>
        <v/>
      </c>
      <c r="AL86" s="23">
        <f t="shared" si="29"/>
        <v>0</v>
      </c>
      <c r="AM86" s="23">
        <f t="shared" si="34"/>
        <v>0</v>
      </c>
      <c r="AN86" s="23">
        <f t="shared" si="30"/>
        <v>0</v>
      </c>
      <c r="AO86" s="23">
        <v>0</v>
      </c>
      <c r="AP86" s="23">
        <f>E83*((1+$C$23)^3-1)</f>
        <v>0</v>
      </c>
      <c r="AQ86" s="23">
        <v>0</v>
      </c>
      <c r="AR86" s="23">
        <v>0</v>
      </c>
      <c r="AU86" s="23">
        <f t="shared" si="10"/>
        <v>4385.9649122807014</v>
      </c>
      <c r="AV86" s="23">
        <f t="shared" si="7"/>
        <v>4385.9649122807014</v>
      </c>
      <c r="AW86" s="23">
        <v>0</v>
      </c>
      <c r="AX86" s="23">
        <f>$E$23/($B$17-$B$16)*3</f>
        <v>13157.894736842103</v>
      </c>
      <c r="AY86" s="23">
        <v>0</v>
      </c>
      <c r="AZ86" s="23">
        <v>0</v>
      </c>
    </row>
    <row r="87" spans="1:52" x14ac:dyDescent="0.25">
      <c r="A87" s="68">
        <f t="shared" ref="A87:A150" si="36">IF(A86&lt;B$17,A86+1,"")</f>
        <v>64</v>
      </c>
      <c r="B87" s="68" t="str">
        <f t="shared" ref="B87:B150" si="37">IF(A87="","",IF(A87&lt;=B$16,"carência","amortização"))</f>
        <v>amortização</v>
      </c>
      <c r="C87" s="156">
        <f t="shared" ref="C87:C150" si="38">IF(B87="","",IF($AN$18=TRUE,AL87,AM87))</f>
        <v>0</v>
      </c>
      <c r="D87" s="156">
        <f t="shared" ref="D87:D150" si="39">IF(C87="","",IF(A87&lt;=B$16,0,AU87))</f>
        <v>4385.9649122807014</v>
      </c>
      <c r="E87" s="157">
        <f t="shared" ref="E87:E150" si="40">IF(F87="","",E86-D87)</f>
        <v>771929.824561405</v>
      </c>
      <c r="F87" s="158">
        <f t="shared" ref="F87:F150" si="41">IF(D87="","",D87+C87)</f>
        <v>4385.9649122807014</v>
      </c>
      <c r="G87" s="160">
        <f t="shared" ref="G87:G150" si="42">IF(E87="","",D87+C87)</f>
        <v>4385.9649122807014</v>
      </c>
      <c r="AA87" s="2">
        <f t="shared" si="15"/>
        <v>58</v>
      </c>
      <c r="AC87" s="9" t="str">
        <f t="shared" si="24"/>
        <v/>
      </c>
      <c r="AD87" s="9">
        <f t="shared" si="13"/>
        <v>4385.9649122807014</v>
      </c>
      <c r="AF87" s="2" t="str">
        <f t="shared" si="19"/>
        <v/>
      </c>
      <c r="AG87" s="9" t="str">
        <f t="shared" si="20"/>
        <v/>
      </c>
      <c r="AH87" s="9" t="str">
        <f t="shared" si="21"/>
        <v/>
      </c>
      <c r="AL87" s="23">
        <f t="shared" si="29"/>
        <v>0</v>
      </c>
      <c r="AM87" s="23">
        <f t="shared" si="34"/>
        <v>0</v>
      </c>
      <c r="AN87" s="23">
        <f t="shared" si="30"/>
        <v>0</v>
      </c>
      <c r="AO87" s="23">
        <f>E85*((1+$C$23)^2-1)</f>
        <v>0</v>
      </c>
      <c r="AP87" s="23">
        <v>0</v>
      </c>
      <c r="AQ87" s="23">
        <v>0</v>
      </c>
      <c r="AR87" s="23">
        <v>0</v>
      </c>
      <c r="AU87" s="23">
        <f t="shared" si="10"/>
        <v>4385.9649122807014</v>
      </c>
      <c r="AV87" s="23">
        <f t="shared" si="7"/>
        <v>4385.9649122807014</v>
      </c>
      <c r="AW87" s="23">
        <f>$E$23/($B$17-$B$16)*2</f>
        <v>8771.9298245614027</v>
      </c>
      <c r="AX87" s="23">
        <v>0</v>
      </c>
      <c r="AY87" s="23">
        <v>0</v>
      </c>
      <c r="AZ87" s="23">
        <v>0</v>
      </c>
    </row>
    <row r="88" spans="1:52" x14ac:dyDescent="0.25">
      <c r="A88" s="68">
        <f t="shared" si="36"/>
        <v>65</v>
      </c>
      <c r="B88" s="68" t="str">
        <f t="shared" si="37"/>
        <v>amortização</v>
      </c>
      <c r="C88" s="156">
        <f t="shared" si="38"/>
        <v>0</v>
      </c>
      <c r="D88" s="156">
        <f t="shared" si="39"/>
        <v>4385.9649122807014</v>
      </c>
      <c r="E88" s="157">
        <f t="shared" si="40"/>
        <v>767543.85964912432</v>
      </c>
      <c r="F88" s="158">
        <f t="shared" si="41"/>
        <v>4385.9649122807014</v>
      </c>
      <c r="G88" s="160">
        <f t="shared" si="42"/>
        <v>4385.9649122807014</v>
      </c>
      <c r="AA88" s="2">
        <f t="shared" si="15"/>
        <v>59</v>
      </c>
      <c r="AC88" s="9" t="str">
        <f t="shared" si="24"/>
        <v/>
      </c>
      <c r="AD88" s="9">
        <f t="shared" si="13"/>
        <v>4385.9649122807014</v>
      </c>
      <c r="AF88" s="2" t="str">
        <f t="shared" si="19"/>
        <v/>
      </c>
      <c r="AG88" s="9" t="str">
        <f t="shared" si="20"/>
        <v/>
      </c>
      <c r="AH88" s="9" t="str">
        <f t="shared" si="21"/>
        <v/>
      </c>
      <c r="AL88" s="23">
        <f t="shared" ref="AL88:AL99" si="43">IF(A88&lt;=$B$16,AM88,E87*$C$23)</f>
        <v>0</v>
      </c>
      <c r="AM88" s="23">
        <f t="shared" si="34"/>
        <v>0</v>
      </c>
      <c r="AN88" s="23">
        <f t="shared" ref="AN88:AN98" si="44">E87*$C$23</f>
        <v>0</v>
      </c>
      <c r="AO88" s="23">
        <v>0</v>
      </c>
      <c r="AP88" s="23">
        <v>0</v>
      </c>
      <c r="AQ88" s="23">
        <v>0</v>
      </c>
      <c r="AR88" s="23">
        <v>0</v>
      </c>
      <c r="AU88" s="23">
        <f t="shared" si="10"/>
        <v>4385.9649122807014</v>
      </c>
      <c r="AV88" s="23">
        <f t="shared" ref="AV88:AV151" si="45">$E$23/($B$17-$B$16)</f>
        <v>4385.9649122807014</v>
      </c>
      <c r="AW88" s="23">
        <v>0</v>
      </c>
      <c r="AX88" s="23">
        <v>0</v>
      </c>
      <c r="AY88" s="23">
        <v>0</v>
      </c>
      <c r="AZ88" s="23">
        <v>0</v>
      </c>
    </row>
    <row r="89" spans="1:52" x14ac:dyDescent="0.25">
      <c r="A89" s="68">
        <f t="shared" si="36"/>
        <v>66</v>
      </c>
      <c r="B89" s="68" t="str">
        <f t="shared" si="37"/>
        <v>amortização</v>
      </c>
      <c r="C89" s="156">
        <f t="shared" si="38"/>
        <v>0</v>
      </c>
      <c r="D89" s="156">
        <f t="shared" si="39"/>
        <v>4385.9649122807014</v>
      </c>
      <c r="E89" s="157">
        <f t="shared" si="40"/>
        <v>763157.89473684365</v>
      </c>
      <c r="F89" s="158">
        <f t="shared" si="41"/>
        <v>4385.9649122807014</v>
      </c>
      <c r="G89" s="160">
        <f t="shared" si="42"/>
        <v>4385.9649122807014</v>
      </c>
      <c r="AA89" s="2">
        <f t="shared" si="15"/>
        <v>60</v>
      </c>
      <c r="AC89" s="9" t="str">
        <f t="shared" si="24"/>
        <v/>
      </c>
      <c r="AD89" s="9">
        <f t="shared" si="13"/>
        <v>4385.9649122807014</v>
      </c>
      <c r="AF89" s="2" t="str">
        <f t="shared" si="19"/>
        <v/>
      </c>
      <c r="AG89" s="9" t="str">
        <f t="shared" si="20"/>
        <v/>
      </c>
      <c r="AH89" s="9" t="str">
        <f t="shared" si="21"/>
        <v/>
      </c>
      <c r="AL89" s="23">
        <f t="shared" si="43"/>
        <v>0</v>
      </c>
      <c r="AM89" s="23">
        <f t="shared" si="34"/>
        <v>0</v>
      </c>
      <c r="AN89" s="23">
        <f t="shared" si="44"/>
        <v>0</v>
      </c>
      <c r="AO89" s="23">
        <f t="shared" ref="AO89:AO101" si="46">E87*((1+$C$23)^2-1)</f>
        <v>0</v>
      </c>
      <c r="AP89" s="23">
        <f>E86*((1+$C$23)^3-1)</f>
        <v>0</v>
      </c>
      <c r="AQ89" s="23">
        <f>E83*((1+$C$23)^6-1)</f>
        <v>0</v>
      </c>
      <c r="AR89" s="23">
        <v>0</v>
      </c>
      <c r="AU89" s="23">
        <f t="shared" ref="AU89:AU152" si="47">IF($AV$17=1,AV89,IF($AV$17=2,AW89,IF($AV$17=3,AX89,IF($AV$17=4,AY89,IF($AV$17=5,AZ89)))))</f>
        <v>4385.9649122807014</v>
      </c>
      <c r="AV89" s="23">
        <f t="shared" si="45"/>
        <v>4385.9649122807014</v>
      </c>
      <c r="AW89" s="23">
        <f>$E$23/($B$17-$B$16)*2</f>
        <v>8771.9298245614027</v>
      </c>
      <c r="AX89" s="23">
        <f>$E$23/($B$17-$B$16)*3</f>
        <v>13157.894736842103</v>
      </c>
      <c r="AY89" s="23">
        <f>$E$23/($B$17-$B$16)*6</f>
        <v>26315.789473684206</v>
      </c>
      <c r="AZ89" s="23">
        <v>0</v>
      </c>
    </row>
    <row r="90" spans="1:52" x14ac:dyDescent="0.25">
      <c r="A90" s="68">
        <f t="shared" si="36"/>
        <v>67</v>
      </c>
      <c r="B90" s="68" t="str">
        <f t="shared" si="37"/>
        <v>amortização</v>
      </c>
      <c r="C90" s="156">
        <f t="shared" si="38"/>
        <v>0</v>
      </c>
      <c r="D90" s="156">
        <f t="shared" si="39"/>
        <v>4385.9649122807014</v>
      </c>
      <c r="E90" s="157">
        <f t="shared" si="40"/>
        <v>758771.92982456298</v>
      </c>
      <c r="F90" s="158">
        <f t="shared" si="41"/>
        <v>4385.9649122807014</v>
      </c>
      <c r="G90" s="160">
        <f t="shared" si="42"/>
        <v>4385.9649122807014</v>
      </c>
      <c r="AA90" s="2">
        <f t="shared" si="15"/>
        <v>61</v>
      </c>
      <c r="AC90" s="9" t="str">
        <f t="shared" si="24"/>
        <v/>
      </c>
      <c r="AD90" s="9">
        <f t="shared" si="13"/>
        <v>4385.9649122807014</v>
      </c>
      <c r="AF90" s="2" t="str">
        <f t="shared" si="19"/>
        <v/>
      </c>
      <c r="AG90" s="9" t="str">
        <f t="shared" si="20"/>
        <v/>
      </c>
      <c r="AH90" s="9" t="str">
        <f t="shared" si="21"/>
        <v/>
      </c>
      <c r="AL90" s="23">
        <f t="shared" si="43"/>
        <v>0</v>
      </c>
      <c r="AM90" s="23">
        <f t="shared" si="34"/>
        <v>0</v>
      </c>
      <c r="AN90" s="23">
        <f t="shared" si="44"/>
        <v>0</v>
      </c>
      <c r="AO90" s="23">
        <v>0</v>
      </c>
      <c r="AP90" s="23">
        <v>0</v>
      </c>
      <c r="AQ90" s="23">
        <v>0</v>
      </c>
      <c r="AR90" s="23">
        <v>0</v>
      </c>
      <c r="AU90" s="23">
        <f t="shared" si="47"/>
        <v>4385.9649122807014</v>
      </c>
      <c r="AV90" s="23">
        <f t="shared" si="45"/>
        <v>4385.9649122807014</v>
      </c>
      <c r="AW90" s="23">
        <v>0</v>
      </c>
      <c r="AX90" s="23">
        <v>0</v>
      </c>
      <c r="AY90" s="23">
        <v>0</v>
      </c>
      <c r="AZ90" s="23">
        <v>0</v>
      </c>
    </row>
    <row r="91" spans="1:52" x14ac:dyDescent="0.25">
      <c r="A91" s="68">
        <f t="shared" si="36"/>
        <v>68</v>
      </c>
      <c r="B91" s="68" t="str">
        <f t="shared" si="37"/>
        <v>amortização</v>
      </c>
      <c r="C91" s="156">
        <f t="shared" si="38"/>
        <v>0</v>
      </c>
      <c r="D91" s="156">
        <f t="shared" si="39"/>
        <v>4385.9649122807014</v>
      </c>
      <c r="E91" s="157">
        <f t="shared" si="40"/>
        <v>754385.9649122823</v>
      </c>
      <c r="F91" s="158">
        <f t="shared" si="41"/>
        <v>4385.9649122807014</v>
      </c>
      <c r="G91" s="160">
        <f t="shared" si="42"/>
        <v>4385.9649122807014</v>
      </c>
      <c r="AA91" s="2">
        <f t="shared" si="15"/>
        <v>62</v>
      </c>
      <c r="AC91" s="9" t="str">
        <f t="shared" si="24"/>
        <v/>
      </c>
      <c r="AD91" s="9">
        <f t="shared" si="13"/>
        <v>4385.9649122807014</v>
      </c>
      <c r="AF91" s="2" t="str">
        <f t="shared" si="19"/>
        <v/>
      </c>
      <c r="AG91" s="9" t="str">
        <f t="shared" si="20"/>
        <v/>
      </c>
      <c r="AH91" s="9" t="str">
        <f t="shared" si="21"/>
        <v/>
      </c>
      <c r="AL91" s="23">
        <f t="shared" si="43"/>
        <v>0</v>
      </c>
      <c r="AM91" s="23">
        <f t="shared" si="34"/>
        <v>0</v>
      </c>
      <c r="AN91" s="23">
        <f t="shared" si="44"/>
        <v>0</v>
      </c>
      <c r="AO91" s="23">
        <f t="shared" si="46"/>
        <v>0</v>
      </c>
      <c r="AP91" s="23">
        <v>0</v>
      </c>
      <c r="AQ91" s="23">
        <v>0</v>
      </c>
      <c r="AR91" s="23">
        <v>0</v>
      </c>
      <c r="AU91" s="23">
        <f t="shared" si="47"/>
        <v>4385.9649122807014</v>
      </c>
      <c r="AV91" s="23">
        <f t="shared" si="45"/>
        <v>4385.9649122807014</v>
      </c>
      <c r="AW91" s="23">
        <f>$E$23/($B$17-$B$16)*2</f>
        <v>8771.9298245614027</v>
      </c>
      <c r="AX91" s="23">
        <v>0</v>
      </c>
      <c r="AY91" s="23">
        <v>0</v>
      </c>
      <c r="AZ91" s="23">
        <v>0</v>
      </c>
    </row>
    <row r="92" spans="1:52" x14ac:dyDescent="0.25">
      <c r="A92" s="68">
        <f t="shared" si="36"/>
        <v>69</v>
      </c>
      <c r="B92" s="68" t="str">
        <f t="shared" si="37"/>
        <v>amortização</v>
      </c>
      <c r="C92" s="156">
        <f t="shared" si="38"/>
        <v>0</v>
      </c>
      <c r="D92" s="156">
        <f t="shared" si="39"/>
        <v>4385.9649122807014</v>
      </c>
      <c r="E92" s="157">
        <f t="shared" si="40"/>
        <v>750000.00000000163</v>
      </c>
      <c r="F92" s="158">
        <f t="shared" si="41"/>
        <v>4385.9649122807014</v>
      </c>
      <c r="G92" s="160">
        <f t="shared" si="42"/>
        <v>4385.9649122807014</v>
      </c>
      <c r="AA92" s="2">
        <f t="shared" si="15"/>
        <v>63</v>
      </c>
      <c r="AC92" s="9" t="str">
        <f t="shared" si="24"/>
        <v/>
      </c>
      <c r="AD92" s="9">
        <f t="shared" si="13"/>
        <v>4385.9649122807014</v>
      </c>
      <c r="AF92" s="2" t="str">
        <f t="shared" si="19"/>
        <v/>
      </c>
      <c r="AG92" s="9" t="str">
        <f t="shared" si="20"/>
        <v/>
      </c>
      <c r="AH92" s="9" t="str">
        <f t="shared" si="21"/>
        <v/>
      </c>
      <c r="AL92" s="23">
        <f t="shared" si="43"/>
        <v>0</v>
      </c>
      <c r="AM92" s="23">
        <f t="shared" si="34"/>
        <v>0</v>
      </c>
      <c r="AN92" s="23">
        <f t="shared" si="44"/>
        <v>0</v>
      </c>
      <c r="AO92" s="23">
        <v>0</v>
      </c>
      <c r="AP92" s="23">
        <f t="shared" ref="AP92:AP104" si="48">E89*((1+$C$23)^3-1)</f>
        <v>0</v>
      </c>
      <c r="AQ92" s="23">
        <v>0</v>
      </c>
      <c r="AR92" s="23">
        <v>0</v>
      </c>
      <c r="AU92" s="23">
        <f t="shared" si="47"/>
        <v>4385.9649122807014</v>
      </c>
      <c r="AV92" s="23">
        <f t="shared" si="45"/>
        <v>4385.9649122807014</v>
      </c>
      <c r="AW92" s="23">
        <v>0</v>
      </c>
      <c r="AX92" s="23">
        <f>$E$23/($B$17-$B$16)*3</f>
        <v>13157.894736842103</v>
      </c>
      <c r="AY92" s="23">
        <v>0</v>
      </c>
      <c r="AZ92" s="23">
        <v>0</v>
      </c>
    </row>
    <row r="93" spans="1:52" x14ac:dyDescent="0.25">
      <c r="A93" s="68">
        <f t="shared" si="36"/>
        <v>70</v>
      </c>
      <c r="B93" s="68" t="str">
        <f t="shared" si="37"/>
        <v>amortização</v>
      </c>
      <c r="C93" s="156">
        <f t="shared" si="38"/>
        <v>0</v>
      </c>
      <c r="D93" s="156">
        <f t="shared" si="39"/>
        <v>4385.9649122807014</v>
      </c>
      <c r="E93" s="157">
        <f t="shared" si="40"/>
        <v>745614.03508772096</v>
      </c>
      <c r="F93" s="158">
        <f t="shared" si="41"/>
        <v>4385.9649122807014</v>
      </c>
      <c r="G93" s="160">
        <f t="shared" si="42"/>
        <v>4385.9649122807014</v>
      </c>
      <c r="AA93" s="2">
        <f t="shared" si="15"/>
        <v>64</v>
      </c>
      <c r="AC93" s="9" t="str">
        <f t="shared" si="24"/>
        <v/>
      </c>
      <c r="AD93" s="9">
        <f t="shared" ref="AD93:AD156" si="49">IF(AA93="","",IF(AA93&lt;=B$16,0,B$15/(B$17-B$16)))</f>
        <v>4385.9649122807014</v>
      </c>
      <c r="AF93" s="2" t="str">
        <f t="shared" si="19"/>
        <v/>
      </c>
      <c r="AG93" s="9" t="str">
        <f t="shared" si="20"/>
        <v/>
      </c>
      <c r="AH93" s="9" t="str">
        <f t="shared" si="21"/>
        <v/>
      </c>
      <c r="AL93" s="23">
        <f t="shared" si="43"/>
        <v>0</v>
      </c>
      <c r="AM93" s="23">
        <f t="shared" si="34"/>
        <v>0</v>
      </c>
      <c r="AN93" s="23">
        <f t="shared" si="44"/>
        <v>0</v>
      </c>
      <c r="AO93" s="23">
        <f t="shared" si="46"/>
        <v>0</v>
      </c>
      <c r="AP93" s="23">
        <v>0</v>
      </c>
      <c r="AQ93" s="23">
        <v>0</v>
      </c>
      <c r="AR93" s="23">
        <v>0</v>
      </c>
      <c r="AU93" s="23">
        <f t="shared" si="47"/>
        <v>4385.9649122807014</v>
      </c>
      <c r="AV93" s="23">
        <f t="shared" si="45"/>
        <v>4385.9649122807014</v>
      </c>
      <c r="AW93" s="23">
        <f>$E$23/($B$17-$B$16)*2</f>
        <v>8771.9298245614027</v>
      </c>
      <c r="AX93" s="23">
        <v>0</v>
      </c>
      <c r="AY93" s="23">
        <v>0</v>
      </c>
      <c r="AZ93" s="23">
        <v>0</v>
      </c>
    </row>
    <row r="94" spans="1:52" x14ac:dyDescent="0.25">
      <c r="A94" s="68">
        <f t="shared" si="36"/>
        <v>71</v>
      </c>
      <c r="B94" s="68" t="str">
        <f t="shared" si="37"/>
        <v>amortização</v>
      </c>
      <c r="C94" s="156">
        <f t="shared" si="38"/>
        <v>0</v>
      </c>
      <c r="D94" s="156">
        <f t="shared" si="39"/>
        <v>4385.9649122807014</v>
      </c>
      <c r="E94" s="157">
        <f t="shared" si="40"/>
        <v>741228.07017544028</v>
      </c>
      <c r="F94" s="158">
        <f t="shared" si="41"/>
        <v>4385.9649122807014</v>
      </c>
      <c r="G94" s="160">
        <f t="shared" si="42"/>
        <v>4385.9649122807014</v>
      </c>
      <c r="AA94" s="2">
        <f t="shared" ref="AA94:AA157" si="50">IF(AA93&lt;B$17,AA93+1,"")</f>
        <v>65</v>
      </c>
      <c r="AC94" s="9" t="str">
        <f t="shared" si="24"/>
        <v/>
      </c>
      <c r="AD94" s="9">
        <f t="shared" si="49"/>
        <v>4385.9649122807014</v>
      </c>
      <c r="AF94" s="2" t="str">
        <f t="shared" si="19"/>
        <v/>
      </c>
      <c r="AG94" s="9" t="str">
        <f t="shared" si="20"/>
        <v/>
      </c>
      <c r="AH94" s="9" t="str">
        <f t="shared" si="21"/>
        <v/>
      </c>
      <c r="AL94" s="23">
        <f t="shared" si="43"/>
        <v>0</v>
      </c>
      <c r="AM94" s="23">
        <f t="shared" si="34"/>
        <v>0</v>
      </c>
      <c r="AN94" s="23">
        <f t="shared" si="44"/>
        <v>0</v>
      </c>
      <c r="AO94" s="23">
        <v>0</v>
      </c>
      <c r="AP94" s="23">
        <v>0</v>
      </c>
      <c r="AQ94" s="23">
        <v>0</v>
      </c>
      <c r="AR94" s="23">
        <v>0</v>
      </c>
      <c r="AU94" s="23">
        <f t="shared" si="47"/>
        <v>4385.9649122807014</v>
      </c>
      <c r="AV94" s="23">
        <f t="shared" si="45"/>
        <v>4385.9649122807014</v>
      </c>
      <c r="AW94" s="23">
        <v>0</v>
      </c>
      <c r="AX94" s="23">
        <v>0</v>
      </c>
      <c r="AY94" s="23">
        <v>0</v>
      </c>
      <c r="AZ94" s="23">
        <v>0</v>
      </c>
    </row>
    <row r="95" spans="1:52" x14ac:dyDescent="0.25">
      <c r="A95" s="68">
        <f t="shared" si="36"/>
        <v>72</v>
      </c>
      <c r="B95" s="68" t="str">
        <f t="shared" si="37"/>
        <v>amortização</v>
      </c>
      <c r="C95" s="156">
        <f t="shared" si="38"/>
        <v>0</v>
      </c>
      <c r="D95" s="156">
        <f t="shared" si="39"/>
        <v>4385.9649122807014</v>
      </c>
      <c r="E95" s="157">
        <f t="shared" si="40"/>
        <v>736842.10526315961</v>
      </c>
      <c r="F95" s="158">
        <f t="shared" si="41"/>
        <v>4385.9649122807014</v>
      </c>
      <c r="G95" s="160">
        <f t="shared" si="42"/>
        <v>4385.9649122807014</v>
      </c>
      <c r="AA95" s="2">
        <f t="shared" si="50"/>
        <v>66</v>
      </c>
      <c r="AC95" s="9" t="str">
        <f t="shared" si="24"/>
        <v/>
      </c>
      <c r="AD95" s="9">
        <f t="shared" si="49"/>
        <v>4385.9649122807014</v>
      </c>
      <c r="AF95" s="2" t="str">
        <f t="shared" ref="AF95:AF158" si="51">IF(AE95="","",AB95-AB$29)</f>
        <v/>
      </c>
      <c r="AG95" s="9" t="str">
        <f t="shared" ref="AG95:AG158" si="52">IF(AF95="","",IF(AF95&lt;365,AF95*AC$25*AD95,365*AD95*AC$25))</f>
        <v/>
      </c>
      <c r="AH95" s="9" t="str">
        <f t="shared" ref="AH95:AH158" si="53">IF(AF95="","",IF(AF95&lt;365,AF95*AC$26*AD95,365*AD95*AC$26))</f>
        <v/>
      </c>
      <c r="AL95" s="23">
        <f t="shared" si="43"/>
        <v>0</v>
      </c>
      <c r="AM95" s="23">
        <f t="shared" si="34"/>
        <v>0</v>
      </c>
      <c r="AN95" s="23">
        <f t="shared" si="44"/>
        <v>0</v>
      </c>
      <c r="AO95" s="23">
        <f t="shared" si="46"/>
        <v>0</v>
      </c>
      <c r="AP95" s="23">
        <f t="shared" si="48"/>
        <v>0</v>
      </c>
      <c r="AQ95" s="23">
        <f t="shared" ref="AQ95" si="54">E89*((1+$C$23)^6-1)</f>
        <v>0</v>
      </c>
      <c r="AR95" s="23">
        <f>E83*((1+$C$23)^12-1)</f>
        <v>0</v>
      </c>
      <c r="AU95" s="23">
        <f t="shared" si="47"/>
        <v>4385.9649122807014</v>
      </c>
      <c r="AV95" s="23">
        <f t="shared" si="45"/>
        <v>4385.9649122807014</v>
      </c>
      <c r="AW95" s="23">
        <f>$E$23/($B$17-$B$16)*2</f>
        <v>8771.9298245614027</v>
      </c>
      <c r="AX95" s="23">
        <f>$E$23/($B$17-$B$16)*3</f>
        <v>13157.894736842103</v>
      </c>
      <c r="AY95" s="23">
        <f>$E$23/($B$17-$B$16)*6</f>
        <v>26315.789473684206</v>
      </c>
      <c r="AZ95" s="23">
        <f>$E$23/($B$17-$B$16)*12</f>
        <v>52631.578947368413</v>
      </c>
    </row>
    <row r="96" spans="1:52" x14ac:dyDescent="0.25">
      <c r="A96" s="68">
        <f t="shared" si="36"/>
        <v>73</v>
      </c>
      <c r="B96" s="68" t="str">
        <f t="shared" si="37"/>
        <v>amortização</v>
      </c>
      <c r="C96" s="156">
        <f t="shared" si="38"/>
        <v>0</v>
      </c>
      <c r="D96" s="156">
        <f t="shared" si="39"/>
        <v>4385.9649122807014</v>
      </c>
      <c r="E96" s="157">
        <f t="shared" si="40"/>
        <v>732456.14035087894</v>
      </c>
      <c r="F96" s="158">
        <f t="shared" si="41"/>
        <v>4385.9649122807014</v>
      </c>
      <c r="G96" s="160">
        <f t="shared" si="42"/>
        <v>4385.9649122807014</v>
      </c>
      <c r="AA96" s="2">
        <f t="shared" si="50"/>
        <v>67</v>
      </c>
      <c r="AC96" s="9" t="str">
        <f t="shared" si="24"/>
        <v/>
      </c>
      <c r="AD96" s="9">
        <f t="shared" si="49"/>
        <v>4385.9649122807014</v>
      </c>
      <c r="AF96" s="2" t="str">
        <f t="shared" si="51"/>
        <v/>
      </c>
      <c r="AG96" s="9" t="str">
        <f t="shared" si="52"/>
        <v/>
      </c>
      <c r="AH96" s="9" t="str">
        <f t="shared" si="53"/>
        <v/>
      </c>
      <c r="AL96" s="23">
        <f t="shared" si="43"/>
        <v>0</v>
      </c>
      <c r="AM96" s="23">
        <f t="shared" si="34"/>
        <v>0</v>
      </c>
      <c r="AN96" s="23">
        <f t="shared" si="44"/>
        <v>0</v>
      </c>
      <c r="AO96" s="23">
        <v>0</v>
      </c>
      <c r="AP96" s="23">
        <v>0</v>
      </c>
      <c r="AQ96" s="23">
        <v>0</v>
      </c>
      <c r="AR96" s="23">
        <v>0</v>
      </c>
      <c r="AU96" s="23">
        <f t="shared" si="47"/>
        <v>4385.9649122807014</v>
      </c>
      <c r="AV96" s="23">
        <f t="shared" si="45"/>
        <v>4385.9649122807014</v>
      </c>
      <c r="AW96" s="23">
        <v>0</v>
      </c>
      <c r="AX96" s="23">
        <v>0</v>
      </c>
      <c r="AY96" s="23">
        <v>0</v>
      </c>
      <c r="AZ96" s="23">
        <v>0</v>
      </c>
    </row>
    <row r="97" spans="1:52" x14ac:dyDescent="0.25">
      <c r="A97" s="68">
        <f t="shared" si="36"/>
        <v>74</v>
      </c>
      <c r="B97" s="68" t="str">
        <f t="shared" si="37"/>
        <v>amortização</v>
      </c>
      <c r="C97" s="156">
        <f t="shared" si="38"/>
        <v>0</v>
      </c>
      <c r="D97" s="156">
        <f t="shared" si="39"/>
        <v>4385.9649122807014</v>
      </c>
      <c r="E97" s="157">
        <f t="shared" si="40"/>
        <v>728070.17543859826</v>
      </c>
      <c r="F97" s="158">
        <f t="shared" si="41"/>
        <v>4385.9649122807014</v>
      </c>
      <c r="G97" s="160">
        <f t="shared" si="42"/>
        <v>4385.9649122807014</v>
      </c>
      <c r="AA97" s="2">
        <f t="shared" si="50"/>
        <v>68</v>
      </c>
      <c r="AC97" s="9" t="str">
        <f t="shared" si="24"/>
        <v/>
      </c>
      <c r="AD97" s="9">
        <f t="shared" si="49"/>
        <v>4385.9649122807014</v>
      </c>
      <c r="AF97" s="2" t="str">
        <f t="shared" si="51"/>
        <v/>
      </c>
      <c r="AG97" s="9" t="str">
        <f t="shared" si="52"/>
        <v/>
      </c>
      <c r="AH97" s="9" t="str">
        <f t="shared" si="53"/>
        <v/>
      </c>
      <c r="AL97" s="23">
        <f t="shared" si="43"/>
        <v>0</v>
      </c>
      <c r="AM97" s="23">
        <f t="shared" si="34"/>
        <v>0</v>
      </c>
      <c r="AN97" s="23">
        <f t="shared" si="44"/>
        <v>0</v>
      </c>
      <c r="AO97" s="23">
        <f t="shared" si="46"/>
        <v>0</v>
      </c>
      <c r="AP97" s="23">
        <v>0</v>
      </c>
      <c r="AQ97" s="23">
        <v>0</v>
      </c>
      <c r="AR97" s="23">
        <v>0</v>
      </c>
      <c r="AU97" s="23">
        <f t="shared" si="47"/>
        <v>4385.9649122807014</v>
      </c>
      <c r="AV97" s="23">
        <f t="shared" si="45"/>
        <v>4385.9649122807014</v>
      </c>
      <c r="AW97" s="23">
        <f>$E$23/($B$17-$B$16)*2</f>
        <v>8771.9298245614027</v>
      </c>
      <c r="AX97" s="23">
        <v>0</v>
      </c>
      <c r="AY97" s="23">
        <v>0</v>
      </c>
      <c r="AZ97" s="23">
        <v>0</v>
      </c>
    </row>
    <row r="98" spans="1:52" x14ac:dyDescent="0.25">
      <c r="A98" s="68">
        <f t="shared" si="36"/>
        <v>75</v>
      </c>
      <c r="B98" s="68" t="str">
        <f t="shared" si="37"/>
        <v>amortização</v>
      </c>
      <c r="C98" s="156">
        <f t="shared" si="38"/>
        <v>0</v>
      </c>
      <c r="D98" s="156">
        <f t="shared" si="39"/>
        <v>4385.9649122807014</v>
      </c>
      <c r="E98" s="157">
        <f t="shared" si="40"/>
        <v>723684.21052631759</v>
      </c>
      <c r="F98" s="158">
        <f t="shared" si="41"/>
        <v>4385.9649122807014</v>
      </c>
      <c r="G98" s="160">
        <f t="shared" si="42"/>
        <v>4385.9649122807014</v>
      </c>
      <c r="AA98" s="2">
        <f t="shared" si="50"/>
        <v>69</v>
      </c>
      <c r="AC98" s="9" t="str">
        <f t="shared" si="24"/>
        <v/>
      </c>
      <c r="AD98" s="9">
        <f t="shared" si="49"/>
        <v>4385.9649122807014</v>
      </c>
      <c r="AF98" s="2" t="str">
        <f t="shared" si="51"/>
        <v/>
      </c>
      <c r="AG98" s="9" t="str">
        <f t="shared" si="52"/>
        <v/>
      </c>
      <c r="AH98" s="9" t="str">
        <f t="shared" si="53"/>
        <v/>
      </c>
      <c r="AL98" s="23">
        <f t="shared" si="43"/>
        <v>0</v>
      </c>
      <c r="AM98" s="23">
        <f t="shared" si="34"/>
        <v>0</v>
      </c>
      <c r="AN98" s="23">
        <f t="shared" si="44"/>
        <v>0</v>
      </c>
      <c r="AO98" s="23">
        <v>0</v>
      </c>
      <c r="AP98" s="23">
        <f t="shared" si="48"/>
        <v>0</v>
      </c>
      <c r="AQ98" s="23">
        <v>0</v>
      </c>
      <c r="AR98" s="23">
        <v>0</v>
      </c>
      <c r="AU98" s="23">
        <f t="shared" si="47"/>
        <v>4385.9649122807014</v>
      </c>
      <c r="AV98" s="23">
        <f t="shared" si="45"/>
        <v>4385.9649122807014</v>
      </c>
      <c r="AW98" s="23">
        <v>0</v>
      </c>
      <c r="AX98" s="23">
        <f>$E$23/($B$17-$B$16)*3</f>
        <v>13157.894736842103</v>
      </c>
      <c r="AY98" s="23">
        <v>0</v>
      </c>
      <c r="AZ98" s="23">
        <v>0</v>
      </c>
    </row>
    <row r="99" spans="1:52" x14ac:dyDescent="0.25">
      <c r="A99" s="68">
        <f t="shared" si="36"/>
        <v>76</v>
      </c>
      <c r="B99" s="68" t="str">
        <f t="shared" si="37"/>
        <v>amortização</v>
      </c>
      <c r="C99" s="156">
        <f t="shared" si="38"/>
        <v>0</v>
      </c>
      <c r="D99" s="156">
        <f t="shared" si="39"/>
        <v>4385.9649122807014</v>
      </c>
      <c r="E99" s="157">
        <f t="shared" si="40"/>
        <v>719298.24561403692</v>
      </c>
      <c r="F99" s="158">
        <f t="shared" si="41"/>
        <v>4385.9649122807014</v>
      </c>
      <c r="G99" s="160">
        <f t="shared" si="42"/>
        <v>4385.9649122807014</v>
      </c>
      <c r="AA99" s="2">
        <f t="shared" si="50"/>
        <v>70</v>
      </c>
      <c r="AC99" s="9" t="str">
        <f t="shared" si="24"/>
        <v/>
      </c>
      <c r="AD99" s="9">
        <f t="shared" si="49"/>
        <v>4385.9649122807014</v>
      </c>
      <c r="AF99" s="2" t="str">
        <f t="shared" si="51"/>
        <v/>
      </c>
      <c r="AG99" s="9" t="str">
        <f t="shared" si="52"/>
        <v/>
      </c>
      <c r="AH99" s="9" t="str">
        <f t="shared" si="53"/>
        <v/>
      </c>
      <c r="AL99" s="23">
        <f t="shared" si="43"/>
        <v>0</v>
      </c>
      <c r="AM99" s="23">
        <f t="shared" si="34"/>
        <v>0</v>
      </c>
      <c r="AN99" s="23">
        <f>E98*$C$23</f>
        <v>0</v>
      </c>
      <c r="AO99" s="23">
        <f t="shared" si="46"/>
        <v>0</v>
      </c>
      <c r="AP99" s="23">
        <v>0</v>
      </c>
      <c r="AQ99" s="23">
        <v>0</v>
      </c>
      <c r="AR99" s="23">
        <v>0</v>
      </c>
      <c r="AU99" s="23">
        <f t="shared" si="47"/>
        <v>4385.9649122807014</v>
      </c>
      <c r="AV99" s="23">
        <f t="shared" si="45"/>
        <v>4385.9649122807014</v>
      </c>
      <c r="AW99" s="23">
        <f>$E$23/($B$17-$B$16)*2</f>
        <v>8771.9298245614027</v>
      </c>
      <c r="AX99" s="23">
        <v>0</v>
      </c>
      <c r="AY99" s="23">
        <v>0</v>
      </c>
      <c r="AZ99" s="23">
        <v>0</v>
      </c>
    </row>
    <row r="100" spans="1:52" x14ac:dyDescent="0.25">
      <c r="A100" s="68">
        <f t="shared" si="36"/>
        <v>77</v>
      </c>
      <c r="B100" s="68" t="str">
        <f t="shared" si="37"/>
        <v>amortização</v>
      </c>
      <c r="C100" s="156">
        <f t="shared" si="38"/>
        <v>0</v>
      </c>
      <c r="D100" s="156">
        <f t="shared" si="39"/>
        <v>4385.9649122807014</v>
      </c>
      <c r="E100" s="157">
        <f t="shared" si="40"/>
        <v>714912.28070175624</v>
      </c>
      <c r="F100" s="158">
        <f t="shared" si="41"/>
        <v>4385.9649122807014</v>
      </c>
      <c r="G100" s="160">
        <f t="shared" si="42"/>
        <v>4385.9649122807014</v>
      </c>
      <c r="AA100" s="2">
        <f t="shared" si="50"/>
        <v>71</v>
      </c>
      <c r="AC100" s="9" t="str">
        <f t="shared" si="24"/>
        <v/>
      </c>
      <c r="AD100" s="9">
        <f t="shared" si="49"/>
        <v>4385.9649122807014</v>
      </c>
      <c r="AF100" s="2" t="str">
        <f t="shared" si="51"/>
        <v/>
      </c>
      <c r="AG100" s="9" t="str">
        <f t="shared" si="52"/>
        <v/>
      </c>
      <c r="AH100" s="9" t="str">
        <f t="shared" si="53"/>
        <v/>
      </c>
      <c r="AL100" s="23">
        <f t="shared" ref="AL100:AL163" si="55">IF(A100&lt;=$B$16,AM100,E99*$C$23)</f>
        <v>0</v>
      </c>
      <c r="AM100" s="23">
        <f t="shared" si="34"/>
        <v>0</v>
      </c>
      <c r="AN100" s="23">
        <f t="shared" ref="AN100:AN123" si="56">E99*$C$23</f>
        <v>0</v>
      </c>
      <c r="AO100" s="23">
        <v>0</v>
      </c>
      <c r="AP100" s="23">
        <v>0</v>
      </c>
      <c r="AQ100" s="23">
        <v>0</v>
      </c>
      <c r="AR100" s="23">
        <v>0</v>
      </c>
      <c r="AU100" s="23">
        <f t="shared" si="47"/>
        <v>4385.9649122807014</v>
      </c>
      <c r="AV100" s="23">
        <f t="shared" si="45"/>
        <v>4385.9649122807014</v>
      </c>
      <c r="AW100" s="23">
        <v>0</v>
      </c>
      <c r="AX100" s="23">
        <v>0</v>
      </c>
      <c r="AY100" s="23">
        <v>0</v>
      </c>
      <c r="AZ100" s="23">
        <v>0</v>
      </c>
    </row>
    <row r="101" spans="1:52" x14ac:dyDescent="0.25">
      <c r="A101" s="68">
        <f t="shared" si="36"/>
        <v>78</v>
      </c>
      <c r="B101" s="68" t="str">
        <f t="shared" si="37"/>
        <v>amortização</v>
      </c>
      <c r="C101" s="156">
        <f t="shared" si="38"/>
        <v>0</v>
      </c>
      <c r="D101" s="156">
        <f t="shared" si="39"/>
        <v>4385.9649122807014</v>
      </c>
      <c r="E101" s="157">
        <f t="shared" si="40"/>
        <v>710526.31578947557</v>
      </c>
      <c r="F101" s="158">
        <f t="shared" si="41"/>
        <v>4385.9649122807014</v>
      </c>
      <c r="G101" s="160">
        <f t="shared" si="42"/>
        <v>4385.9649122807014</v>
      </c>
      <c r="AA101" s="2">
        <f t="shared" si="50"/>
        <v>72</v>
      </c>
      <c r="AC101" s="9" t="str">
        <f t="shared" si="24"/>
        <v/>
      </c>
      <c r="AD101" s="9">
        <f t="shared" si="49"/>
        <v>4385.9649122807014</v>
      </c>
      <c r="AF101" s="2" t="str">
        <f t="shared" si="51"/>
        <v/>
      </c>
      <c r="AG101" s="9" t="str">
        <f t="shared" si="52"/>
        <v/>
      </c>
      <c r="AH101" s="9" t="str">
        <f t="shared" si="53"/>
        <v/>
      </c>
      <c r="AL101" s="23">
        <f t="shared" si="55"/>
        <v>0</v>
      </c>
      <c r="AM101" s="23">
        <f t="shared" si="34"/>
        <v>0</v>
      </c>
      <c r="AN101" s="23">
        <f t="shared" si="56"/>
        <v>0</v>
      </c>
      <c r="AO101" s="23">
        <f t="shared" si="46"/>
        <v>0</v>
      </c>
      <c r="AP101" s="23">
        <f t="shared" si="48"/>
        <v>0</v>
      </c>
      <c r="AQ101" s="23">
        <f t="shared" ref="AQ101" si="57">E95*((1+$C$23)^6-1)</f>
        <v>0</v>
      </c>
      <c r="AR101" s="23">
        <v>0</v>
      </c>
      <c r="AU101" s="23">
        <f t="shared" si="47"/>
        <v>4385.9649122807014</v>
      </c>
      <c r="AV101" s="23">
        <f t="shared" si="45"/>
        <v>4385.9649122807014</v>
      </c>
      <c r="AW101" s="23">
        <f>$E$23/($B$17-$B$16)*2</f>
        <v>8771.9298245614027</v>
      </c>
      <c r="AX101" s="23">
        <f>$E$23/($B$17-$B$16)*3</f>
        <v>13157.894736842103</v>
      </c>
      <c r="AY101" s="23">
        <f>$E$23/($B$17-$B$16)*6</f>
        <v>26315.789473684206</v>
      </c>
      <c r="AZ101" s="23">
        <v>0</v>
      </c>
    </row>
    <row r="102" spans="1:52" x14ac:dyDescent="0.25">
      <c r="A102" s="68">
        <f t="shared" si="36"/>
        <v>79</v>
      </c>
      <c r="B102" s="68" t="str">
        <f t="shared" si="37"/>
        <v>amortização</v>
      </c>
      <c r="C102" s="156">
        <f t="shared" si="38"/>
        <v>0</v>
      </c>
      <c r="D102" s="156">
        <f t="shared" si="39"/>
        <v>4385.9649122807014</v>
      </c>
      <c r="E102" s="157">
        <f t="shared" si="40"/>
        <v>706140.3508771949</v>
      </c>
      <c r="F102" s="158">
        <f t="shared" si="41"/>
        <v>4385.9649122807014</v>
      </c>
      <c r="G102" s="160">
        <f t="shared" si="42"/>
        <v>4385.9649122807014</v>
      </c>
      <c r="AA102" s="2">
        <f t="shared" si="50"/>
        <v>73</v>
      </c>
      <c r="AC102" s="9" t="str">
        <f t="shared" si="24"/>
        <v/>
      </c>
      <c r="AD102" s="9">
        <f t="shared" si="49"/>
        <v>4385.9649122807014</v>
      </c>
      <c r="AF102" s="2" t="str">
        <f t="shared" si="51"/>
        <v/>
      </c>
      <c r="AG102" s="9" t="str">
        <f t="shared" si="52"/>
        <v/>
      </c>
      <c r="AH102" s="9" t="str">
        <f t="shared" si="53"/>
        <v/>
      </c>
      <c r="AL102" s="23">
        <f t="shared" si="55"/>
        <v>0</v>
      </c>
      <c r="AM102" s="23">
        <f t="shared" si="34"/>
        <v>0</v>
      </c>
      <c r="AN102" s="23">
        <f t="shared" si="56"/>
        <v>0</v>
      </c>
      <c r="AO102" s="23">
        <v>0</v>
      </c>
      <c r="AP102" s="23">
        <v>0</v>
      </c>
      <c r="AQ102" s="23">
        <v>0</v>
      </c>
      <c r="AR102" s="23">
        <v>0</v>
      </c>
      <c r="AU102" s="23">
        <f t="shared" si="47"/>
        <v>4385.9649122807014</v>
      </c>
      <c r="AV102" s="23">
        <f t="shared" si="45"/>
        <v>4385.9649122807014</v>
      </c>
      <c r="AW102" s="23">
        <v>0</v>
      </c>
      <c r="AX102" s="23">
        <v>0</v>
      </c>
      <c r="AY102" s="23">
        <v>0</v>
      </c>
      <c r="AZ102" s="23">
        <v>0</v>
      </c>
    </row>
    <row r="103" spans="1:52" x14ac:dyDescent="0.25">
      <c r="A103" s="68">
        <f t="shared" si="36"/>
        <v>80</v>
      </c>
      <c r="B103" s="68" t="str">
        <f t="shared" si="37"/>
        <v>amortização</v>
      </c>
      <c r="C103" s="156">
        <f t="shared" si="38"/>
        <v>0</v>
      </c>
      <c r="D103" s="156">
        <f t="shared" si="39"/>
        <v>4385.9649122807014</v>
      </c>
      <c r="E103" s="157">
        <f t="shared" si="40"/>
        <v>701754.38596491423</v>
      </c>
      <c r="F103" s="158">
        <f t="shared" si="41"/>
        <v>4385.9649122807014</v>
      </c>
      <c r="G103" s="160">
        <f t="shared" si="42"/>
        <v>4385.9649122807014</v>
      </c>
      <c r="AA103" s="2">
        <f t="shared" si="50"/>
        <v>74</v>
      </c>
      <c r="AC103" s="9" t="str">
        <f t="shared" si="24"/>
        <v/>
      </c>
      <c r="AD103" s="9">
        <f t="shared" si="49"/>
        <v>4385.9649122807014</v>
      </c>
      <c r="AF103" s="2" t="str">
        <f t="shared" si="51"/>
        <v/>
      </c>
      <c r="AG103" s="9" t="str">
        <f t="shared" si="52"/>
        <v/>
      </c>
      <c r="AH103" s="9" t="str">
        <f t="shared" si="53"/>
        <v/>
      </c>
      <c r="AL103" s="23">
        <f t="shared" si="55"/>
        <v>0</v>
      </c>
      <c r="AM103" s="23">
        <f t="shared" si="34"/>
        <v>0</v>
      </c>
      <c r="AN103" s="23">
        <f t="shared" si="56"/>
        <v>0</v>
      </c>
      <c r="AO103" s="23">
        <f>E101*((1+$C$23)^2-1)</f>
        <v>0</v>
      </c>
      <c r="AP103" s="23">
        <v>0</v>
      </c>
      <c r="AQ103" s="23">
        <v>0</v>
      </c>
      <c r="AR103" s="23">
        <v>0</v>
      </c>
      <c r="AU103" s="23">
        <f t="shared" si="47"/>
        <v>4385.9649122807014</v>
      </c>
      <c r="AV103" s="23">
        <f t="shared" si="45"/>
        <v>4385.9649122807014</v>
      </c>
      <c r="AW103" s="23">
        <f>$E$23/($B$17-$B$16)*2</f>
        <v>8771.9298245614027</v>
      </c>
      <c r="AX103" s="23">
        <v>0</v>
      </c>
      <c r="AY103" s="23">
        <v>0</v>
      </c>
      <c r="AZ103" s="23">
        <v>0</v>
      </c>
    </row>
    <row r="104" spans="1:52" x14ac:dyDescent="0.25">
      <c r="A104" s="68">
        <f t="shared" si="36"/>
        <v>81</v>
      </c>
      <c r="B104" s="68" t="str">
        <f t="shared" si="37"/>
        <v>amortização</v>
      </c>
      <c r="C104" s="156">
        <f t="shared" si="38"/>
        <v>0</v>
      </c>
      <c r="D104" s="156">
        <f t="shared" si="39"/>
        <v>4385.9649122807014</v>
      </c>
      <c r="E104" s="157">
        <f t="shared" si="40"/>
        <v>697368.42105263355</v>
      </c>
      <c r="F104" s="158">
        <f t="shared" si="41"/>
        <v>4385.9649122807014</v>
      </c>
      <c r="G104" s="160">
        <f t="shared" si="42"/>
        <v>4385.9649122807014</v>
      </c>
      <c r="AA104" s="2">
        <f t="shared" si="50"/>
        <v>75</v>
      </c>
      <c r="AC104" s="9" t="str">
        <f t="shared" si="24"/>
        <v/>
      </c>
      <c r="AD104" s="9">
        <f t="shared" si="49"/>
        <v>4385.9649122807014</v>
      </c>
      <c r="AF104" s="2" t="str">
        <f t="shared" si="51"/>
        <v/>
      </c>
      <c r="AG104" s="9" t="str">
        <f t="shared" si="52"/>
        <v/>
      </c>
      <c r="AH104" s="9" t="str">
        <f t="shared" si="53"/>
        <v/>
      </c>
      <c r="AL104" s="23">
        <f t="shared" si="55"/>
        <v>0</v>
      </c>
      <c r="AM104" s="23">
        <f t="shared" si="34"/>
        <v>0</v>
      </c>
      <c r="AN104" s="23">
        <f t="shared" si="56"/>
        <v>0</v>
      </c>
      <c r="AO104" s="23">
        <v>0</v>
      </c>
      <c r="AP104" s="23">
        <f t="shared" si="48"/>
        <v>0</v>
      </c>
      <c r="AQ104" s="23">
        <v>0</v>
      </c>
      <c r="AR104" s="23">
        <v>0</v>
      </c>
      <c r="AU104" s="23">
        <f t="shared" si="47"/>
        <v>4385.9649122807014</v>
      </c>
      <c r="AV104" s="23">
        <f t="shared" si="45"/>
        <v>4385.9649122807014</v>
      </c>
      <c r="AW104" s="23">
        <v>0</v>
      </c>
      <c r="AX104" s="23">
        <f>$E$23/($B$17-$B$16)*3</f>
        <v>13157.894736842103</v>
      </c>
      <c r="AY104" s="23">
        <v>0</v>
      </c>
      <c r="AZ104" s="23">
        <v>0</v>
      </c>
    </row>
    <row r="105" spans="1:52" x14ac:dyDescent="0.25">
      <c r="A105" s="68">
        <f t="shared" si="36"/>
        <v>82</v>
      </c>
      <c r="B105" s="68" t="str">
        <f t="shared" si="37"/>
        <v>amortização</v>
      </c>
      <c r="C105" s="156">
        <f t="shared" si="38"/>
        <v>0</v>
      </c>
      <c r="D105" s="156">
        <f t="shared" si="39"/>
        <v>4385.9649122807014</v>
      </c>
      <c r="E105" s="157">
        <f t="shared" si="40"/>
        <v>692982.45614035288</v>
      </c>
      <c r="F105" s="158">
        <f t="shared" si="41"/>
        <v>4385.9649122807014</v>
      </c>
      <c r="G105" s="160">
        <f t="shared" si="42"/>
        <v>4385.9649122807014</v>
      </c>
      <c r="AA105" s="2">
        <f t="shared" si="50"/>
        <v>76</v>
      </c>
      <c r="AC105" s="9" t="str">
        <f t="shared" si="24"/>
        <v/>
      </c>
      <c r="AD105" s="9">
        <f t="shared" si="49"/>
        <v>4385.9649122807014</v>
      </c>
      <c r="AF105" s="2" t="str">
        <f t="shared" si="51"/>
        <v/>
      </c>
      <c r="AG105" s="9" t="str">
        <f t="shared" si="52"/>
        <v/>
      </c>
      <c r="AH105" s="9" t="str">
        <f t="shared" si="53"/>
        <v/>
      </c>
      <c r="AL105" s="23">
        <f t="shared" si="55"/>
        <v>0</v>
      </c>
      <c r="AM105" s="23">
        <f>IF($AN$17=1,AN105,IF($AN$17=2,AO105,IF($AN$17=3,AP105,IF($AN$17=4,AQ105,IF($AN$17=5,AR105)))))</f>
        <v>0</v>
      </c>
      <c r="AN105" s="23">
        <f t="shared" si="56"/>
        <v>0</v>
      </c>
      <c r="AO105" s="23">
        <f t="shared" ref="AO105:AO113" si="58">E103*((1+$C$23)^2-1)</f>
        <v>0</v>
      </c>
      <c r="AP105" s="23">
        <v>0</v>
      </c>
      <c r="AQ105" s="23">
        <v>0</v>
      </c>
      <c r="AR105" s="23">
        <v>0</v>
      </c>
      <c r="AU105" s="23">
        <f t="shared" si="47"/>
        <v>4385.9649122807014</v>
      </c>
      <c r="AV105" s="23">
        <f t="shared" si="45"/>
        <v>4385.9649122807014</v>
      </c>
      <c r="AW105" s="23">
        <f>$E$23/($B$17-$B$16)*2</f>
        <v>8771.9298245614027</v>
      </c>
      <c r="AX105" s="23">
        <v>0</v>
      </c>
      <c r="AY105" s="23">
        <v>0</v>
      </c>
      <c r="AZ105" s="23">
        <v>0</v>
      </c>
    </row>
    <row r="106" spans="1:52" x14ac:dyDescent="0.25">
      <c r="A106" s="68">
        <f t="shared" si="36"/>
        <v>83</v>
      </c>
      <c r="B106" s="68" t="str">
        <f t="shared" si="37"/>
        <v>amortização</v>
      </c>
      <c r="C106" s="156">
        <f t="shared" si="38"/>
        <v>0</v>
      </c>
      <c r="D106" s="156">
        <f t="shared" si="39"/>
        <v>4385.9649122807014</v>
      </c>
      <c r="E106" s="157">
        <f t="shared" si="40"/>
        <v>688596.49122807221</v>
      </c>
      <c r="F106" s="158">
        <f t="shared" si="41"/>
        <v>4385.9649122807014</v>
      </c>
      <c r="G106" s="160">
        <f t="shared" si="42"/>
        <v>4385.9649122807014</v>
      </c>
      <c r="AA106" s="2">
        <f t="shared" si="50"/>
        <v>77</v>
      </c>
      <c r="AC106" s="9" t="str">
        <f t="shared" si="24"/>
        <v/>
      </c>
      <c r="AD106" s="9">
        <f t="shared" si="49"/>
        <v>4385.9649122807014</v>
      </c>
      <c r="AF106" s="2" t="str">
        <f t="shared" si="51"/>
        <v/>
      </c>
      <c r="AG106" s="9" t="str">
        <f t="shared" si="52"/>
        <v/>
      </c>
      <c r="AH106" s="9" t="str">
        <f t="shared" si="53"/>
        <v/>
      </c>
      <c r="AL106" s="23">
        <f t="shared" si="55"/>
        <v>0</v>
      </c>
      <c r="AM106" s="23">
        <f t="shared" ref="AM106:AM131" si="59">IF($AN$17=1,AN106,IF($AN$17=2,AO106,IF($AN$17=3,AP106,IF($AN$17=4,AQ106,IF($AN$17=5,AR106)))))</f>
        <v>0</v>
      </c>
      <c r="AN106" s="23">
        <f t="shared" si="56"/>
        <v>0</v>
      </c>
      <c r="AO106" s="23">
        <v>0</v>
      </c>
      <c r="AP106" s="23">
        <v>0</v>
      </c>
      <c r="AQ106" s="23">
        <v>0</v>
      </c>
      <c r="AR106" s="23">
        <v>0</v>
      </c>
      <c r="AU106" s="23">
        <f t="shared" si="47"/>
        <v>4385.9649122807014</v>
      </c>
      <c r="AV106" s="23">
        <f t="shared" si="45"/>
        <v>4385.9649122807014</v>
      </c>
      <c r="AW106" s="23">
        <v>0</v>
      </c>
      <c r="AX106" s="23">
        <v>0</v>
      </c>
      <c r="AY106" s="23">
        <v>0</v>
      </c>
      <c r="AZ106" s="23">
        <v>0</v>
      </c>
    </row>
    <row r="107" spans="1:52" x14ac:dyDescent="0.25">
      <c r="A107" s="68">
        <f t="shared" si="36"/>
        <v>84</v>
      </c>
      <c r="B107" s="68" t="str">
        <f t="shared" si="37"/>
        <v>amortização</v>
      </c>
      <c r="C107" s="156">
        <f t="shared" si="38"/>
        <v>0</v>
      </c>
      <c r="D107" s="156">
        <f t="shared" si="39"/>
        <v>4385.9649122807014</v>
      </c>
      <c r="E107" s="157">
        <f t="shared" si="40"/>
        <v>684210.52631579153</v>
      </c>
      <c r="F107" s="158">
        <f t="shared" si="41"/>
        <v>4385.9649122807014</v>
      </c>
      <c r="G107" s="160">
        <f t="shared" si="42"/>
        <v>4385.9649122807014</v>
      </c>
      <c r="AA107" s="2">
        <f t="shared" si="50"/>
        <v>78</v>
      </c>
      <c r="AC107" s="9" t="str">
        <f t="shared" ref="AC107:AC170" si="60">IF(AB107="","",IF(AA107&lt;=B$16,AC106,AC106-AD107))</f>
        <v/>
      </c>
      <c r="AD107" s="9">
        <f t="shared" si="49"/>
        <v>4385.9649122807014</v>
      </c>
      <c r="AF107" s="2" t="str">
        <f t="shared" si="51"/>
        <v/>
      </c>
      <c r="AG107" s="9" t="str">
        <f t="shared" si="52"/>
        <v/>
      </c>
      <c r="AH107" s="9" t="str">
        <f t="shared" si="53"/>
        <v/>
      </c>
      <c r="AL107" s="23">
        <f t="shared" si="55"/>
        <v>0</v>
      </c>
      <c r="AM107" s="23">
        <f t="shared" si="59"/>
        <v>0</v>
      </c>
      <c r="AN107" s="23">
        <f t="shared" si="56"/>
        <v>0</v>
      </c>
      <c r="AO107" s="23">
        <f t="shared" si="58"/>
        <v>0</v>
      </c>
      <c r="AP107" s="23">
        <f>E104*((1+$C$23)^3-1)</f>
        <v>0</v>
      </c>
      <c r="AQ107" s="23">
        <f>E101*((1+$C$23)^6-1)</f>
        <v>0</v>
      </c>
      <c r="AR107" s="23">
        <f>E95*((1+$C$23)^12-1)</f>
        <v>0</v>
      </c>
      <c r="AU107" s="23">
        <f t="shared" si="47"/>
        <v>4385.9649122807014</v>
      </c>
      <c r="AV107" s="23">
        <f t="shared" si="45"/>
        <v>4385.9649122807014</v>
      </c>
      <c r="AW107" s="23">
        <f>$E$23/($B$17-$B$16)*2</f>
        <v>8771.9298245614027</v>
      </c>
      <c r="AX107" s="23">
        <f>$E$23/($B$17-$B$16)*3</f>
        <v>13157.894736842103</v>
      </c>
      <c r="AY107" s="23">
        <f>$E$23/($B$17-$B$16)*6</f>
        <v>26315.789473684206</v>
      </c>
      <c r="AZ107" s="23">
        <f>$E$23/($B$17-$B$16)*12</f>
        <v>52631.578947368413</v>
      </c>
    </row>
    <row r="108" spans="1:52" x14ac:dyDescent="0.25">
      <c r="A108" s="68">
        <f t="shared" si="36"/>
        <v>85</v>
      </c>
      <c r="B108" s="68" t="str">
        <f t="shared" si="37"/>
        <v>amortização</v>
      </c>
      <c r="C108" s="156">
        <f t="shared" si="38"/>
        <v>0</v>
      </c>
      <c r="D108" s="156">
        <f t="shared" si="39"/>
        <v>4385.9649122807014</v>
      </c>
      <c r="E108" s="157">
        <f t="shared" si="40"/>
        <v>679824.56140351086</v>
      </c>
      <c r="F108" s="158">
        <f t="shared" si="41"/>
        <v>4385.9649122807014</v>
      </c>
      <c r="G108" s="160">
        <f t="shared" si="42"/>
        <v>4385.9649122807014</v>
      </c>
      <c r="AA108" s="2">
        <f t="shared" si="50"/>
        <v>79</v>
      </c>
      <c r="AC108" s="9" t="str">
        <f t="shared" si="60"/>
        <v/>
      </c>
      <c r="AD108" s="9">
        <f t="shared" si="49"/>
        <v>4385.9649122807014</v>
      </c>
      <c r="AF108" s="2" t="str">
        <f t="shared" si="51"/>
        <v/>
      </c>
      <c r="AG108" s="9" t="str">
        <f t="shared" si="52"/>
        <v/>
      </c>
      <c r="AH108" s="9" t="str">
        <f t="shared" si="53"/>
        <v/>
      </c>
      <c r="AL108" s="23">
        <f t="shared" si="55"/>
        <v>0</v>
      </c>
      <c r="AM108" s="23">
        <f t="shared" si="59"/>
        <v>0</v>
      </c>
      <c r="AN108" s="23">
        <f t="shared" si="56"/>
        <v>0</v>
      </c>
      <c r="AO108" s="23">
        <v>0</v>
      </c>
      <c r="AP108" s="23">
        <v>0</v>
      </c>
      <c r="AQ108" s="23">
        <v>0</v>
      </c>
      <c r="AR108" s="23">
        <v>0</v>
      </c>
      <c r="AU108" s="23">
        <f t="shared" si="47"/>
        <v>4385.9649122807014</v>
      </c>
      <c r="AV108" s="23">
        <f t="shared" si="45"/>
        <v>4385.9649122807014</v>
      </c>
      <c r="AW108" s="23">
        <v>0</v>
      </c>
      <c r="AX108" s="23">
        <v>0</v>
      </c>
      <c r="AY108" s="23">
        <v>0</v>
      </c>
      <c r="AZ108" s="23">
        <v>0</v>
      </c>
    </row>
    <row r="109" spans="1:52" x14ac:dyDescent="0.25">
      <c r="A109" s="68">
        <f t="shared" si="36"/>
        <v>86</v>
      </c>
      <c r="B109" s="68" t="str">
        <f t="shared" si="37"/>
        <v>amortização</v>
      </c>
      <c r="C109" s="156">
        <f t="shared" si="38"/>
        <v>0</v>
      </c>
      <c r="D109" s="156">
        <f t="shared" si="39"/>
        <v>4385.9649122807014</v>
      </c>
      <c r="E109" s="157">
        <f t="shared" si="40"/>
        <v>675438.59649123019</v>
      </c>
      <c r="F109" s="158">
        <f t="shared" si="41"/>
        <v>4385.9649122807014</v>
      </c>
      <c r="G109" s="160">
        <f t="shared" si="42"/>
        <v>4385.9649122807014</v>
      </c>
      <c r="AA109" s="2">
        <f t="shared" si="50"/>
        <v>80</v>
      </c>
      <c r="AC109" s="9" t="str">
        <f t="shared" si="60"/>
        <v/>
      </c>
      <c r="AD109" s="9">
        <f t="shared" si="49"/>
        <v>4385.9649122807014</v>
      </c>
      <c r="AF109" s="2" t="str">
        <f t="shared" si="51"/>
        <v/>
      </c>
      <c r="AG109" s="9" t="str">
        <f t="shared" si="52"/>
        <v/>
      </c>
      <c r="AH109" s="9" t="str">
        <f t="shared" si="53"/>
        <v/>
      </c>
      <c r="AL109" s="23">
        <f t="shared" si="55"/>
        <v>0</v>
      </c>
      <c r="AM109" s="23">
        <f t="shared" si="59"/>
        <v>0</v>
      </c>
      <c r="AN109" s="23">
        <f t="shared" si="56"/>
        <v>0</v>
      </c>
      <c r="AO109" s="23">
        <f t="shared" si="58"/>
        <v>0</v>
      </c>
      <c r="AP109" s="23">
        <v>0</v>
      </c>
      <c r="AQ109" s="23">
        <v>0</v>
      </c>
      <c r="AR109" s="23">
        <v>0</v>
      </c>
      <c r="AU109" s="23">
        <f t="shared" si="47"/>
        <v>4385.9649122807014</v>
      </c>
      <c r="AV109" s="23">
        <f t="shared" si="45"/>
        <v>4385.9649122807014</v>
      </c>
      <c r="AW109" s="23">
        <f>$E$23/($B$17-$B$16)*2</f>
        <v>8771.9298245614027</v>
      </c>
      <c r="AX109" s="23">
        <v>0</v>
      </c>
      <c r="AY109" s="23">
        <v>0</v>
      </c>
      <c r="AZ109" s="23">
        <v>0</v>
      </c>
    </row>
    <row r="110" spans="1:52" x14ac:dyDescent="0.25">
      <c r="A110" s="68">
        <f t="shared" si="36"/>
        <v>87</v>
      </c>
      <c r="B110" s="68" t="str">
        <f t="shared" si="37"/>
        <v>amortização</v>
      </c>
      <c r="C110" s="156">
        <f t="shared" si="38"/>
        <v>0</v>
      </c>
      <c r="D110" s="156">
        <f t="shared" si="39"/>
        <v>4385.9649122807014</v>
      </c>
      <c r="E110" s="157">
        <f t="shared" si="40"/>
        <v>671052.63157894951</v>
      </c>
      <c r="F110" s="158">
        <f t="shared" si="41"/>
        <v>4385.9649122807014</v>
      </c>
      <c r="G110" s="160">
        <f t="shared" si="42"/>
        <v>4385.9649122807014</v>
      </c>
      <c r="AA110" s="2">
        <f t="shared" si="50"/>
        <v>81</v>
      </c>
      <c r="AC110" s="9" t="str">
        <f t="shared" si="60"/>
        <v/>
      </c>
      <c r="AD110" s="9">
        <f t="shared" si="49"/>
        <v>4385.9649122807014</v>
      </c>
      <c r="AF110" s="2" t="str">
        <f t="shared" si="51"/>
        <v/>
      </c>
      <c r="AG110" s="9" t="str">
        <f t="shared" si="52"/>
        <v/>
      </c>
      <c r="AH110" s="9" t="str">
        <f t="shared" si="53"/>
        <v/>
      </c>
      <c r="AL110" s="23">
        <f t="shared" si="55"/>
        <v>0</v>
      </c>
      <c r="AM110" s="23">
        <f t="shared" si="59"/>
        <v>0</v>
      </c>
      <c r="AN110" s="23">
        <f t="shared" si="56"/>
        <v>0</v>
      </c>
      <c r="AO110" s="23">
        <v>0</v>
      </c>
      <c r="AP110" s="23">
        <f t="shared" ref="AP110:AP116" si="61">E107*((1+$C$23)^3-1)</f>
        <v>0</v>
      </c>
      <c r="AQ110" s="23">
        <v>0</v>
      </c>
      <c r="AR110" s="23">
        <v>0</v>
      </c>
      <c r="AU110" s="23">
        <f t="shared" si="47"/>
        <v>4385.9649122807014</v>
      </c>
      <c r="AV110" s="23">
        <f t="shared" si="45"/>
        <v>4385.9649122807014</v>
      </c>
      <c r="AW110" s="23">
        <v>0</v>
      </c>
      <c r="AX110" s="23">
        <f>$E$23/($B$17-$B$16)*3</f>
        <v>13157.894736842103</v>
      </c>
      <c r="AY110" s="23">
        <v>0</v>
      </c>
      <c r="AZ110" s="23">
        <v>0</v>
      </c>
    </row>
    <row r="111" spans="1:52" x14ac:dyDescent="0.25">
      <c r="A111" s="68">
        <f t="shared" si="36"/>
        <v>88</v>
      </c>
      <c r="B111" s="68" t="str">
        <f t="shared" si="37"/>
        <v>amortização</v>
      </c>
      <c r="C111" s="156">
        <f t="shared" si="38"/>
        <v>0</v>
      </c>
      <c r="D111" s="156">
        <f t="shared" si="39"/>
        <v>4385.9649122807014</v>
      </c>
      <c r="E111" s="157">
        <f t="shared" si="40"/>
        <v>666666.66666666884</v>
      </c>
      <c r="F111" s="158">
        <f t="shared" si="41"/>
        <v>4385.9649122807014</v>
      </c>
      <c r="G111" s="160">
        <f t="shared" si="42"/>
        <v>4385.9649122807014</v>
      </c>
      <c r="AA111" s="2">
        <f t="shared" si="50"/>
        <v>82</v>
      </c>
      <c r="AC111" s="9" t="str">
        <f t="shared" si="60"/>
        <v/>
      </c>
      <c r="AD111" s="9">
        <f t="shared" si="49"/>
        <v>4385.9649122807014</v>
      </c>
      <c r="AF111" s="2" t="str">
        <f t="shared" si="51"/>
        <v/>
      </c>
      <c r="AG111" s="9" t="str">
        <f t="shared" si="52"/>
        <v/>
      </c>
      <c r="AH111" s="9" t="str">
        <f t="shared" si="53"/>
        <v/>
      </c>
      <c r="AL111" s="23">
        <f t="shared" si="55"/>
        <v>0</v>
      </c>
      <c r="AM111" s="23">
        <f t="shared" si="59"/>
        <v>0</v>
      </c>
      <c r="AN111" s="23">
        <f t="shared" si="56"/>
        <v>0</v>
      </c>
      <c r="AO111" s="23">
        <f t="shared" si="58"/>
        <v>0</v>
      </c>
      <c r="AP111" s="23">
        <v>0</v>
      </c>
      <c r="AQ111" s="23">
        <v>0</v>
      </c>
      <c r="AR111" s="23">
        <v>0</v>
      </c>
      <c r="AU111" s="23">
        <f t="shared" si="47"/>
        <v>4385.9649122807014</v>
      </c>
      <c r="AV111" s="23">
        <f t="shared" si="45"/>
        <v>4385.9649122807014</v>
      </c>
      <c r="AW111" s="23">
        <f>$E$23/($B$17-$B$16)*2</f>
        <v>8771.9298245614027</v>
      </c>
      <c r="AX111" s="23">
        <v>0</v>
      </c>
      <c r="AY111" s="23">
        <v>0</v>
      </c>
      <c r="AZ111" s="23">
        <v>0</v>
      </c>
    </row>
    <row r="112" spans="1:52" x14ac:dyDescent="0.25">
      <c r="A112" s="68">
        <f t="shared" si="36"/>
        <v>89</v>
      </c>
      <c r="B112" s="68" t="str">
        <f t="shared" si="37"/>
        <v>amortização</v>
      </c>
      <c r="C112" s="156">
        <f t="shared" si="38"/>
        <v>0</v>
      </c>
      <c r="D112" s="156">
        <f t="shared" si="39"/>
        <v>4385.9649122807014</v>
      </c>
      <c r="E112" s="157">
        <f t="shared" si="40"/>
        <v>662280.70175438817</v>
      </c>
      <c r="F112" s="158">
        <f t="shared" si="41"/>
        <v>4385.9649122807014</v>
      </c>
      <c r="G112" s="160">
        <f t="shared" si="42"/>
        <v>4385.9649122807014</v>
      </c>
      <c r="AA112" s="2">
        <f t="shared" si="50"/>
        <v>83</v>
      </c>
      <c r="AC112" s="9" t="str">
        <f t="shared" si="60"/>
        <v/>
      </c>
      <c r="AD112" s="9">
        <f t="shared" si="49"/>
        <v>4385.9649122807014</v>
      </c>
      <c r="AF112" s="2" t="str">
        <f t="shared" si="51"/>
        <v/>
      </c>
      <c r="AG112" s="9" t="str">
        <f t="shared" si="52"/>
        <v/>
      </c>
      <c r="AH112" s="9" t="str">
        <f t="shared" si="53"/>
        <v/>
      </c>
      <c r="AL112" s="23">
        <f t="shared" si="55"/>
        <v>0</v>
      </c>
      <c r="AM112" s="23">
        <f t="shared" si="59"/>
        <v>0</v>
      </c>
      <c r="AN112" s="23">
        <f t="shared" si="56"/>
        <v>0</v>
      </c>
      <c r="AO112" s="23">
        <v>0</v>
      </c>
      <c r="AP112" s="23">
        <v>0</v>
      </c>
      <c r="AQ112" s="23">
        <v>0</v>
      </c>
      <c r="AR112" s="23">
        <v>0</v>
      </c>
      <c r="AU112" s="23">
        <f t="shared" si="47"/>
        <v>4385.9649122807014</v>
      </c>
      <c r="AV112" s="23">
        <f t="shared" si="45"/>
        <v>4385.9649122807014</v>
      </c>
      <c r="AW112" s="23">
        <v>0</v>
      </c>
      <c r="AX112" s="23">
        <v>0</v>
      </c>
      <c r="AY112" s="23">
        <v>0</v>
      </c>
      <c r="AZ112" s="23">
        <v>0</v>
      </c>
    </row>
    <row r="113" spans="1:52" x14ac:dyDescent="0.25">
      <c r="A113" s="68">
        <f t="shared" si="36"/>
        <v>90</v>
      </c>
      <c r="B113" s="68" t="str">
        <f t="shared" si="37"/>
        <v>amortização</v>
      </c>
      <c r="C113" s="156">
        <f t="shared" si="38"/>
        <v>0</v>
      </c>
      <c r="D113" s="156">
        <f t="shared" si="39"/>
        <v>4385.9649122807014</v>
      </c>
      <c r="E113" s="157">
        <f t="shared" si="40"/>
        <v>657894.73684210749</v>
      </c>
      <c r="F113" s="158">
        <f t="shared" si="41"/>
        <v>4385.9649122807014</v>
      </c>
      <c r="G113" s="160">
        <f t="shared" si="42"/>
        <v>4385.9649122807014</v>
      </c>
      <c r="AA113" s="2">
        <f t="shared" si="50"/>
        <v>84</v>
      </c>
      <c r="AC113" s="9" t="str">
        <f t="shared" si="60"/>
        <v/>
      </c>
      <c r="AD113" s="9">
        <f t="shared" si="49"/>
        <v>4385.9649122807014</v>
      </c>
      <c r="AF113" s="2" t="str">
        <f t="shared" si="51"/>
        <v/>
      </c>
      <c r="AG113" s="9" t="str">
        <f t="shared" si="52"/>
        <v/>
      </c>
      <c r="AH113" s="9" t="str">
        <f t="shared" si="53"/>
        <v/>
      </c>
      <c r="AL113" s="23">
        <f t="shared" si="55"/>
        <v>0</v>
      </c>
      <c r="AM113" s="23">
        <f t="shared" si="59"/>
        <v>0</v>
      </c>
      <c r="AN113" s="23">
        <f t="shared" si="56"/>
        <v>0</v>
      </c>
      <c r="AO113" s="23">
        <f t="shared" si="58"/>
        <v>0</v>
      </c>
      <c r="AP113" s="23">
        <f t="shared" si="61"/>
        <v>0</v>
      </c>
      <c r="AQ113" s="23">
        <f t="shared" ref="AQ113" si="62">E107*((1+$C$23)^6-1)</f>
        <v>0</v>
      </c>
      <c r="AR113" s="23">
        <v>0</v>
      </c>
      <c r="AU113" s="23">
        <f t="shared" si="47"/>
        <v>4385.9649122807014</v>
      </c>
      <c r="AV113" s="23">
        <f t="shared" si="45"/>
        <v>4385.9649122807014</v>
      </c>
      <c r="AW113" s="23">
        <f>$E$23/($B$17-$B$16)*2</f>
        <v>8771.9298245614027</v>
      </c>
      <c r="AX113" s="23">
        <f>$E$23/($B$17-$B$16)*3</f>
        <v>13157.894736842103</v>
      </c>
      <c r="AY113" s="23">
        <f>$E$23/($B$17-$B$16)*6</f>
        <v>26315.789473684206</v>
      </c>
      <c r="AZ113" s="23">
        <v>0</v>
      </c>
    </row>
    <row r="114" spans="1:52" x14ac:dyDescent="0.25">
      <c r="A114" s="68">
        <f t="shared" si="36"/>
        <v>91</v>
      </c>
      <c r="B114" s="68" t="str">
        <f t="shared" si="37"/>
        <v>amortização</v>
      </c>
      <c r="C114" s="156">
        <f t="shared" si="38"/>
        <v>0</v>
      </c>
      <c r="D114" s="156">
        <f t="shared" si="39"/>
        <v>4385.9649122807014</v>
      </c>
      <c r="E114" s="157">
        <f t="shared" si="40"/>
        <v>653508.77192982682</v>
      </c>
      <c r="F114" s="158">
        <f t="shared" si="41"/>
        <v>4385.9649122807014</v>
      </c>
      <c r="G114" s="160">
        <f t="shared" si="42"/>
        <v>4385.9649122807014</v>
      </c>
      <c r="AA114" s="2">
        <f t="shared" si="50"/>
        <v>85</v>
      </c>
      <c r="AC114" s="9" t="str">
        <f t="shared" si="60"/>
        <v/>
      </c>
      <c r="AD114" s="9">
        <f t="shared" si="49"/>
        <v>4385.9649122807014</v>
      </c>
      <c r="AF114" s="2" t="str">
        <f t="shared" si="51"/>
        <v/>
      </c>
      <c r="AG114" s="9" t="str">
        <f t="shared" si="52"/>
        <v/>
      </c>
      <c r="AH114" s="9" t="str">
        <f t="shared" si="53"/>
        <v/>
      </c>
      <c r="AL114" s="23">
        <f t="shared" si="55"/>
        <v>0</v>
      </c>
      <c r="AM114" s="23">
        <f t="shared" si="59"/>
        <v>0</v>
      </c>
      <c r="AN114" s="23">
        <f t="shared" si="56"/>
        <v>0</v>
      </c>
      <c r="AO114" s="23">
        <v>0</v>
      </c>
      <c r="AP114" s="23">
        <v>0</v>
      </c>
      <c r="AQ114" s="23">
        <v>0</v>
      </c>
      <c r="AR114" s="23">
        <v>0</v>
      </c>
      <c r="AU114" s="23">
        <f t="shared" si="47"/>
        <v>4385.9649122807014</v>
      </c>
      <c r="AV114" s="23">
        <f t="shared" si="45"/>
        <v>4385.9649122807014</v>
      </c>
      <c r="AW114" s="23">
        <v>0</v>
      </c>
      <c r="AX114" s="23">
        <v>0</v>
      </c>
      <c r="AY114" s="23">
        <v>0</v>
      </c>
      <c r="AZ114" s="23">
        <v>0</v>
      </c>
    </row>
    <row r="115" spans="1:52" x14ac:dyDescent="0.25">
      <c r="A115" s="68">
        <f t="shared" si="36"/>
        <v>92</v>
      </c>
      <c r="B115" s="68" t="str">
        <f t="shared" si="37"/>
        <v>amortização</v>
      </c>
      <c r="C115" s="156">
        <f t="shared" si="38"/>
        <v>0</v>
      </c>
      <c r="D115" s="156">
        <f t="shared" si="39"/>
        <v>4385.9649122807014</v>
      </c>
      <c r="E115" s="157">
        <f t="shared" si="40"/>
        <v>649122.80701754615</v>
      </c>
      <c r="F115" s="158">
        <f t="shared" si="41"/>
        <v>4385.9649122807014</v>
      </c>
      <c r="G115" s="160">
        <f t="shared" si="42"/>
        <v>4385.9649122807014</v>
      </c>
      <c r="AA115" s="2">
        <f t="shared" si="50"/>
        <v>86</v>
      </c>
      <c r="AC115" s="9" t="str">
        <f t="shared" si="60"/>
        <v/>
      </c>
      <c r="AD115" s="9">
        <f t="shared" si="49"/>
        <v>4385.9649122807014</v>
      </c>
      <c r="AF115" s="2" t="str">
        <f t="shared" si="51"/>
        <v/>
      </c>
      <c r="AG115" s="9" t="str">
        <f t="shared" si="52"/>
        <v/>
      </c>
      <c r="AH115" s="9" t="str">
        <f t="shared" si="53"/>
        <v/>
      </c>
      <c r="AL115" s="23">
        <f t="shared" si="55"/>
        <v>0</v>
      </c>
      <c r="AM115" s="23">
        <f t="shared" si="59"/>
        <v>0</v>
      </c>
      <c r="AN115" s="23">
        <f t="shared" si="56"/>
        <v>0</v>
      </c>
      <c r="AO115" s="23">
        <f t="shared" ref="AO115:AO127" si="63">E113*((1+$C$23)^2-1)</f>
        <v>0</v>
      </c>
      <c r="AP115" s="23">
        <v>0</v>
      </c>
      <c r="AQ115" s="23">
        <v>0</v>
      </c>
      <c r="AR115" s="23">
        <v>0</v>
      </c>
      <c r="AU115" s="23">
        <f t="shared" si="47"/>
        <v>4385.9649122807014</v>
      </c>
      <c r="AV115" s="23">
        <f t="shared" si="45"/>
        <v>4385.9649122807014</v>
      </c>
      <c r="AW115" s="23">
        <f>$E$23/($B$17-$B$16)*2</f>
        <v>8771.9298245614027</v>
      </c>
      <c r="AX115" s="23">
        <v>0</v>
      </c>
      <c r="AY115" s="23">
        <v>0</v>
      </c>
      <c r="AZ115" s="23">
        <v>0</v>
      </c>
    </row>
    <row r="116" spans="1:52" x14ac:dyDescent="0.25">
      <c r="A116" s="68">
        <f t="shared" si="36"/>
        <v>93</v>
      </c>
      <c r="B116" s="68" t="str">
        <f t="shared" si="37"/>
        <v>amortização</v>
      </c>
      <c r="C116" s="156">
        <f t="shared" si="38"/>
        <v>0</v>
      </c>
      <c r="D116" s="156">
        <f t="shared" si="39"/>
        <v>4385.9649122807014</v>
      </c>
      <c r="E116" s="157">
        <f t="shared" si="40"/>
        <v>644736.84210526547</v>
      </c>
      <c r="F116" s="158">
        <f t="shared" si="41"/>
        <v>4385.9649122807014</v>
      </c>
      <c r="G116" s="160">
        <f t="shared" si="42"/>
        <v>4385.9649122807014</v>
      </c>
      <c r="AA116" s="2">
        <f t="shared" si="50"/>
        <v>87</v>
      </c>
      <c r="AC116" s="9" t="str">
        <f t="shared" si="60"/>
        <v/>
      </c>
      <c r="AD116" s="9">
        <f t="shared" si="49"/>
        <v>4385.9649122807014</v>
      </c>
      <c r="AF116" s="2" t="str">
        <f t="shared" si="51"/>
        <v/>
      </c>
      <c r="AG116" s="9" t="str">
        <f t="shared" si="52"/>
        <v/>
      </c>
      <c r="AH116" s="9" t="str">
        <f t="shared" si="53"/>
        <v/>
      </c>
      <c r="AL116" s="23">
        <f t="shared" si="55"/>
        <v>0</v>
      </c>
      <c r="AM116" s="23">
        <f t="shared" si="59"/>
        <v>0</v>
      </c>
      <c r="AN116" s="23">
        <f t="shared" si="56"/>
        <v>0</v>
      </c>
      <c r="AO116" s="23">
        <v>0</v>
      </c>
      <c r="AP116" s="23">
        <f t="shared" si="61"/>
        <v>0</v>
      </c>
      <c r="AQ116" s="23">
        <v>0</v>
      </c>
      <c r="AR116" s="23">
        <v>0</v>
      </c>
      <c r="AU116" s="23">
        <f t="shared" si="47"/>
        <v>4385.9649122807014</v>
      </c>
      <c r="AV116" s="23">
        <f t="shared" si="45"/>
        <v>4385.9649122807014</v>
      </c>
      <c r="AW116" s="23">
        <v>0</v>
      </c>
      <c r="AX116" s="23">
        <f>$E$23/($B$17-$B$16)*3</f>
        <v>13157.894736842103</v>
      </c>
      <c r="AY116" s="23">
        <v>0</v>
      </c>
      <c r="AZ116" s="23">
        <v>0</v>
      </c>
    </row>
    <row r="117" spans="1:52" x14ac:dyDescent="0.25">
      <c r="A117" s="68">
        <f t="shared" si="36"/>
        <v>94</v>
      </c>
      <c r="B117" s="68" t="str">
        <f t="shared" si="37"/>
        <v>amortização</v>
      </c>
      <c r="C117" s="156">
        <f t="shared" si="38"/>
        <v>0</v>
      </c>
      <c r="D117" s="156">
        <f t="shared" si="39"/>
        <v>4385.9649122807014</v>
      </c>
      <c r="E117" s="157">
        <f t="shared" si="40"/>
        <v>640350.8771929848</v>
      </c>
      <c r="F117" s="158">
        <f t="shared" si="41"/>
        <v>4385.9649122807014</v>
      </c>
      <c r="G117" s="160">
        <f t="shared" si="42"/>
        <v>4385.9649122807014</v>
      </c>
      <c r="AA117" s="2">
        <f t="shared" si="50"/>
        <v>88</v>
      </c>
      <c r="AC117" s="9" t="str">
        <f t="shared" si="60"/>
        <v/>
      </c>
      <c r="AD117" s="9">
        <f t="shared" si="49"/>
        <v>4385.9649122807014</v>
      </c>
      <c r="AF117" s="2" t="str">
        <f t="shared" si="51"/>
        <v/>
      </c>
      <c r="AG117" s="9" t="str">
        <f t="shared" si="52"/>
        <v/>
      </c>
      <c r="AH117" s="9" t="str">
        <f t="shared" si="53"/>
        <v/>
      </c>
      <c r="AL117" s="23">
        <f t="shared" si="55"/>
        <v>0</v>
      </c>
      <c r="AM117" s="23">
        <f t="shared" si="59"/>
        <v>0</v>
      </c>
      <c r="AN117" s="23">
        <f t="shared" si="56"/>
        <v>0</v>
      </c>
      <c r="AO117" s="23">
        <f t="shared" si="63"/>
        <v>0</v>
      </c>
      <c r="AP117" s="23">
        <v>0</v>
      </c>
      <c r="AQ117" s="23">
        <v>0</v>
      </c>
      <c r="AR117" s="23">
        <v>0</v>
      </c>
      <c r="AU117" s="23">
        <f t="shared" si="47"/>
        <v>4385.9649122807014</v>
      </c>
      <c r="AV117" s="23">
        <f t="shared" si="45"/>
        <v>4385.9649122807014</v>
      </c>
      <c r="AW117" s="23">
        <f>$E$23/($B$17-$B$16)*2</f>
        <v>8771.9298245614027</v>
      </c>
      <c r="AX117" s="23">
        <v>0</v>
      </c>
      <c r="AY117" s="23">
        <v>0</v>
      </c>
      <c r="AZ117" s="23">
        <v>0</v>
      </c>
    </row>
    <row r="118" spans="1:52" x14ac:dyDescent="0.25">
      <c r="A118" s="68">
        <f t="shared" si="36"/>
        <v>95</v>
      </c>
      <c r="B118" s="68" t="str">
        <f t="shared" si="37"/>
        <v>amortização</v>
      </c>
      <c r="C118" s="156">
        <f t="shared" si="38"/>
        <v>0</v>
      </c>
      <c r="D118" s="156">
        <f t="shared" si="39"/>
        <v>4385.9649122807014</v>
      </c>
      <c r="E118" s="157">
        <f t="shared" si="40"/>
        <v>635964.91228070413</v>
      </c>
      <c r="F118" s="158">
        <f t="shared" si="41"/>
        <v>4385.9649122807014</v>
      </c>
      <c r="G118" s="160">
        <f t="shared" si="42"/>
        <v>4385.9649122807014</v>
      </c>
      <c r="AA118" s="2">
        <f t="shared" si="50"/>
        <v>89</v>
      </c>
      <c r="AC118" s="9" t="str">
        <f t="shared" si="60"/>
        <v/>
      </c>
      <c r="AD118" s="9">
        <f t="shared" si="49"/>
        <v>4385.9649122807014</v>
      </c>
      <c r="AF118" s="2" t="str">
        <f t="shared" si="51"/>
        <v/>
      </c>
      <c r="AG118" s="9" t="str">
        <f t="shared" si="52"/>
        <v/>
      </c>
      <c r="AH118" s="9" t="str">
        <f t="shared" si="53"/>
        <v/>
      </c>
      <c r="AL118" s="23">
        <f t="shared" si="55"/>
        <v>0</v>
      </c>
      <c r="AM118" s="23">
        <f t="shared" si="59"/>
        <v>0</v>
      </c>
      <c r="AN118" s="23">
        <f t="shared" si="56"/>
        <v>0</v>
      </c>
      <c r="AO118" s="23">
        <v>0</v>
      </c>
      <c r="AP118" s="23">
        <v>0</v>
      </c>
      <c r="AQ118" s="23">
        <v>0</v>
      </c>
      <c r="AR118" s="23">
        <v>0</v>
      </c>
      <c r="AU118" s="23">
        <f t="shared" si="47"/>
        <v>4385.9649122807014</v>
      </c>
      <c r="AV118" s="23">
        <f t="shared" si="45"/>
        <v>4385.9649122807014</v>
      </c>
      <c r="AW118" s="23">
        <v>0</v>
      </c>
      <c r="AX118" s="23">
        <v>0</v>
      </c>
      <c r="AY118" s="23">
        <v>0</v>
      </c>
      <c r="AZ118" s="23">
        <v>0</v>
      </c>
    </row>
    <row r="119" spans="1:52" x14ac:dyDescent="0.25">
      <c r="A119" s="68">
        <f t="shared" si="36"/>
        <v>96</v>
      </c>
      <c r="B119" s="68" t="str">
        <f t="shared" si="37"/>
        <v>amortização</v>
      </c>
      <c r="C119" s="156">
        <f t="shared" si="38"/>
        <v>0</v>
      </c>
      <c r="D119" s="156">
        <f t="shared" si="39"/>
        <v>4385.9649122807014</v>
      </c>
      <c r="E119" s="157">
        <f t="shared" si="40"/>
        <v>631578.94736842345</v>
      </c>
      <c r="F119" s="158">
        <f t="shared" si="41"/>
        <v>4385.9649122807014</v>
      </c>
      <c r="G119" s="160">
        <f t="shared" si="42"/>
        <v>4385.9649122807014</v>
      </c>
      <c r="AA119" s="2">
        <f t="shared" si="50"/>
        <v>90</v>
      </c>
      <c r="AC119" s="9" t="str">
        <f t="shared" si="60"/>
        <v/>
      </c>
      <c r="AD119" s="9">
        <f t="shared" si="49"/>
        <v>4385.9649122807014</v>
      </c>
      <c r="AF119" s="2" t="str">
        <f t="shared" si="51"/>
        <v/>
      </c>
      <c r="AG119" s="9" t="str">
        <f t="shared" si="52"/>
        <v/>
      </c>
      <c r="AH119" s="9" t="str">
        <f t="shared" si="53"/>
        <v/>
      </c>
      <c r="AL119" s="23">
        <f t="shared" si="55"/>
        <v>0</v>
      </c>
      <c r="AM119" s="23">
        <f t="shared" si="59"/>
        <v>0</v>
      </c>
      <c r="AN119" s="23">
        <f t="shared" si="56"/>
        <v>0</v>
      </c>
      <c r="AO119" s="23">
        <f t="shared" si="63"/>
        <v>0</v>
      </c>
      <c r="AP119" s="23">
        <f t="shared" ref="AP119:AP131" si="64">E116*((1+$C$23)^3-1)</f>
        <v>0</v>
      </c>
      <c r="AQ119" s="23">
        <f t="shared" ref="AQ119" si="65">E113*((1+$C$23)^6-1)</f>
        <v>0</v>
      </c>
      <c r="AR119" s="23">
        <f>E107*((1+$C$23)^12-1)</f>
        <v>0</v>
      </c>
      <c r="AU119" s="23">
        <f t="shared" si="47"/>
        <v>4385.9649122807014</v>
      </c>
      <c r="AV119" s="23">
        <f t="shared" si="45"/>
        <v>4385.9649122807014</v>
      </c>
      <c r="AW119" s="23">
        <f>$E$23/($B$17-$B$16)*2</f>
        <v>8771.9298245614027</v>
      </c>
      <c r="AX119" s="23">
        <f>$E$23/($B$17-$B$16)*3</f>
        <v>13157.894736842103</v>
      </c>
      <c r="AY119" s="23">
        <f>$E$23/($B$17-$B$16)*6</f>
        <v>26315.789473684206</v>
      </c>
      <c r="AZ119" s="23">
        <f>$E$23/($B$17-$B$16)*12</f>
        <v>52631.578947368413</v>
      </c>
    </row>
    <row r="120" spans="1:52" x14ac:dyDescent="0.25">
      <c r="A120" s="68">
        <f t="shared" si="36"/>
        <v>97</v>
      </c>
      <c r="B120" s="68" t="str">
        <f t="shared" si="37"/>
        <v>amortização</v>
      </c>
      <c r="C120" s="156">
        <f t="shared" si="38"/>
        <v>0</v>
      </c>
      <c r="D120" s="156">
        <f t="shared" si="39"/>
        <v>4385.9649122807014</v>
      </c>
      <c r="E120" s="157">
        <f t="shared" si="40"/>
        <v>627192.98245614278</v>
      </c>
      <c r="F120" s="158">
        <f t="shared" si="41"/>
        <v>4385.9649122807014</v>
      </c>
      <c r="G120" s="160">
        <f t="shared" si="42"/>
        <v>4385.9649122807014</v>
      </c>
      <c r="AA120" s="2">
        <f t="shared" si="50"/>
        <v>91</v>
      </c>
      <c r="AC120" s="9" t="str">
        <f t="shared" si="60"/>
        <v/>
      </c>
      <c r="AD120" s="9">
        <f t="shared" si="49"/>
        <v>4385.9649122807014</v>
      </c>
      <c r="AF120" s="2" t="str">
        <f t="shared" si="51"/>
        <v/>
      </c>
      <c r="AG120" s="9" t="str">
        <f t="shared" si="52"/>
        <v/>
      </c>
      <c r="AH120" s="9" t="str">
        <f t="shared" si="53"/>
        <v/>
      </c>
      <c r="AL120" s="23">
        <f t="shared" si="55"/>
        <v>0</v>
      </c>
      <c r="AM120" s="23">
        <f t="shared" si="59"/>
        <v>0</v>
      </c>
      <c r="AN120" s="23">
        <f t="shared" si="56"/>
        <v>0</v>
      </c>
      <c r="AO120" s="23">
        <v>0</v>
      </c>
      <c r="AP120" s="23">
        <v>0</v>
      </c>
      <c r="AQ120" s="23">
        <v>0</v>
      </c>
      <c r="AR120" s="23">
        <v>0</v>
      </c>
      <c r="AU120" s="23">
        <f t="shared" si="47"/>
        <v>4385.9649122807014</v>
      </c>
      <c r="AV120" s="23">
        <f t="shared" si="45"/>
        <v>4385.9649122807014</v>
      </c>
      <c r="AW120" s="23">
        <v>0</v>
      </c>
      <c r="AX120" s="23">
        <v>0</v>
      </c>
      <c r="AY120" s="23">
        <v>0</v>
      </c>
      <c r="AZ120" s="23">
        <v>0</v>
      </c>
    </row>
    <row r="121" spans="1:52" x14ac:dyDescent="0.25">
      <c r="A121" s="68">
        <f t="shared" si="36"/>
        <v>98</v>
      </c>
      <c r="B121" s="68" t="str">
        <f t="shared" si="37"/>
        <v>amortização</v>
      </c>
      <c r="C121" s="156">
        <f t="shared" si="38"/>
        <v>0</v>
      </c>
      <c r="D121" s="156">
        <f t="shared" si="39"/>
        <v>4385.9649122807014</v>
      </c>
      <c r="E121" s="157">
        <f t="shared" si="40"/>
        <v>622807.01754386211</v>
      </c>
      <c r="F121" s="158">
        <f t="shared" si="41"/>
        <v>4385.9649122807014</v>
      </c>
      <c r="G121" s="160">
        <f t="shared" si="42"/>
        <v>4385.9649122807014</v>
      </c>
      <c r="AA121" s="2">
        <f t="shared" si="50"/>
        <v>92</v>
      </c>
      <c r="AC121" s="9" t="str">
        <f t="shared" si="60"/>
        <v/>
      </c>
      <c r="AD121" s="9">
        <f t="shared" si="49"/>
        <v>4385.9649122807014</v>
      </c>
      <c r="AF121" s="2" t="str">
        <f t="shared" si="51"/>
        <v/>
      </c>
      <c r="AG121" s="9" t="str">
        <f t="shared" si="52"/>
        <v/>
      </c>
      <c r="AH121" s="9" t="str">
        <f t="shared" si="53"/>
        <v/>
      </c>
      <c r="AL121" s="23">
        <f t="shared" si="55"/>
        <v>0</v>
      </c>
      <c r="AM121" s="23">
        <f t="shared" si="59"/>
        <v>0</v>
      </c>
      <c r="AN121" s="23">
        <f t="shared" si="56"/>
        <v>0</v>
      </c>
      <c r="AO121" s="23">
        <f t="shared" si="63"/>
        <v>0</v>
      </c>
      <c r="AP121" s="23">
        <v>0</v>
      </c>
      <c r="AQ121" s="23">
        <v>0</v>
      </c>
      <c r="AR121" s="23">
        <v>0</v>
      </c>
      <c r="AU121" s="23">
        <f t="shared" si="47"/>
        <v>4385.9649122807014</v>
      </c>
      <c r="AV121" s="23">
        <f t="shared" si="45"/>
        <v>4385.9649122807014</v>
      </c>
      <c r="AW121" s="23">
        <f>$E$23/($B$17-$B$16)*2</f>
        <v>8771.9298245614027</v>
      </c>
      <c r="AX121" s="23">
        <v>0</v>
      </c>
      <c r="AY121" s="23">
        <v>0</v>
      </c>
      <c r="AZ121" s="23">
        <v>0</v>
      </c>
    </row>
    <row r="122" spans="1:52" x14ac:dyDescent="0.25">
      <c r="A122" s="68">
        <f t="shared" si="36"/>
        <v>99</v>
      </c>
      <c r="B122" s="68" t="str">
        <f t="shared" si="37"/>
        <v>amortização</v>
      </c>
      <c r="C122" s="156">
        <f t="shared" si="38"/>
        <v>0</v>
      </c>
      <c r="D122" s="156">
        <f t="shared" si="39"/>
        <v>4385.9649122807014</v>
      </c>
      <c r="E122" s="157">
        <f t="shared" si="40"/>
        <v>618421.05263158143</v>
      </c>
      <c r="F122" s="158">
        <f t="shared" si="41"/>
        <v>4385.9649122807014</v>
      </c>
      <c r="G122" s="160">
        <f t="shared" si="42"/>
        <v>4385.9649122807014</v>
      </c>
      <c r="AA122" s="2">
        <f t="shared" si="50"/>
        <v>93</v>
      </c>
      <c r="AC122" s="9" t="str">
        <f t="shared" si="60"/>
        <v/>
      </c>
      <c r="AD122" s="9">
        <f t="shared" si="49"/>
        <v>4385.9649122807014</v>
      </c>
      <c r="AF122" s="2" t="str">
        <f t="shared" si="51"/>
        <v/>
      </c>
      <c r="AG122" s="9" t="str">
        <f t="shared" si="52"/>
        <v/>
      </c>
      <c r="AH122" s="9" t="str">
        <f t="shared" si="53"/>
        <v/>
      </c>
      <c r="AL122" s="23">
        <f t="shared" si="55"/>
        <v>0</v>
      </c>
      <c r="AM122" s="23">
        <f t="shared" si="59"/>
        <v>0</v>
      </c>
      <c r="AN122" s="23">
        <f t="shared" si="56"/>
        <v>0</v>
      </c>
      <c r="AO122" s="23">
        <v>0</v>
      </c>
      <c r="AP122" s="23">
        <f t="shared" si="64"/>
        <v>0</v>
      </c>
      <c r="AQ122" s="23">
        <v>0</v>
      </c>
      <c r="AR122" s="23">
        <v>0</v>
      </c>
      <c r="AU122" s="23">
        <f t="shared" si="47"/>
        <v>4385.9649122807014</v>
      </c>
      <c r="AV122" s="23">
        <f t="shared" si="45"/>
        <v>4385.9649122807014</v>
      </c>
      <c r="AW122" s="23">
        <v>0</v>
      </c>
      <c r="AX122" s="23">
        <f>$E$23/($B$17-$B$16)*3</f>
        <v>13157.894736842103</v>
      </c>
      <c r="AY122" s="23">
        <v>0</v>
      </c>
      <c r="AZ122" s="23">
        <v>0</v>
      </c>
    </row>
    <row r="123" spans="1:52" x14ac:dyDescent="0.25">
      <c r="A123" s="68">
        <f t="shared" si="36"/>
        <v>100</v>
      </c>
      <c r="B123" s="68" t="str">
        <f t="shared" si="37"/>
        <v>amortização</v>
      </c>
      <c r="C123" s="156">
        <f t="shared" si="38"/>
        <v>0</v>
      </c>
      <c r="D123" s="156">
        <f t="shared" si="39"/>
        <v>4385.9649122807014</v>
      </c>
      <c r="E123" s="157">
        <f t="shared" si="40"/>
        <v>614035.08771930076</v>
      </c>
      <c r="F123" s="158">
        <f t="shared" si="41"/>
        <v>4385.9649122807014</v>
      </c>
      <c r="G123" s="160">
        <f t="shared" si="42"/>
        <v>4385.9649122807014</v>
      </c>
      <c r="AA123" s="2">
        <f t="shared" si="50"/>
        <v>94</v>
      </c>
      <c r="AC123" s="9" t="str">
        <f t="shared" si="60"/>
        <v/>
      </c>
      <c r="AD123" s="9">
        <f t="shared" si="49"/>
        <v>4385.9649122807014</v>
      </c>
      <c r="AF123" s="2" t="str">
        <f t="shared" si="51"/>
        <v/>
      </c>
      <c r="AG123" s="9" t="str">
        <f t="shared" si="52"/>
        <v/>
      </c>
      <c r="AH123" s="9" t="str">
        <f t="shared" si="53"/>
        <v/>
      </c>
      <c r="AL123" s="23">
        <f t="shared" si="55"/>
        <v>0</v>
      </c>
      <c r="AM123" s="23">
        <f t="shared" si="59"/>
        <v>0</v>
      </c>
      <c r="AN123" s="23">
        <f t="shared" si="56"/>
        <v>0</v>
      </c>
      <c r="AO123" s="23">
        <f t="shared" si="63"/>
        <v>0</v>
      </c>
      <c r="AP123" s="23">
        <v>0</v>
      </c>
      <c r="AQ123" s="23">
        <v>0</v>
      </c>
      <c r="AR123" s="23">
        <v>0</v>
      </c>
      <c r="AU123" s="23">
        <f t="shared" si="47"/>
        <v>4385.9649122807014</v>
      </c>
      <c r="AV123" s="23">
        <f t="shared" si="45"/>
        <v>4385.9649122807014</v>
      </c>
      <c r="AW123" s="23">
        <f>$E$23/($B$17-$B$16)*2</f>
        <v>8771.9298245614027</v>
      </c>
      <c r="AX123" s="23">
        <v>0</v>
      </c>
      <c r="AY123" s="23">
        <v>0</v>
      </c>
      <c r="AZ123" s="23">
        <v>0</v>
      </c>
    </row>
    <row r="124" spans="1:52" x14ac:dyDescent="0.25">
      <c r="A124" s="68">
        <f t="shared" si="36"/>
        <v>101</v>
      </c>
      <c r="B124" s="68" t="str">
        <f t="shared" si="37"/>
        <v>amortização</v>
      </c>
      <c r="C124" s="156">
        <f t="shared" si="38"/>
        <v>0</v>
      </c>
      <c r="D124" s="156">
        <f t="shared" si="39"/>
        <v>4385.9649122807014</v>
      </c>
      <c r="E124" s="157">
        <f t="shared" si="40"/>
        <v>609649.12280702009</v>
      </c>
      <c r="F124" s="158">
        <f t="shared" si="41"/>
        <v>4385.9649122807014</v>
      </c>
      <c r="G124" s="160">
        <f t="shared" si="42"/>
        <v>4385.9649122807014</v>
      </c>
      <c r="AA124" s="2">
        <f t="shared" si="50"/>
        <v>95</v>
      </c>
      <c r="AC124" s="9" t="str">
        <f t="shared" si="60"/>
        <v/>
      </c>
      <c r="AD124" s="9">
        <f t="shared" si="49"/>
        <v>4385.9649122807014</v>
      </c>
      <c r="AF124" s="2" t="str">
        <f t="shared" si="51"/>
        <v/>
      </c>
      <c r="AG124" s="9" t="str">
        <f t="shared" si="52"/>
        <v/>
      </c>
      <c r="AH124" s="9" t="str">
        <f t="shared" si="53"/>
        <v/>
      </c>
      <c r="AL124" s="23">
        <f t="shared" si="55"/>
        <v>0</v>
      </c>
      <c r="AM124" s="23">
        <f t="shared" si="59"/>
        <v>0</v>
      </c>
      <c r="AN124" s="23">
        <f>E123*$C$23</f>
        <v>0</v>
      </c>
      <c r="AO124" s="23">
        <v>0</v>
      </c>
      <c r="AP124" s="23">
        <v>0</v>
      </c>
      <c r="AQ124" s="23">
        <v>0</v>
      </c>
      <c r="AR124" s="23">
        <v>0</v>
      </c>
      <c r="AU124" s="23">
        <f t="shared" si="47"/>
        <v>4385.9649122807014</v>
      </c>
      <c r="AV124" s="23">
        <f t="shared" si="45"/>
        <v>4385.9649122807014</v>
      </c>
      <c r="AW124" s="23">
        <v>0</v>
      </c>
      <c r="AX124" s="23">
        <v>0</v>
      </c>
      <c r="AY124" s="23">
        <v>0</v>
      </c>
      <c r="AZ124" s="23">
        <v>0</v>
      </c>
    </row>
    <row r="125" spans="1:52" x14ac:dyDescent="0.25">
      <c r="A125" s="68">
        <f t="shared" si="36"/>
        <v>102</v>
      </c>
      <c r="B125" s="68" t="str">
        <f t="shared" si="37"/>
        <v>amortização</v>
      </c>
      <c r="C125" s="156">
        <f t="shared" si="38"/>
        <v>0</v>
      </c>
      <c r="D125" s="156">
        <f t="shared" si="39"/>
        <v>4385.9649122807014</v>
      </c>
      <c r="E125" s="157">
        <f t="shared" si="40"/>
        <v>605263.15789473942</v>
      </c>
      <c r="F125" s="158">
        <f t="shared" si="41"/>
        <v>4385.9649122807014</v>
      </c>
      <c r="G125" s="160">
        <f t="shared" si="42"/>
        <v>4385.9649122807014</v>
      </c>
      <c r="AA125" s="2">
        <f t="shared" si="50"/>
        <v>96</v>
      </c>
      <c r="AC125" s="9" t="str">
        <f t="shared" si="60"/>
        <v/>
      </c>
      <c r="AD125" s="9">
        <f t="shared" si="49"/>
        <v>4385.9649122807014</v>
      </c>
      <c r="AF125" s="2" t="str">
        <f t="shared" si="51"/>
        <v/>
      </c>
      <c r="AG125" s="9" t="str">
        <f t="shared" si="52"/>
        <v/>
      </c>
      <c r="AH125" s="9" t="str">
        <f t="shared" si="53"/>
        <v/>
      </c>
      <c r="AL125" s="23">
        <f t="shared" si="55"/>
        <v>0</v>
      </c>
      <c r="AM125" s="23">
        <f t="shared" si="59"/>
        <v>0</v>
      </c>
      <c r="AN125" s="23">
        <f t="shared" ref="AN125:AN148" si="66">E124*$C$23</f>
        <v>0</v>
      </c>
      <c r="AO125" s="23">
        <f t="shared" si="63"/>
        <v>0</v>
      </c>
      <c r="AP125" s="23">
        <f t="shared" si="64"/>
        <v>0</v>
      </c>
      <c r="AQ125" s="23">
        <f>E119*((1+$C$23)^6-1)</f>
        <v>0</v>
      </c>
      <c r="AR125" s="23">
        <v>0</v>
      </c>
      <c r="AU125" s="23">
        <f t="shared" si="47"/>
        <v>4385.9649122807014</v>
      </c>
      <c r="AV125" s="23">
        <f t="shared" si="45"/>
        <v>4385.9649122807014</v>
      </c>
      <c r="AW125" s="23">
        <f>$E$23/($B$17-$B$16)*2</f>
        <v>8771.9298245614027</v>
      </c>
      <c r="AX125" s="23">
        <f>$E$23/($B$17-$B$16)*3</f>
        <v>13157.894736842103</v>
      </c>
      <c r="AY125" s="23">
        <f>$E$23/($B$17-$B$16)*6</f>
        <v>26315.789473684206</v>
      </c>
      <c r="AZ125" s="23">
        <v>0</v>
      </c>
    </row>
    <row r="126" spans="1:52" x14ac:dyDescent="0.25">
      <c r="A126" s="68">
        <f t="shared" si="36"/>
        <v>103</v>
      </c>
      <c r="B126" s="68" t="str">
        <f t="shared" si="37"/>
        <v>amortização</v>
      </c>
      <c r="C126" s="156">
        <f t="shared" si="38"/>
        <v>0</v>
      </c>
      <c r="D126" s="156">
        <f t="shared" si="39"/>
        <v>4385.9649122807014</v>
      </c>
      <c r="E126" s="157">
        <f t="shared" si="40"/>
        <v>600877.19298245874</v>
      </c>
      <c r="F126" s="158">
        <f t="shared" si="41"/>
        <v>4385.9649122807014</v>
      </c>
      <c r="G126" s="160">
        <f t="shared" si="42"/>
        <v>4385.9649122807014</v>
      </c>
      <c r="AA126" s="2">
        <f t="shared" si="50"/>
        <v>97</v>
      </c>
      <c r="AC126" s="9" t="str">
        <f t="shared" si="60"/>
        <v/>
      </c>
      <c r="AD126" s="9">
        <f t="shared" si="49"/>
        <v>4385.9649122807014</v>
      </c>
      <c r="AF126" s="2" t="str">
        <f t="shared" si="51"/>
        <v/>
      </c>
      <c r="AG126" s="9" t="str">
        <f t="shared" si="52"/>
        <v/>
      </c>
      <c r="AH126" s="9" t="str">
        <f t="shared" si="53"/>
        <v/>
      </c>
      <c r="AL126" s="23">
        <f t="shared" si="55"/>
        <v>0</v>
      </c>
      <c r="AM126" s="23">
        <f t="shared" si="59"/>
        <v>0</v>
      </c>
      <c r="AN126" s="23">
        <f t="shared" si="66"/>
        <v>0</v>
      </c>
      <c r="AO126" s="23">
        <v>0</v>
      </c>
      <c r="AP126" s="23">
        <v>0</v>
      </c>
      <c r="AQ126" s="23">
        <v>0</v>
      </c>
      <c r="AR126" s="23">
        <v>0</v>
      </c>
      <c r="AU126" s="23">
        <f t="shared" si="47"/>
        <v>4385.9649122807014</v>
      </c>
      <c r="AV126" s="23">
        <f t="shared" si="45"/>
        <v>4385.9649122807014</v>
      </c>
      <c r="AW126" s="23">
        <v>0</v>
      </c>
      <c r="AX126" s="23">
        <v>0</v>
      </c>
      <c r="AY126" s="23">
        <v>0</v>
      </c>
      <c r="AZ126" s="23">
        <v>0</v>
      </c>
    </row>
    <row r="127" spans="1:52" x14ac:dyDescent="0.25">
      <c r="A127" s="68">
        <f t="shared" si="36"/>
        <v>104</v>
      </c>
      <c r="B127" s="68" t="str">
        <f t="shared" si="37"/>
        <v>amortização</v>
      </c>
      <c r="C127" s="156">
        <f t="shared" si="38"/>
        <v>0</v>
      </c>
      <c r="D127" s="156">
        <f t="shared" si="39"/>
        <v>4385.9649122807014</v>
      </c>
      <c r="E127" s="157">
        <f t="shared" si="40"/>
        <v>596491.22807017807</v>
      </c>
      <c r="F127" s="158">
        <f t="shared" si="41"/>
        <v>4385.9649122807014</v>
      </c>
      <c r="G127" s="160">
        <f t="shared" si="42"/>
        <v>4385.9649122807014</v>
      </c>
      <c r="AA127" s="2">
        <f t="shared" si="50"/>
        <v>98</v>
      </c>
      <c r="AC127" s="9" t="str">
        <f t="shared" si="60"/>
        <v/>
      </c>
      <c r="AD127" s="9">
        <f t="shared" si="49"/>
        <v>4385.9649122807014</v>
      </c>
      <c r="AF127" s="2" t="str">
        <f t="shared" si="51"/>
        <v/>
      </c>
      <c r="AG127" s="9" t="str">
        <f t="shared" si="52"/>
        <v/>
      </c>
      <c r="AH127" s="9" t="str">
        <f t="shared" si="53"/>
        <v/>
      </c>
      <c r="AL127" s="23">
        <f t="shared" si="55"/>
        <v>0</v>
      </c>
      <c r="AM127" s="23">
        <f t="shared" si="59"/>
        <v>0</v>
      </c>
      <c r="AN127" s="23">
        <f t="shared" si="66"/>
        <v>0</v>
      </c>
      <c r="AO127" s="23">
        <f t="shared" si="63"/>
        <v>0</v>
      </c>
      <c r="AP127" s="23">
        <v>0</v>
      </c>
      <c r="AQ127" s="23">
        <v>0</v>
      </c>
      <c r="AR127" s="23">
        <v>0</v>
      </c>
      <c r="AU127" s="23">
        <f t="shared" si="47"/>
        <v>4385.9649122807014</v>
      </c>
      <c r="AV127" s="23">
        <f t="shared" si="45"/>
        <v>4385.9649122807014</v>
      </c>
      <c r="AW127" s="23">
        <f>$E$23/($B$17-$B$16)*2</f>
        <v>8771.9298245614027</v>
      </c>
      <c r="AX127" s="23">
        <v>0</v>
      </c>
      <c r="AY127" s="23">
        <v>0</v>
      </c>
      <c r="AZ127" s="23">
        <v>0</v>
      </c>
    </row>
    <row r="128" spans="1:52" x14ac:dyDescent="0.25">
      <c r="A128" s="68">
        <f t="shared" si="36"/>
        <v>105</v>
      </c>
      <c r="B128" s="68" t="str">
        <f t="shared" si="37"/>
        <v>amortização</v>
      </c>
      <c r="C128" s="156">
        <f t="shared" si="38"/>
        <v>0</v>
      </c>
      <c r="D128" s="156">
        <f t="shared" si="39"/>
        <v>4385.9649122807014</v>
      </c>
      <c r="E128" s="157">
        <f t="shared" si="40"/>
        <v>592105.2631578974</v>
      </c>
      <c r="F128" s="158">
        <f t="shared" si="41"/>
        <v>4385.9649122807014</v>
      </c>
      <c r="G128" s="160">
        <f t="shared" si="42"/>
        <v>4385.9649122807014</v>
      </c>
      <c r="AA128" s="2">
        <f t="shared" si="50"/>
        <v>99</v>
      </c>
      <c r="AC128" s="9" t="str">
        <f t="shared" si="60"/>
        <v/>
      </c>
      <c r="AD128" s="9">
        <f t="shared" si="49"/>
        <v>4385.9649122807014</v>
      </c>
      <c r="AF128" s="2" t="str">
        <f t="shared" si="51"/>
        <v/>
      </c>
      <c r="AG128" s="9" t="str">
        <f t="shared" si="52"/>
        <v/>
      </c>
      <c r="AH128" s="9" t="str">
        <f t="shared" si="53"/>
        <v/>
      </c>
      <c r="AL128" s="23">
        <f t="shared" si="55"/>
        <v>0</v>
      </c>
      <c r="AM128" s="23">
        <f t="shared" si="59"/>
        <v>0</v>
      </c>
      <c r="AN128" s="23">
        <f t="shared" si="66"/>
        <v>0</v>
      </c>
      <c r="AO128" s="23">
        <v>0</v>
      </c>
      <c r="AP128" s="23">
        <f t="shared" si="64"/>
        <v>0</v>
      </c>
      <c r="AQ128" s="23">
        <v>0</v>
      </c>
      <c r="AR128" s="23">
        <v>0</v>
      </c>
      <c r="AU128" s="23">
        <f t="shared" si="47"/>
        <v>4385.9649122807014</v>
      </c>
      <c r="AV128" s="23">
        <f t="shared" si="45"/>
        <v>4385.9649122807014</v>
      </c>
      <c r="AW128" s="23">
        <v>0</v>
      </c>
      <c r="AX128" s="23">
        <f>$E$23/($B$17-$B$16)*3</f>
        <v>13157.894736842103</v>
      </c>
      <c r="AY128" s="23">
        <v>0</v>
      </c>
      <c r="AZ128" s="23">
        <v>0</v>
      </c>
    </row>
    <row r="129" spans="1:52" x14ac:dyDescent="0.25">
      <c r="A129" s="68">
        <f t="shared" si="36"/>
        <v>106</v>
      </c>
      <c r="B129" s="68" t="str">
        <f t="shared" si="37"/>
        <v>amortização</v>
      </c>
      <c r="C129" s="156">
        <f t="shared" si="38"/>
        <v>0</v>
      </c>
      <c r="D129" s="156">
        <f t="shared" si="39"/>
        <v>4385.9649122807014</v>
      </c>
      <c r="E129" s="157">
        <f t="shared" si="40"/>
        <v>587719.29824561672</v>
      </c>
      <c r="F129" s="158">
        <f t="shared" si="41"/>
        <v>4385.9649122807014</v>
      </c>
      <c r="G129" s="160">
        <f t="shared" si="42"/>
        <v>4385.9649122807014</v>
      </c>
      <c r="AA129" s="2">
        <f t="shared" si="50"/>
        <v>100</v>
      </c>
      <c r="AC129" s="9" t="str">
        <f t="shared" si="60"/>
        <v/>
      </c>
      <c r="AD129" s="9">
        <f t="shared" si="49"/>
        <v>4385.9649122807014</v>
      </c>
      <c r="AF129" s="2" t="str">
        <f t="shared" si="51"/>
        <v/>
      </c>
      <c r="AG129" s="9" t="str">
        <f t="shared" si="52"/>
        <v/>
      </c>
      <c r="AH129" s="9" t="str">
        <f t="shared" si="53"/>
        <v/>
      </c>
      <c r="AL129" s="23">
        <f t="shared" si="55"/>
        <v>0</v>
      </c>
      <c r="AM129" s="23">
        <f t="shared" si="59"/>
        <v>0</v>
      </c>
      <c r="AN129" s="23">
        <f t="shared" si="66"/>
        <v>0</v>
      </c>
      <c r="AO129" s="23">
        <f>E127*((1+$C$23)^2-1)</f>
        <v>0</v>
      </c>
      <c r="AP129" s="23">
        <v>0</v>
      </c>
      <c r="AQ129" s="23">
        <v>0</v>
      </c>
      <c r="AR129" s="23">
        <v>0</v>
      </c>
      <c r="AU129" s="23">
        <f t="shared" si="47"/>
        <v>4385.9649122807014</v>
      </c>
      <c r="AV129" s="23">
        <f t="shared" si="45"/>
        <v>4385.9649122807014</v>
      </c>
      <c r="AW129" s="23">
        <f>$E$23/($B$17-$B$16)*2</f>
        <v>8771.9298245614027</v>
      </c>
      <c r="AX129" s="23">
        <v>0</v>
      </c>
      <c r="AY129" s="23">
        <v>0</v>
      </c>
      <c r="AZ129" s="23">
        <v>0</v>
      </c>
    </row>
    <row r="130" spans="1:52" x14ac:dyDescent="0.25">
      <c r="A130" s="68">
        <f t="shared" si="36"/>
        <v>107</v>
      </c>
      <c r="B130" s="68" t="str">
        <f t="shared" si="37"/>
        <v>amortização</v>
      </c>
      <c r="C130" s="156">
        <f t="shared" si="38"/>
        <v>0</v>
      </c>
      <c r="D130" s="156">
        <f t="shared" si="39"/>
        <v>4385.9649122807014</v>
      </c>
      <c r="E130" s="157">
        <f t="shared" si="40"/>
        <v>583333.33333333605</v>
      </c>
      <c r="F130" s="158">
        <f t="shared" si="41"/>
        <v>4385.9649122807014</v>
      </c>
      <c r="G130" s="160">
        <f t="shared" si="42"/>
        <v>4385.9649122807014</v>
      </c>
      <c r="AA130" s="2">
        <f t="shared" si="50"/>
        <v>101</v>
      </c>
      <c r="AC130" s="9" t="str">
        <f t="shared" si="60"/>
        <v/>
      </c>
      <c r="AD130" s="9">
        <f t="shared" si="49"/>
        <v>4385.9649122807014</v>
      </c>
      <c r="AF130" s="2" t="str">
        <f t="shared" si="51"/>
        <v/>
      </c>
      <c r="AG130" s="9" t="str">
        <f t="shared" si="52"/>
        <v/>
      </c>
      <c r="AH130" s="9" t="str">
        <f t="shared" si="53"/>
        <v/>
      </c>
      <c r="AL130" s="23">
        <f t="shared" si="55"/>
        <v>0</v>
      </c>
      <c r="AM130" s="23">
        <f t="shared" si="59"/>
        <v>0</v>
      </c>
      <c r="AN130" s="23">
        <f t="shared" si="66"/>
        <v>0</v>
      </c>
      <c r="AO130" s="23">
        <v>0</v>
      </c>
      <c r="AP130" s="23">
        <v>0</v>
      </c>
      <c r="AQ130" s="23">
        <v>0</v>
      </c>
      <c r="AR130" s="23">
        <v>0</v>
      </c>
      <c r="AU130" s="23">
        <f t="shared" si="47"/>
        <v>4385.9649122807014</v>
      </c>
      <c r="AV130" s="23">
        <f t="shared" si="45"/>
        <v>4385.9649122807014</v>
      </c>
      <c r="AW130" s="23">
        <v>0</v>
      </c>
      <c r="AX130" s="23">
        <v>0</v>
      </c>
      <c r="AY130" s="23">
        <v>0</v>
      </c>
      <c r="AZ130" s="23">
        <v>0</v>
      </c>
    </row>
    <row r="131" spans="1:52" x14ac:dyDescent="0.25">
      <c r="A131" s="68">
        <f t="shared" si="36"/>
        <v>108</v>
      </c>
      <c r="B131" s="68" t="str">
        <f t="shared" si="37"/>
        <v>amortização</v>
      </c>
      <c r="C131" s="156">
        <f t="shared" si="38"/>
        <v>0</v>
      </c>
      <c r="D131" s="156">
        <f t="shared" si="39"/>
        <v>4385.9649122807014</v>
      </c>
      <c r="E131" s="157">
        <f t="shared" si="40"/>
        <v>578947.36842105538</v>
      </c>
      <c r="F131" s="158">
        <f t="shared" si="41"/>
        <v>4385.9649122807014</v>
      </c>
      <c r="G131" s="160">
        <f t="shared" si="42"/>
        <v>4385.9649122807014</v>
      </c>
      <c r="AA131" s="2">
        <f t="shared" si="50"/>
        <v>102</v>
      </c>
      <c r="AC131" s="9" t="str">
        <f t="shared" si="60"/>
        <v/>
      </c>
      <c r="AD131" s="9">
        <f t="shared" si="49"/>
        <v>4385.9649122807014</v>
      </c>
      <c r="AF131" s="2" t="str">
        <f t="shared" si="51"/>
        <v/>
      </c>
      <c r="AG131" s="9" t="str">
        <f t="shared" si="52"/>
        <v/>
      </c>
      <c r="AH131" s="9" t="str">
        <f t="shared" si="53"/>
        <v/>
      </c>
      <c r="AL131" s="23">
        <f t="shared" si="55"/>
        <v>0</v>
      </c>
      <c r="AM131" s="23">
        <f t="shared" si="59"/>
        <v>0</v>
      </c>
      <c r="AN131" s="23">
        <f t="shared" si="66"/>
        <v>0</v>
      </c>
      <c r="AO131" s="23">
        <f t="shared" ref="AO131:AO139" si="67">E129*((1+$C$23)^2-1)</f>
        <v>0</v>
      </c>
      <c r="AP131" s="23">
        <f t="shared" si="64"/>
        <v>0</v>
      </c>
      <c r="AQ131" s="23">
        <f t="shared" ref="AQ131" si="68">E125*((1+$C$23)^6-1)</f>
        <v>0</v>
      </c>
      <c r="AR131" s="23">
        <f>E119*((1+$C$23)^12-1)</f>
        <v>0</v>
      </c>
      <c r="AU131" s="23">
        <f t="shared" si="47"/>
        <v>4385.9649122807014</v>
      </c>
      <c r="AV131" s="23">
        <f t="shared" si="45"/>
        <v>4385.9649122807014</v>
      </c>
      <c r="AW131" s="23">
        <f>$E$23/($B$17-$B$16)*2</f>
        <v>8771.9298245614027</v>
      </c>
      <c r="AX131" s="23">
        <f>$E$23/($B$17-$B$16)*3</f>
        <v>13157.894736842103</v>
      </c>
      <c r="AY131" s="23">
        <f>$E$23/($B$17-$B$16)*6</f>
        <v>26315.789473684206</v>
      </c>
      <c r="AZ131" s="23">
        <f>$E$23/($B$17-$B$16)*12</f>
        <v>52631.578947368413</v>
      </c>
    </row>
    <row r="132" spans="1:52" x14ac:dyDescent="0.25">
      <c r="A132" s="68">
        <f t="shared" si="36"/>
        <v>109</v>
      </c>
      <c r="B132" s="68" t="str">
        <f t="shared" si="37"/>
        <v>amortização</v>
      </c>
      <c r="C132" s="156">
        <f t="shared" si="38"/>
        <v>0</v>
      </c>
      <c r="D132" s="156">
        <f t="shared" si="39"/>
        <v>4385.9649122807014</v>
      </c>
      <c r="E132" s="157">
        <f t="shared" si="40"/>
        <v>574561.4035087747</v>
      </c>
      <c r="F132" s="158">
        <f t="shared" si="41"/>
        <v>4385.9649122807014</v>
      </c>
      <c r="G132" s="160">
        <f t="shared" si="42"/>
        <v>4385.9649122807014</v>
      </c>
      <c r="AA132" s="2">
        <f t="shared" si="50"/>
        <v>103</v>
      </c>
      <c r="AC132" s="9" t="str">
        <f t="shared" si="60"/>
        <v/>
      </c>
      <c r="AD132" s="9">
        <f t="shared" si="49"/>
        <v>4385.9649122807014</v>
      </c>
      <c r="AF132" s="2" t="str">
        <f t="shared" si="51"/>
        <v/>
      </c>
      <c r="AG132" s="9" t="str">
        <f t="shared" si="52"/>
        <v/>
      </c>
      <c r="AH132" s="9" t="str">
        <f t="shared" si="53"/>
        <v/>
      </c>
      <c r="AL132" s="23">
        <f t="shared" si="55"/>
        <v>0</v>
      </c>
      <c r="AM132" s="23">
        <f>IF($AN$17=1,AN132,IF($AN$17=2,AO132,IF($AN$17=3,AP132,IF($AN$17=4,AQ132,IF($AN$17=5,AR132)))))</f>
        <v>0</v>
      </c>
      <c r="AN132" s="23">
        <f t="shared" si="66"/>
        <v>0</v>
      </c>
      <c r="AO132" s="23">
        <v>0</v>
      </c>
      <c r="AP132" s="23">
        <v>0</v>
      </c>
      <c r="AQ132" s="23">
        <v>0</v>
      </c>
      <c r="AR132" s="23">
        <v>0</v>
      </c>
      <c r="AU132" s="23">
        <f t="shared" si="47"/>
        <v>4385.9649122807014</v>
      </c>
      <c r="AV132" s="23">
        <f t="shared" si="45"/>
        <v>4385.9649122807014</v>
      </c>
      <c r="AW132" s="23">
        <v>0</v>
      </c>
      <c r="AX132" s="23">
        <v>0</v>
      </c>
      <c r="AY132" s="23">
        <v>0</v>
      </c>
      <c r="AZ132" s="23">
        <v>0</v>
      </c>
    </row>
    <row r="133" spans="1:52" x14ac:dyDescent="0.25">
      <c r="A133" s="68">
        <f t="shared" si="36"/>
        <v>110</v>
      </c>
      <c r="B133" s="68" t="str">
        <f t="shared" si="37"/>
        <v>amortização</v>
      </c>
      <c r="C133" s="156">
        <f t="shared" si="38"/>
        <v>0</v>
      </c>
      <c r="D133" s="156">
        <f t="shared" si="39"/>
        <v>4385.9649122807014</v>
      </c>
      <c r="E133" s="157">
        <f t="shared" si="40"/>
        <v>570175.43859649403</v>
      </c>
      <c r="F133" s="158">
        <f t="shared" si="41"/>
        <v>4385.9649122807014</v>
      </c>
      <c r="G133" s="160">
        <f t="shared" si="42"/>
        <v>4385.9649122807014</v>
      </c>
      <c r="AA133" s="2">
        <f t="shared" si="50"/>
        <v>104</v>
      </c>
      <c r="AC133" s="9" t="str">
        <f t="shared" si="60"/>
        <v/>
      </c>
      <c r="AD133" s="9">
        <f t="shared" si="49"/>
        <v>4385.9649122807014</v>
      </c>
      <c r="AF133" s="2" t="str">
        <f t="shared" si="51"/>
        <v/>
      </c>
      <c r="AG133" s="9" t="str">
        <f t="shared" si="52"/>
        <v/>
      </c>
      <c r="AH133" s="9" t="str">
        <f t="shared" si="53"/>
        <v/>
      </c>
      <c r="AL133" s="23">
        <f t="shared" si="55"/>
        <v>0</v>
      </c>
      <c r="AM133" s="23">
        <f t="shared" ref="AM133:AM158" si="69">IF($AN$17=1,AN133,IF($AN$17=2,AO133,IF($AN$17=3,AP133,IF($AN$17=4,AQ133,IF($AN$17=5,AR133)))))</f>
        <v>0</v>
      </c>
      <c r="AN133" s="23">
        <f t="shared" si="66"/>
        <v>0</v>
      </c>
      <c r="AO133" s="23">
        <f t="shared" si="67"/>
        <v>0</v>
      </c>
      <c r="AP133" s="23">
        <v>0</v>
      </c>
      <c r="AQ133" s="23">
        <v>0</v>
      </c>
      <c r="AR133" s="23">
        <v>0</v>
      </c>
      <c r="AU133" s="23">
        <f t="shared" si="47"/>
        <v>4385.9649122807014</v>
      </c>
      <c r="AV133" s="23">
        <f t="shared" si="45"/>
        <v>4385.9649122807014</v>
      </c>
      <c r="AW133" s="23">
        <f>$E$23/($B$17-$B$16)*2</f>
        <v>8771.9298245614027</v>
      </c>
      <c r="AX133" s="23">
        <v>0</v>
      </c>
      <c r="AY133" s="23">
        <v>0</v>
      </c>
      <c r="AZ133" s="23">
        <v>0</v>
      </c>
    </row>
    <row r="134" spans="1:52" x14ac:dyDescent="0.25">
      <c r="A134" s="68">
        <f t="shared" si="36"/>
        <v>111</v>
      </c>
      <c r="B134" s="68" t="str">
        <f t="shared" si="37"/>
        <v>amortização</v>
      </c>
      <c r="C134" s="156">
        <f t="shared" si="38"/>
        <v>0</v>
      </c>
      <c r="D134" s="156">
        <f t="shared" si="39"/>
        <v>4385.9649122807014</v>
      </c>
      <c r="E134" s="157">
        <f t="shared" si="40"/>
        <v>565789.47368421336</v>
      </c>
      <c r="F134" s="158">
        <f t="shared" si="41"/>
        <v>4385.9649122807014</v>
      </c>
      <c r="G134" s="160">
        <f t="shared" si="42"/>
        <v>4385.9649122807014</v>
      </c>
      <c r="AA134" s="2">
        <f t="shared" si="50"/>
        <v>105</v>
      </c>
      <c r="AC134" s="9" t="str">
        <f t="shared" si="60"/>
        <v/>
      </c>
      <c r="AD134" s="9">
        <f t="shared" si="49"/>
        <v>4385.9649122807014</v>
      </c>
      <c r="AF134" s="2" t="str">
        <f t="shared" si="51"/>
        <v/>
      </c>
      <c r="AG134" s="9" t="str">
        <f t="shared" si="52"/>
        <v/>
      </c>
      <c r="AH134" s="9" t="str">
        <f t="shared" si="53"/>
        <v/>
      </c>
      <c r="AL134" s="23">
        <f t="shared" si="55"/>
        <v>0</v>
      </c>
      <c r="AM134" s="23">
        <f t="shared" si="69"/>
        <v>0</v>
      </c>
      <c r="AN134" s="23">
        <f t="shared" si="66"/>
        <v>0</v>
      </c>
      <c r="AO134" s="23">
        <v>0</v>
      </c>
      <c r="AP134" s="23">
        <f>E131*((1+$C$23)^3-1)</f>
        <v>0</v>
      </c>
      <c r="AQ134" s="23">
        <v>0</v>
      </c>
      <c r="AR134" s="23">
        <v>0</v>
      </c>
      <c r="AU134" s="23">
        <f t="shared" si="47"/>
        <v>4385.9649122807014</v>
      </c>
      <c r="AV134" s="23">
        <f t="shared" si="45"/>
        <v>4385.9649122807014</v>
      </c>
      <c r="AW134" s="23">
        <v>0</v>
      </c>
      <c r="AX134" s="23">
        <f>$E$23/($B$17-$B$16)*3</f>
        <v>13157.894736842103</v>
      </c>
      <c r="AY134" s="23">
        <v>0</v>
      </c>
      <c r="AZ134" s="23">
        <v>0</v>
      </c>
    </row>
    <row r="135" spans="1:52" x14ac:dyDescent="0.25">
      <c r="A135" s="68">
        <f t="shared" si="36"/>
        <v>112</v>
      </c>
      <c r="B135" s="68" t="str">
        <f t="shared" si="37"/>
        <v>amortização</v>
      </c>
      <c r="C135" s="156">
        <f t="shared" si="38"/>
        <v>0</v>
      </c>
      <c r="D135" s="156">
        <f t="shared" si="39"/>
        <v>4385.9649122807014</v>
      </c>
      <c r="E135" s="157">
        <f t="shared" si="40"/>
        <v>561403.50877193268</v>
      </c>
      <c r="F135" s="158">
        <f t="shared" si="41"/>
        <v>4385.9649122807014</v>
      </c>
      <c r="G135" s="160">
        <f t="shared" si="42"/>
        <v>4385.9649122807014</v>
      </c>
      <c r="AA135" s="2">
        <f t="shared" si="50"/>
        <v>106</v>
      </c>
      <c r="AC135" s="9" t="str">
        <f t="shared" si="60"/>
        <v/>
      </c>
      <c r="AD135" s="9">
        <f t="shared" si="49"/>
        <v>4385.9649122807014</v>
      </c>
      <c r="AF135" s="2" t="str">
        <f t="shared" si="51"/>
        <v/>
      </c>
      <c r="AG135" s="9" t="str">
        <f t="shared" si="52"/>
        <v/>
      </c>
      <c r="AH135" s="9" t="str">
        <f t="shared" si="53"/>
        <v/>
      </c>
      <c r="AL135" s="23">
        <f t="shared" si="55"/>
        <v>0</v>
      </c>
      <c r="AM135" s="23">
        <f t="shared" si="69"/>
        <v>0</v>
      </c>
      <c r="AN135" s="23">
        <f t="shared" si="66"/>
        <v>0</v>
      </c>
      <c r="AO135" s="23">
        <f t="shared" si="67"/>
        <v>0</v>
      </c>
      <c r="AP135" s="23">
        <v>0</v>
      </c>
      <c r="AQ135" s="23">
        <v>0</v>
      </c>
      <c r="AR135" s="23">
        <v>0</v>
      </c>
      <c r="AU135" s="23">
        <f t="shared" si="47"/>
        <v>4385.9649122807014</v>
      </c>
      <c r="AV135" s="23">
        <f t="shared" si="45"/>
        <v>4385.9649122807014</v>
      </c>
      <c r="AW135" s="23">
        <f>$E$23/($B$17-$B$16)*2</f>
        <v>8771.9298245614027</v>
      </c>
      <c r="AX135" s="23">
        <v>0</v>
      </c>
      <c r="AY135" s="23">
        <v>0</v>
      </c>
      <c r="AZ135" s="23">
        <v>0</v>
      </c>
    </row>
    <row r="136" spans="1:52" x14ac:dyDescent="0.25">
      <c r="A136" s="68">
        <f t="shared" si="36"/>
        <v>113</v>
      </c>
      <c r="B136" s="68" t="str">
        <f t="shared" si="37"/>
        <v>amortização</v>
      </c>
      <c r="C136" s="156">
        <f t="shared" si="38"/>
        <v>0</v>
      </c>
      <c r="D136" s="156">
        <f t="shared" si="39"/>
        <v>4385.9649122807014</v>
      </c>
      <c r="E136" s="157">
        <f t="shared" si="40"/>
        <v>557017.54385965201</v>
      </c>
      <c r="F136" s="158">
        <f t="shared" si="41"/>
        <v>4385.9649122807014</v>
      </c>
      <c r="G136" s="160">
        <f t="shared" si="42"/>
        <v>4385.9649122807014</v>
      </c>
      <c r="AA136" s="2">
        <f t="shared" si="50"/>
        <v>107</v>
      </c>
      <c r="AC136" s="9" t="str">
        <f t="shared" si="60"/>
        <v/>
      </c>
      <c r="AD136" s="9">
        <f t="shared" si="49"/>
        <v>4385.9649122807014</v>
      </c>
      <c r="AF136" s="2" t="str">
        <f t="shared" si="51"/>
        <v/>
      </c>
      <c r="AG136" s="9" t="str">
        <f t="shared" si="52"/>
        <v/>
      </c>
      <c r="AH136" s="9" t="str">
        <f t="shared" si="53"/>
        <v/>
      </c>
      <c r="AL136" s="23">
        <f t="shared" si="55"/>
        <v>0</v>
      </c>
      <c r="AM136" s="23">
        <f t="shared" si="69"/>
        <v>0</v>
      </c>
      <c r="AN136" s="23">
        <f t="shared" si="66"/>
        <v>0</v>
      </c>
      <c r="AO136" s="23">
        <v>0</v>
      </c>
      <c r="AP136" s="23">
        <v>0</v>
      </c>
      <c r="AQ136" s="23">
        <v>0</v>
      </c>
      <c r="AR136" s="23">
        <v>0</v>
      </c>
      <c r="AU136" s="23">
        <f t="shared" si="47"/>
        <v>4385.9649122807014</v>
      </c>
      <c r="AV136" s="23">
        <f t="shared" si="45"/>
        <v>4385.9649122807014</v>
      </c>
      <c r="AW136" s="23">
        <v>0</v>
      </c>
      <c r="AX136" s="23">
        <v>0</v>
      </c>
      <c r="AY136" s="23">
        <v>0</v>
      </c>
      <c r="AZ136" s="23">
        <v>0</v>
      </c>
    </row>
    <row r="137" spans="1:52" x14ac:dyDescent="0.25">
      <c r="A137" s="68">
        <f t="shared" si="36"/>
        <v>114</v>
      </c>
      <c r="B137" s="68" t="str">
        <f t="shared" si="37"/>
        <v>amortização</v>
      </c>
      <c r="C137" s="156">
        <f t="shared" si="38"/>
        <v>0</v>
      </c>
      <c r="D137" s="156">
        <f t="shared" si="39"/>
        <v>4385.9649122807014</v>
      </c>
      <c r="E137" s="157">
        <f t="shared" si="40"/>
        <v>552631.57894737134</v>
      </c>
      <c r="F137" s="158">
        <f t="shared" si="41"/>
        <v>4385.9649122807014</v>
      </c>
      <c r="G137" s="160">
        <f t="shared" si="42"/>
        <v>4385.9649122807014</v>
      </c>
      <c r="AA137" s="2">
        <f t="shared" si="50"/>
        <v>108</v>
      </c>
      <c r="AC137" s="9" t="str">
        <f t="shared" si="60"/>
        <v/>
      </c>
      <c r="AD137" s="9">
        <f t="shared" si="49"/>
        <v>4385.9649122807014</v>
      </c>
      <c r="AF137" s="2" t="str">
        <f t="shared" si="51"/>
        <v/>
      </c>
      <c r="AG137" s="9" t="str">
        <f t="shared" si="52"/>
        <v/>
      </c>
      <c r="AH137" s="9" t="str">
        <f t="shared" si="53"/>
        <v/>
      </c>
      <c r="AL137" s="23">
        <f t="shared" si="55"/>
        <v>0</v>
      </c>
      <c r="AM137" s="23">
        <f t="shared" si="69"/>
        <v>0</v>
      </c>
      <c r="AN137" s="23">
        <f t="shared" si="66"/>
        <v>0</v>
      </c>
      <c r="AO137" s="23">
        <f t="shared" si="67"/>
        <v>0</v>
      </c>
      <c r="AP137" s="23">
        <f t="shared" ref="AP137:AP143" si="70">E134*((1+$C$23)^3-1)</f>
        <v>0</v>
      </c>
      <c r="AQ137" s="23">
        <f t="shared" ref="AQ137" si="71">E131*((1+$C$23)^6-1)</f>
        <v>0</v>
      </c>
      <c r="AR137" s="23">
        <v>0</v>
      </c>
      <c r="AU137" s="23">
        <f t="shared" si="47"/>
        <v>4385.9649122807014</v>
      </c>
      <c r="AV137" s="23">
        <f t="shared" si="45"/>
        <v>4385.9649122807014</v>
      </c>
      <c r="AW137" s="23">
        <f>$E$23/($B$17-$B$16)*2</f>
        <v>8771.9298245614027</v>
      </c>
      <c r="AX137" s="23">
        <f>$E$23/($B$17-$B$16)*3</f>
        <v>13157.894736842103</v>
      </c>
      <c r="AY137" s="23">
        <f>$E$23/($B$17-$B$16)*6</f>
        <v>26315.789473684206</v>
      </c>
      <c r="AZ137" s="23">
        <v>0</v>
      </c>
    </row>
    <row r="138" spans="1:52" x14ac:dyDescent="0.25">
      <c r="A138" s="68">
        <f t="shared" si="36"/>
        <v>115</v>
      </c>
      <c r="B138" s="68" t="str">
        <f t="shared" si="37"/>
        <v>amortização</v>
      </c>
      <c r="C138" s="156">
        <f t="shared" si="38"/>
        <v>0</v>
      </c>
      <c r="D138" s="156">
        <f t="shared" si="39"/>
        <v>4385.9649122807014</v>
      </c>
      <c r="E138" s="157">
        <f t="shared" si="40"/>
        <v>548245.61403509066</v>
      </c>
      <c r="F138" s="158">
        <f t="shared" si="41"/>
        <v>4385.9649122807014</v>
      </c>
      <c r="G138" s="160">
        <f t="shared" si="42"/>
        <v>4385.9649122807014</v>
      </c>
      <c r="AA138" s="2">
        <f t="shared" si="50"/>
        <v>109</v>
      </c>
      <c r="AC138" s="9" t="str">
        <f t="shared" si="60"/>
        <v/>
      </c>
      <c r="AD138" s="9">
        <f t="shared" si="49"/>
        <v>4385.9649122807014</v>
      </c>
      <c r="AF138" s="2" t="str">
        <f t="shared" si="51"/>
        <v/>
      </c>
      <c r="AG138" s="9" t="str">
        <f t="shared" si="52"/>
        <v/>
      </c>
      <c r="AH138" s="9" t="str">
        <f t="shared" si="53"/>
        <v/>
      </c>
      <c r="AL138" s="23">
        <f t="shared" si="55"/>
        <v>0</v>
      </c>
      <c r="AM138" s="23">
        <f t="shared" si="69"/>
        <v>0</v>
      </c>
      <c r="AN138" s="23">
        <f t="shared" si="66"/>
        <v>0</v>
      </c>
      <c r="AO138" s="23">
        <v>0</v>
      </c>
      <c r="AP138" s="23">
        <v>0</v>
      </c>
      <c r="AQ138" s="23">
        <v>0</v>
      </c>
      <c r="AR138" s="23">
        <v>0</v>
      </c>
      <c r="AU138" s="23">
        <f t="shared" si="47"/>
        <v>4385.9649122807014</v>
      </c>
      <c r="AV138" s="23">
        <f t="shared" si="45"/>
        <v>4385.9649122807014</v>
      </c>
      <c r="AW138" s="23">
        <v>0</v>
      </c>
      <c r="AX138" s="23">
        <v>0</v>
      </c>
      <c r="AY138" s="23">
        <v>0</v>
      </c>
      <c r="AZ138" s="23">
        <v>0</v>
      </c>
    </row>
    <row r="139" spans="1:52" x14ac:dyDescent="0.25">
      <c r="A139" s="68">
        <f t="shared" si="36"/>
        <v>116</v>
      </c>
      <c r="B139" s="68" t="str">
        <f t="shared" si="37"/>
        <v>amortização</v>
      </c>
      <c r="C139" s="156">
        <f t="shared" si="38"/>
        <v>0</v>
      </c>
      <c r="D139" s="156">
        <f t="shared" si="39"/>
        <v>4385.9649122807014</v>
      </c>
      <c r="E139" s="157">
        <f t="shared" si="40"/>
        <v>543859.64912280999</v>
      </c>
      <c r="F139" s="158">
        <f t="shared" si="41"/>
        <v>4385.9649122807014</v>
      </c>
      <c r="G139" s="160">
        <f t="shared" si="42"/>
        <v>4385.9649122807014</v>
      </c>
      <c r="AA139" s="2">
        <f t="shared" si="50"/>
        <v>110</v>
      </c>
      <c r="AC139" s="9" t="str">
        <f t="shared" si="60"/>
        <v/>
      </c>
      <c r="AD139" s="9">
        <f t="shared" si="49"/>
        <v>4385.9649122807014</v>
      </c>
      <c r="AF139" s="2" t="str">
        <f t="shared" si="51"/>
        <v/>
      </c>
      <c r="AG139" s="9" t="str">
        <f t="shared" si="52"/>
        <v/>
      </c>
      <c r="AH139" s="9" t="str">
        <f t="shared" si="53"/>
        <v/>
      </c>
      <c r="AL139" s="23">
        <f t="shared" si="55"/>
        <v>0</v>
      </c>
      <c r="AM139" s="23">
        <f t="shared" si="69"/>
        <v>0</v>
      </c>
      <c r="AN139" s="23">
        <f t="shared" si="66"/>
        <v>0</v>
      </c>
      <c r="AO139" s="23">
        <f t="shared" si="67"/>
        <v>0</v>
      </c>
      <c r="AP139" s="23">
        <v>0</v>
      </c>
      <c r="AQ139" s="23">
        <v>0</v>
      </c>
      <c r="AR139" s="23">
        <v>0</v>
      </c>
      <c r="AU139" s="23">
        <f t="shared" si="47"/>
        <v>4385.9649122807014</v>
      </c>
      <c r="AV139" s="23">
        <f t="shared" si="45"/>
        <v>4385.9649122807014</v>
      </c>
      <c r="AW139" s="23">
        <f>$E$23/($B$17-$B$16)*2</f>
        <v>8771.9298245614027</v>
      </c>
      <c r="AX139" s="23">
        <v>0</v>
      </c>
      <c r="AY139" s="23">
        <v>0</v>
      </c>
      <c r="AZ139" s="23">
        <v>0</v>
      </c>
    </row>
    <row r="140" spans="1:52" x14ac:dyDescent="0.25">
      <c r="A140" s="68">
        <f t="shared" si="36"/>
        <v>117</v>
      </c>
      <c r="B140" s="68" t="str">
        <f t="shared" si="37"/>
        <v>amortização</v>
      </c>
      <c r="C140" s="156">
        <f t="shared" si="38"/>
        <v>0</v>
      </c>
      <c r="D140" s="156">
        <f t="shared" si="39"/>
        <v>4385.9649122807014</v>
      </c>
      <c r="E140" s="157">
        <f t="shared" si="40"/>
        <v>539473.68421052932</v>
      </c>
      <c r="F140" s="158">
        <f t="shared" si="41"/>
        <v>4385.9649122807014</v>
      </c>
      <c r="G140" s="160">
        <f t="shared" si="42"/>
        <v>4385.9649122807014</v>
      </c>
      <c r="AA140" s="2">
        <f t="shared" si="50"/>
        <v>111</v>
      </c>
      <c r="AC140" s="9" t="str">
        <f t="shared" si="60"/>
        <v/>
      </c>
      <c r="AD140" s="9">
        <f t="shared" si="49"/>
        <v>4385.9649122807014</v>
      </c>
      <c r="AF140" s="2" t="str">
        <f t="shared" si="51"/>
        <v/>
      </c>
      <c r="AG140" s="9" t="str">
        <f t="shared" si="52"/>
        <v/>
      </c>
      <c r="AH140" s="9" t="str">
        <f t="shared" si="53"/>
        <v/>
      </c>
      <c r="AL140" s="23">
        <f t="shared" si="55"/>
        <v>0</v>
      </c>
      <c r="AM140" s="23">
        <f t="shared" si="69"/>
        <v>0</v>
      </c>
      <c r="AN140" s="23">
        <f t="shared" si="66"/>
        <v>0</v>
      </c>
      <c r="AO140" s="23">
        <v>0</v>
      </c>
      <c r="AP140" s="23">
        <f t="shared" si="70"/>
        <v>0</v>
      </c>
      <c r="AQ140" s="23">
        <v>0</v>
      </c>
      <c r="AR140" s="23">
        <v>0</v>
      </c>
      <c r="AU140" s="23">
        <f t="shared" si="47"/>
        <v>4385.9649122807014</v>
      </c>
      <c r="AV140" s="23">
        <f t="shared" si="45"/>
        <v>4385.9649122807014</v>
      </c>
      <c r="AW140" s="23">
        <v>0</v>
      </c>
      <c r="AX140" s="23">
        <f>$E$23/($B$17-$B$16)*3</f>
        <v>13157.894736842103</v>
      </c>
      <c r="AY140" s="23">
        <v>0</v>
      </c>
      <c r="AZ140" s="23">
        <v>0</v>
      </c>
    </row>
    <row r="141" spans="1:52" x14ac:dyDescent="0.25">
      <c r="A141" s="68">
        <f t="shared" si="36"/>
        <v>118</v>
      </c>
      <c r="B141" s="68" t="str">
        <f t="shared" si="37"/>
        <v>amortização</v>
      </c>
      <c r="C141" s="156">
        <f t="shared" si="38"/>
        <v>0</v>
      </c>
      <c r="D141" s="156">
        <f t="shared" si="39"/>
        <v>4385.9649122807014</v>
      </c>
      <c r="E141" s="157">
        <f t="shared" si="40"/>
        <v>535087.71929824864</v>
      </c>
      <c r="F141" s="158">
        <f t="shared" si="41"/>
        <v>4385.9649122807014</v>
      </c>
      <c r="G141" s="160">
        <f t="shared" si="42"/>
        <v>4385.9649122807014</v>
      </c>
      <c r="AA141" s="2">
        <f t="shared" si="50"/>
        <v>112</v>
      </c>
      <c r="AC141" s="9" t="str">
        <f t="shared" si="60"/>
        <v/>
      </c>
      <c r="AD141" s="9">
        <f t="shared" si="49"/>
        <v>4385.9649122807014</v>
      </c>
      <c r="AF141" s="2" t="str">
        <f t="shared" si="51"/>
        <v/>
      </c>
      <c r="AG141" s="9" t="str">
        <f t="shared" si="52"/>
        <v/>
      </c>
      <c r="AH141" s="9" t="str">
        <f t="shared" si="53"/>
        <v/>
      </c>
      <c r="AL141" s="23">
        <f t="shared" si="55"/>
        <v>0</v>
      </c>
      <c r="AM141" s="23">
        <f t="shared" si="69"/>
        <v>0</v>
      </c>
      <c r="AN141" s="23">
        <f t="shared" si="66"/>
        <v>0</v>
      </c>
      <c r="AO141" s="23">
        <f t="shared" ref="AO141:AO153" si="72">E139*((1+$C$23)^2-1)</f>
        <v>0</v>
      </c>
      <c r="AP141" s="23">
        <v>0</v>
      </c>
      <c r="AQ141" s="23">
        <v>0</v>
      </c>
      <c r="AR141" s="23">
        <v>0</v>
      </c>
      <c r="AU141" s="23">
        <f t="shared" si="47"/>
        <v>4385.9649122807014</v>
      </c>
      <c r="AV141" s="23">
        <f t="shared" si="45"/>
        <v>4385.9649122807014</v>
      </c>
      <c r="AW141" s="23">
        <f>$E$23/($B$17-$B$16)*2</f>
        <v>8771.9298245614027</v>
      </c>
      <c r="AX141" s="23">
        <v>0</v>
      </c>
      <c r="AY141" s="23">
        <v>0</v>
      </c>
      <c r="AZ141" s="23">
        <v>0</v>
      </c>
    </row>
    <row r="142" spans="1:52" x14ac:dyDescent="0.25">
      <c r="A142" s="68">
        <f t="shared" si="36"/>
        <v>119</v>
      </c>
      <c r="B142" s="68" t="str">
        <f t="shared" si="37"/>
        <v>amortização</v>
      </c>
      <c r="C142" s="156">
        <f t="shared" si="38"/>
        <v>0</v>
      </c>
      <c r="D142" s="156">
        <f t="shared" si="39"/>
        <v>4385.9649122807014</v>
      </c>
      <c r="E142" s="157">
        <f t="shared" si="40"/>
        <v>530701.75438596797</v>
      </c>
      <c r="F142" s="158">
        <f t="shared" si="41"/>
        <v>4385.9649122807014</v>
      </c>
      <c r="G142" s="160">
        <f t="shared" si="42"/>
        <v>4385.9649122807014</v>
      </c>
      <c r="AA142" s="2">
        <f t="shared" si="50"/>
        <v>113</v>
      </c>
      <c r="AC142" s="9" t="str">
        <f t="shared" si="60"/>
        <v/>
      </c>
      <c r="AD142" s="9">
        <f t="shared" si="49"/>
        <v>4385.9649122807014</v>
      </c>
      <c r="AF142" s="2" t="str">
        <f t="shared" si="51"/>
        <v/>
      </c>
      <c r="AG142" s="9" t="str">
        <f t="shared" si="52"/>
        <v/>
      </c>
      <c r="AH142" s="9" t="str">
        <f t="shared" si="53"/>
        <v/>
      </c>
      <c r="AL142" s="23">
        <f t="shared" si="55"/>
        <v>0</v>
      </c>
      <c r="AM142" s="23">
        <f t="shared" si="69"/>
        <v>0</v>
      </c>
      <c r="AN142" s="23">
        <f t="shared" si="66"/>
        <v>0</v>
      </c>
      <c r="AO142" s="23">
        <v>0</v>
      </c>
      <c r="AP142" s="23">
        <v>0</v>
      </c>
      <c r="AQ142" s="23">
        <v>0</v>
      </c>
      <c r="AR142" s="23">
        <v>0</v>
      </c>
      <c r="AU142" s="23">
        <f t="shared" si="47"/>
        <v>4385.9649122807014</v>
      </c>
      <c r="AV142" s="23">
        <f t="shared" si="45"/>
        <v>4385.9649122807014</v>
      </c>
      <c r="AW142" s="23">
        <v>0</v>
      </c>
      <c r="AX142" s="23">
        <v>0</v>
      </c>
      <c r="AY142" s="23">
        <v>0</v>
      </c>
      <c r="AZ142" s="23">
        <v>0</v>
      </c>
    </row>
    <row r="143" spans="1:52" x14ac:dyDescent="0.25">
      <c r="A143" s="68">
        <f t="shared" si="36"/>
        <v>120</v>
      </c>
      <c r="B143" s="68" t="str">
        <f t="shared" si="37"/>
        <v>amortização</v>
      </c>
      <c r="C143" s="156">
        <f t="shared" si="38"/>
        <v>0</v>
      </c>
      <c r="D143" s="156">
        <f t="shared" si="39"/>
        <v>4385.9649122807014</v>
      </c>
      <c r="E143" s="157">
        <f t="shared" si="40"/>
        <v>526315.7894736873</v>
      </c>
      <c r="F143" s="158">
        <f t="shared" si="41"/>
        <v>4385.9649122807014</v>
      </c>
      <c r="G143" s="160">
        <f t="shared" si="42"/>
        <v>4385.9649122807014</v>
      </c>
      <c r="AA143" s="2">
        <f t="shared" si="50"/>
        <v>114</v>
      </c>
      <c r="AC143" s="9" t="str">
        <f t="shared" si="60"/>
        <v/>
      </c>
      <c r="AD143" s="9">
        <f t="shared" si="49"/>
        <v>4385.9649122807014</v>
      </c>
      <c r="AF143" s="2" t="str">
        <f t="shared" si="51"/>
        <v/>
      </c>
      <c r="AG143" s="9" t="str">
        <f t="shared" si="52"/>
        <v/>
      </c>
      <c r="AH143" s="9" t="str">
        <f t="shared" si="53"/>
        <v/>
      </c>
      <c r="AL143" s="23">
        <f t="shared" si="55"/>
        <v>0</v>
      </c>
      <c r="AM143" s="23">
        <f t="shared" si="69"/>
        <v>0</v>
      </c>
      <c r="AN143" s="23">
        <f t="shared" si="66"/>
        <v>0</v>
      </c>
      <c r="AO143" s="23">
        <f t="shared" si="72"/>
        <v>0</v>
      </c>
      <c r="AP143" s="23">
        <f t="shared" si="70"/>
        <v>0</v>
      </c>
      <c r="AQ143" s="23">
        <f>E137*((1+$C$23)^6-1)</f>
        <v>0</v>
      </c>
      <c r="AR143" s="23">
        <f>E131*((1+$C$23)^12-1)</f>
        <v>0</v>
      </c>
      <c r="AU143" s="23">
        <f t="shared" si="47"/>
        <v>4385.9649122807014</v>
      </c>
      <c r="AV143" s="23">
        <f t="shared" si="45"/>
        <v>4385.9649122807014</v>
      </c>
      <c r="AW143" s="23">
        <f>$E$23/($B$17-$B$16)*2</f>
        <v>8771.9298245614027</v>
      </c>
      <c r="AX143" s="23">
        <f>$E$23/($B$17-$B$16)*3</f>
        <v>13157.894736842103</v>
      </c>
      <c r="AY143" s="23">
        <f>$E$23/($B$17-$B$16)*6</f>
        <v>26315.789473684206</v>
      </c>
      <c r="AZ143" s="23">
        <f>$E$23/($B$17-$B$16)*12</f>
        <v>52631.578947368413</v>
      </c>
    </row>
    <row r="144" spans="1:52" x14ac:dyDescent="0.25">
      <c r="A144" s="68">
        <f t="shared" si="36"/>
        <v>121</v>
      </c>
      <c r="B144" s="68" t="str">
        <f t="shared" si="37"/>
        <v>amortização</v>
      </c>
      <c r="C144" s="156">
        <f t="shared" si="38"/>
        <v>0</v>
      </c>
      <c r="D144" s="156">
        <f t="shared" si="39"/>
        <v>4385.9649122807014</v>
      </c>
      <c r="E144" s="157">
        <f t="shared" si="40"/>
        <v>521929.82456140663</v>
      </c>
      <c r="F144" s="158">
        <f t="shared" si="41"/>
        <v>4385.9649122807014</v>
      </c>
      <c r="G144" s="160">
        <f t="shared" si="42"/>
        <v>4385.9649122807014</v>
      </c>
      <c r="AA144" s="2">
        <f t="shared" si="50"/>
        <v>115</v>
      </c>
      <c r="AC144" s="9" t="str">
        <f t="shared" si="60"/>
        <v/>
      </c>
      <c r="AD144" s="9">
        <f t="shared" si="49"/>
        <v>4385.9649122807014</v>
      </c>
      <c r="AF144" s="2" t="str">
        <f t="shared" si="51"/>
        <v/>
      </c>
      <c r="AG144" s="9" t="str">
        <f t="shared" si="52"/>
        <v/>
      </c>
      <c r="AH144" s="9" t="str">
        <f t="shared" si="53"/>
        <v/>
      </c>
      <c r="AL144" s="23">
        <f t="shared" si="55"/>
        <v>0</v>
      </c>
      <c r="AM144" s="23">
        <f t="shared" si="69"/>
        <v>0</v>
      </c>
      <c r="AN144" s="23">
        <f t="shared" si="66"/>
        <v>0</v>
      </c>
      <c r="AO144" s="23">
        <v>0</v>
      </c>
      <c r="AP144" s="23">
        <v>0</v>
      </c>
      <c r="AQ144" s="23">
        <v>0</v>
      </c>
      <c r="AR144" s="23">
        <v>0</v>
      </c>
      <c r="AU144" s="23">
        <f t="shared" si="47"/>
        <v>4385.9649122807014</v>
      </c>
      <c r="AV144" s="23">
        <f t="shared" si="45"/>
        <v>4385.9649122807014</v>
      </c>
      <c r="AW144" s="23">
        <v>0</v>
      </c>
      <c r="AX144" s="23">
        <v>0</v>
      </c>
      <c r="AY144" s="23">
        <v>0</v>
      </c>
      <c r="AZ144" s="23">
        <v>0</v>
      </c>
    </row>
    <row r="145" spans="1:52" x14ac:dyDescent="0.25">
      <c r="A145" s="68">
        <f t="shared" si="36"/>
        <v>122</v>
      </c>
      <c r="B145" s="68" t="str">
        <f t="shared" si="37"/>
        <v>amortização</v>
      </c>
      <c r="C145" s="156">
        <f t="shared" si="38"/>
        <v>0</v>
      </c>
      <c r="D145" s="156">
        <f t="shared" si="39"/>
        <v>4385.9649122807014</v>
      </c>
      <c r="E145" s="157">
        <f t="shared" si="40"/>
        <v>517543.85964912595</v>
      </c>
      <c r="F145" s="158">
        <f t="shared" si="41"/>
        <v>4385.9649122807014</v>
      </c>
      <c r="G145" s="160">
        <f t="shared" si="42"/>
        <v>4385.9649122807014</v>
      </c>
      <c r="AA145" s="2">
        <f t="shared" si="50"/>
        <v>116</v>
      </c>
      <c r="AC145" s="9" t="str">
        <f t="shared" si="60"/>
        <v/>
      </c>
      <c r="AD145" s="9">
        <f t="shared" si="49"/>
        <v>4385.9649122807014</v>
      </c>
      <c r="AF145" s="2" t="str">
        <f t="shared" si="51"/>
        <v/>
      </c>
      <c r="AG145" s="9" t="str">
        <f t="shared" si="52"/>
        <v/>
      </c>
      <c r="AH145" s="9" t="str">
        <f t="shared" si="53"/>
        <v/>
      </c>
      <c r="AL145" s="23">
        <f t="shared" si="55"/>
        <v>0</v>
      </c>
      <c r="AM145" s="23">
        <f t="shared" si="69"/>
        <v>0</v>
      </c>
      <c r="AN145" s="23">
        <f t="shared" si="66"/>
        <v>0</v>
      </c>
      <c r="AO145" s="23">
        <f t="shared" si="72"/>
        <v>0</v>
      </c>
      <c r="AP145" s="23">
        <v>0</v>
      </c>
      <c r="AQ145" s="23">
        <v>0</v>
      </c>
      <c r="AR145" s="23">
        <v>0</v>
      </c>
      <c r="AU145" s="23">
        <f t="shared" si="47"/>
        <v>4385.9649122807014</v>
      </c>
      <c r="AV145" s="23">
        <f t="shared" si="45"/>
        <v>4385.9649122807014</v>
      </c>
      <c r="AW145" s="23">
        <f>$E$23/($B$17-$B$16)*2</f>
        <v>8771.9298245614027</v>
      </c>
      <c r="AX145" s="23">
        <v>0</v>
      </c>
      <c r="AY145" s="23">
        <v>0</v>
      </c>
      <c r="AZ145" s="23">
        <v>0</v>
      </c>
    </row>
    <row r="146" spans="1:52" x14ac:dyDescent="0.25">
      <c r="A146" s="68">
        <f t="shared" si="36"/>
        <v>123</v>
      </c>
      <c r="B146" s="68" t="str">
        <f t="shared" si="37"/>
        <v>amortização</v>
      </c>
      <c r="C146" s="156">
        <f t="shared" si="38"/>
        <v>0</v>
      </c>
      <c r="D146" s="156">
        <f t="shared" si="39"/>
        <v>4385.9649122807014</v>
      </c>
      <c r="E146" s="157">
        <f t="shared" si="40"/>
        <v>513157.89473684528</v>
      </c>
      <c r="F146" s="158">
        <f t="shared" si="41"/>
        <v>4385.9649122807014</v>
      </c>
      <c r="G146" s="160">
        <f t="shared" si="42"/>
        <v>4385.9649122807014</v>
      </c>
      <c r="AA146" s="2">
        <f t="shared" si="50"/>
        <v>117</v>
      </c>
      <c r="AC146" s="9" t="str">
        <f t="shared" si="60"/>
        <v/>
      </c>
      <c r="AD146" s="9">
        <f t="shared" si="49"/>
        <v>4385.9649122807014</v>
      </c>
      <c r="AF146" s="2" t="str">
        <f t="shared" si="51"/>
        <v/>
      </c>
      <c r="AG146" s="9" t="str">
        <f t="shared" si="52"/>
        <v/>
      </c>
      <c r="AH146" s="9" t="str">
        <f t="shared" si="53"/>
        <v/>
      </c>
      <c r="AL146" s="23">
        <f t="shared" si="55"/>
        <v>0</v>
      </c>
      <c r="AM146" s="23">
        <f t="shared" si="69"/>
        <v>0</v>
      </c>
      <c r="AN146" s="23">
        <f t="shared" si="66"/>
        <v>0</v>
      </c>
      <c r="AO146" s="23">
        <v>0</v>
      </c>
      <c r="AP146" s="23">
        <f t="shared" ref="AP146:AP158" si="73">E143*((1+$C$23)^3-1)</f>
        <v>0</v>
      </c>
      <c r="AQ146" s="23">
        <v>0</v>
      </c>
      <c r="AR146" s="23">
        <v>0</v>
      </c>
      <c r="AU146" s="23">
        <f t="shared" si="47"/>
        <v>4385.9649122807014</v>
      </c>
      <c r="AV146" s="23">
        <f t="shared" si="45"/>
        <v>4385.9649122807014</v>
      </c>
      <c r="AW146" s="23">
        <v>0</v>
      </c>
      <c r="AX146" s="23">
        <f>$E$23/($B$17-$B$16)*3</f>
        <v>13157.894736842103</v>
      </c>
      <c r="AY146" s="23">
        <v>0</v>
      </c>
      <c r="AZ146" s="23">
        <v>0</v>
      </c>
    </row>
    <row r="147" spans="1:52" x14ac:dyDescent="0.25">
      <c r="A147" s="68">
        <f t="shared" si="36"/>
        <v>124</v>
      </c>
      <c r="B147" s="68" t="str">
        <f t="shared" si="37"/>
        <v>amortização</v>
      </c>
      <c r="C147" s="156">
        <f t="shared" si="38"/>
        <v>0</v>
      </c>
      <c r="D147" s="156">
        <f t="shared" si="39"/>
        <v>4385.9649122807014</v>
      </c>
      <c r="E147" s="157">
        <f t="shared" si="40"/>
        <v>508771.92982456461</v>
      </c>
      <c r="F147" s="158">
        <f t="shared" si="41"/>
        <v>4385.9649122807014</v>
      </c>
      <c r="G147" s="160">
        <f t="shared" si="42"/>
        <v>4385.9649122807014</v>
      </c>
      <c r="AA147" s="2">
        <f t="shared" si="50"/>
        <v>118</v>
      </c>
      <c r="AC147" s="9" t="str">
        <f t="shared" si="60"/>
        <v/>
      </c>
      <c r="AD147" s="9">
        <f t="shared" si="49"/>
        <v>4385.9649122807014</v>
      </c>
      <c r="AF147" s="2" t="str">
        <f t="shared" si="51"/>
        <v/>
      </c>
      <c r="AG147" s="9" t="str">
        <f t="shared" si="52"/>
        <v/>
      </c>
      <c r="AH147" s="9" t="str">
        <f t="shared" si="53"/>
        <v/>
      </c>
      <c r="AL147" s="23">
        <f t="shared" si="55"/>
        <v>0</v>
      </c>
      <c r="AM147" s="23">
        <f t="shared" si="69"/>
        <v>0</v>
      </c>
      <c r="AN147" s="23">
        <f t="shared" si="66"/>
        <v>0</v>
      </c>
      <c r="AO147" s="23">
        <f t="shared" si="72"/>
        <v>0</v>
      </c>
      <c r="AP147" s="23">
        <v>0</v>
      </c>
      <c r="AQ147" s="23">
        <v>0</v>
      </c>
      <c r="AR147" s="23">
        <v>0</v>
      </c>
      <c r="AU147" s="23">
        <f t="shared" si="47"/>
        <v>4385.9649122807014</v>
      </c>
      <c r="AV147" s="23">
        <f t="shared" si="45"/>
        <v>4385.9649122807014</v>
      </c>
      <c r="AW147" s="23">
        <f>$E$23/($B$17-$B$16)*2</f>
        <v>8771.9298245614027</v>
      </c>
      <c r="AX147" s="23">
        <v>0</v>
      </c>
      <c r="AY147" s="23">
        <v>0</v>
      </c>
      <c r="AZ147" s="23">
        <v>0</v>
      </c>
    </row>
    <row r="148" spans="1:52" x14ac:dyDescent="0.25">
      <c r="A148" s="68">
        <f t="shared" si="36"/>
        <v>125</v>
      </c>
      <c r="B148" s="68" t="str">
        <f t="shared" si="37"/>
        <v>amortização</v>
      </c>
      <c r="C148" s="156">
        <f t="shared" si="38"/>
        <v>0</v>
      </c>
      <c r="D148" s="156">
        <f t="shared" si="39"/>
        <v>4385.9649122807014</v>
      </c>
      <c r="E148" s="157">
        <f t="shared" si="40"/>
        <v>504385.96491228393</v>
      </c>
      <c r="F148" s="158">
        <f t="shared" si="41"/>
        <v>4385.9649122807014</v>
      </c>
      <c r="G148" s="160">
        <f t="shared" si="42"/>
        <v>4385.9649122807014</v>
      </c>
      <c r="AA148" s="2">
        <f t="shared" si="50"/>
        <v>119</v>
      </c>
      <c r="AC148" s="9" t="str">
        <f t="shared" si="60"/>
        <v/>
      </c>
      <c r="AD148" s="9">
        <f t="shared" si="49"/>
        <v>4385.9649122807014</v>
      </c>
      <c r="AF148" s="2" t="str">
        <f t="shared" si="51"/>
        <v/>
      </c>
      <c r="AG148" s="9" t="str">
        <f t="shared" si="52"/>
        <v/>
      </c>
      <c r="AH148" s="9" t="str">
        <f t="shared" si="53"/>
        <v/>
      </c>
      <c r="AL148" s="23">
        <f t="shared" si="55"/>
        <v>0</v>
      </c>
      <c r="AM148" s="23">
        <f t="shared" si="69"/>
        <v>0</v>
      </c>
      <c r="AN148" s="23">
        <f t="shared" si="66"/>
        <v>0</v>
      </c>
      <c r="AO148" s="23">
        <v>0</v>
      </c>
      <c r="AP148" s="23">
        <v>0</v>
      </c>
      <c r="AQ148" s="23">
        <v>0</v>
      </c>
      <c r="AR148" s="23">
        <v>0</v>
      </c>
      <c r="AU148" s="23">
        <f t="shared" si="47"/>
        <v>4385.9649122807014</v>
      </c>
      <c r="AV148" s="23">
        <f t="shared" si="45"/>
        <v>4385.9649122807014</v>
      </c>
      <c r="AW148" s="23">
        <v>0</v>
      </c>
      <c r="AX148" s="23">
        <v>0</v>
      </c>
      <c r="AY148" s="23">
        <v>0</v>
      </c>
      <c r="AZ148" s="23">
        <v>0</v>
      </c>
    </row>
    <row r="149" spans="1:52" x14ac:dyDescent="0.25">
      <c r="A149" s="68">
        <f t="shared" si="36"/>
        <v>126</v>
      </c>
      <c r="B149" s="68" t="str">
        <f t="shared" si="37"/>
        <v>amortização</v>
      </c>
      <c r="C149" s="156">
        <f t="shared" si="38"/>
        <v>0</v>
      </c>
      <c r="D149" s="156">
        <f t="shared" si="39"/>
        <v>4385.9649122807014</v>
      </c>
      <c r="E149" s="157">
        <f t="shared" si="40"/>
        <v>500000.00000000326</v>
      </c>
      <c r="F149" s="158">
        <f t="shared" si="41"/>
        <v>4385.9649122807014</v>
      </c>
      <c r="G149" s="160">
        <f t="shared" si="42"/>
        <v>4385.9649122807014</v>
      </c>
      <c r="AA149" s="2">
        <f t="shared" si="50"/>
        <v>120</v>
      </c>
      <c r="AC149" s="9" t="str">
        <f t="shared" si="60"/>
        <v/>
      </c>
      <c r="AD149" s="9">
        <f t="shared" si="49"/>
        <v>4385.9649122807014</v>
      </c>
      <c r="AF149" s="2" t="str">
        <f t="shared" si="51"/>
        <v/>
      </c>
      <c r="AG149" s="9" t="str">
        <f t="shared" si="52"/>
        <v/>
      </c>
      <c r="AH149" s="9" t="str">
        <f t="shared" si="53"/>
        <v/>
      </c>
      <c r="AL149" s="23">
        <f t="shared" si="55"/>
        <v>0</v>
      </c>
      <c r="AM149" s="23">
        <f t="shared" si="69"/>
        <v>0</v>
      </c>
      <c r="AN149" s="23">
        <f>E148*$C$23</f>
        <v>0</v>
      </c>
      <c r="AO149" s="23">
        <f t="shared" si="72"/>
        <v>0</v>
      </c>
      <c r="AP149" s="23">
        <f t="shared" si="73"/>
        <v>0</v>
      </c>
      <c r="AQ149" s="23">
        <f t="shared" ref="AQ149" si="74">E143*((1+$C$23)^6-1)</f>
        <v>0</v>
      </c>
      <c r="AR149" s="23">
        <v>0</v>
      </c>
      <c r="AU149" s="23">
        <f t="shared" si="47"/>
        <v>4385.9649122807014</v>
      </c>
      <c r="AV149" s="23">
        <f t="shared" si="45"/>
        <v>4385.9649122807014</v>
      </c>
      <c r="AW149" s="23">
        <f>$E$23/($B$17-$B$16)*2</f>
        <v>8771.9298245614027</v>
      </c>
      <c r="AX149" s="23">
        <f>$E$23/($B$17-$B$16)*3</f>
        <v>13157.894736842103</v>
      </c>
      <c r="AY149" s="23">
        <f>$E$23/($B$17-$B$16)*6</f>
        <v>26315.789473684206</v>
      </c>
      <c r="AZ149" s="23">
        <v>0</v>
      </c>
    </row>
    <row r="150" spans="1:52" x14ac:dyDescent="0.25">
      <c r="A150" s="68">
        <f t="shared" si="36"/>
        <v>127</v>
      </c>
      <c r="B150" s="68" t="str">
        <f t="shared" si="37"/>
        <v>amortização</v>
      </c>
      <c r="C150" s="156">
        <f t="shared" si="38"/>
        <v>0</v>
      </c>
      <c r="D150" s="156">
        <f t="shared" si="39"/>
        <v>4385.9649122807014</v>
      </c>
      <c r="E150" s="157">
        <f t="shared" si="40"/>
        <v>495614.03508772259</v>
      </c>
      <c r="F150" s="158">
        <f t="shared" si="41"/>
        <v>4385.9649122807014</v>
      </c>
      <c r="G150" s="160">
        <f t="shared" si="42"/>
        <v>4385.9649122807014</v>
      </c>
      <c r="AA150" s="2">
        <f t="shared" si="50"/>
        <v>121</v>
      </c>
      <c r="AC150" s="9" t="str">
        <f t="shared" si="60"/>
        <v/>
      </c>
      <c r="AD150" s="9">
        <f t="shared" si="49"/>
        <v>4385.9649122807014</v>
      </c>
      <c r="AF150" s="2" t="str">
        <f t="shared" si="51"/>
        <v/>
      </c>
      <c r="AG150" s="9" t="str">
        <f t="shared" si="52"/>
        <v/>
      </c>
      <c r="AH150" s="9" t="str">
        <f t="shared" si="53"/>
        <v/>
      </c>
      <c r="AL150" s="23">
        <f t="shared" si="55"/>
        <v>0</v>
      </c>
      <c r="AM150" s="23">
        <f t="shared" si="69"/>
        <v>0</v>
      </c>
      <c r="AN150" s="23">
        <f t="shared" ref="AN150:AN173" si="75">E149*$C$23</f>
        <v>0</v>
      </c>
      <c r="AO150" s="23">
        <v>0</v>
      </c>
      <c r="AP150" s="23">
        <v>0</v>
      </c>
      <c r="AQ150" s="23">
        <v>0</v>
      </c>
      <c r="AR150" s="23">
        <v>0</v>
      </c>
      <c r="AU150" s="23">
        <f t="shared" si="47"/>
        <v>4385.9649122807014</v>
      </c>
      <c r="AV150" s="23">
        <f t="shared" si="45"/>
        <v>4385.9649122807014</v>
      </c>
      <c r="AW150" s="23">
        <v>0</v>
      </c>
      <c r="AX150" s="23">
        <v>0</v>
      </c>
      <c r="AY150" s="23">
        <v>0</v>
      </c>
      <c r="AZ150" s="23">
        <v>0</v>
      </c>
    </row>
    <row r="151" spans="1:52" x14ac:dyDescent="0.25">
      <c r="A151" s="68">
        <f t="shared" ref="A151:A214" si="76">IF(A150&lt;B$17,A150+1,"")</f>
        <v>128</v>
      </c>
      <c r="B151" s="68" t="str">
        <f t="shared" ref="B151:B214" si="77">IF(A151="","",IF(A151&lt;=B$16,"carência","amortização"))</f>
        <v>amortização</v>
      </c>
      <c r="C151" s="156">
        <f t="shared" ref="C151:C214" si="78">IF(B151="","",IF($AN$18=TRUE,AL151,AM151))</f>
        <v>0</v>
      </c>
      <c r="D151" s="156">
        <f t="shared" ref="D151:D214" si="79">IF(C151="","",IF(A151&lt;=B$16,0,AU151))</f>
        <v>4385.9649122807014</v>
      </c>
      <c r="E151" s="157">
        <f t="shared" ref="E151:E214" si="80">IF(F151="","",E150-D151)</f>
        <v>491228.07017544191</v>
      </c>
      <c r="F151" s="158">
        <f t="shared" ref="F151:F214" si="81">IF(D151="","",D151+C151)</f>
        <v>4385.9649122807014</v>
      </c>
      <c r="G151" s="160">
        <f t="shared" ref="G151:G214" si="82">IF(E151="","",D151+C151)</f>
        <v>4385.9649122807014</v>
      </c>
      <c r="AA151" s="2">
        <f t="shared" si="50"/>
        <v>122</v>
      </c>
      <c r="AC151" s="9" t="str">
        <f t="shared" si="60"/>
        <v/>
      </c>
      <c r="AD151" s="9">
        <f t="shared" si="49"/>
        <v>4385.9649122807014</v>
      </c>
      <c r="AF151" s="2" t="str">
        <f t="shared" si="51"/>
        <v/>
      </c>
      <c r="AG151" s="9" t="str">
        <f t="shared" si="52"/>
        <v/>
      </c>
      <c r="AH151" s="9" t="str">
        <f t="shared" si="53"/>
        <v/>
      </c>
      <c r="AL151" s="23">
        <f t="shared" si="55"/>
        <v>0</v>
      </c>
      <c r="AM151" s="23">
        <f t="shared" si="69"/>
        <v>0</v>
      </c>
      <c r="AN151" s="23">
        <f t="shared" si="75"/>
        <v>0</v>
      </c>
      <c r="AO151" s="23">
        <f t="shared" si="72"/>
        <v>0</v>
      </c>
      <c r="AP151" s="23">
        <v>0</v>
      </c>
      <c r="AQ151" s="23">
        <v>0</v>
      </c>
      <c r="AR151" s="23">
        <v>0</v>
      </c>
      <c r="AU151" s="23">
        <f t="shared" si="47"/>
        <v>4385.9649122807014</v>
      </c>
      <c r="AV151" s="23">
        <f t="shared" si="45"/>
        <v>4385.9649122807014</v>
      </c>
      <c r="AW151" s="23">
        <f>$E$23/($B$17-$B$16)*2</f>
        <v>8771.9298245614027</v>
      </c>
      <c r="AX151" s="23">
        <v>0</v>
      </c>
      <c r="AY151" s="23">
        <v>0</v>
      </c>
      <c r="AZ151" s="23">
        <v>0</v>
      </c>
    </row>
    <row r="152" spans="1:52" x14ac:dyDescent="0.25">
      <c r="A152" s="68">
        <f t="shared" si="76"/>
        <v>129</v>
      </c>
      <c r="B152" s="68" t="str">
        <f t="shared" si="77"/>
        <v>amortização</v>
      </c>
      <c r="C152" s="156">
        <f t="shared" si="78"/>
        <v>0</v>
      </c>
      <c r="D152" s="156">
        <f t="shared" si="79"/>
        <v>4385.9649122807014</v>
      </c>
      <c r="E152" s="157">
        <f t="shared" si="80"/>
        <v>486842.10526316124</v>
      </c>
      <c r="F152" s="158">
        <f t="shared" si="81"/>
        <v>4385.9649122807014</v>
      </c>
      <c r="G152" s="160">
        <f t="shared" si="82"/>
        <v>4385.9649122807014</v>
      </c>
      <c r="AA152" s="2">
        <f t="shared" si="50"/>
        <v>123</v>
      </c>
      <c r="AC152" s="9" t="str">
        <f t="shared" si="60"/>
        <v/>
      </c>
      <c r="AD152" s="9">
        <f t="shared" si="49"/>
        <v>4385.9649122807014</v>
      </c>
      <c r="AF152" s="2" t="str">
        <f t="shared" si="51"/>
        <v/>
      </c>
      <c r="AG152" s="9" t="str">
        <f t="shared" si="52"/>
        <v/>
      </c>
      <c r="AH152" s="9" t="str">
        <f t="shared" si="53"/>
        <v/>
      </c>
      <c r="AL152" s="23">
        <f t="shared" si="55"/>
        <v>0</v>
      </c>
      <c r="AM152" s="23">
        <f t="shared" si="69"/>
        <v>0</v>
      </c>
      <c r="AN152" s="23">
        <f t="shared" si="75"/>
        <v>0</v>
      </c>
      <c r="AO152" s="23">
        <v>0</v>
      </c>
      <c r="AP152" s="23">
        <f t="shared" si="73"/>
        <v>0</v>
      </c>
      <c r="AQ152" s="23">
        <v>0</v>
      </c>
      <c r="AR152" s="23">
        <v>0</v>
      </c>
      <c r="AU152" s="23">
        <f t="shared" si="47"/>
        <v>4385.9649122807014</v>
      </c>
      <c r="AV152" s="23">
        <f t="shared" ref="AV152:AV215" si="83">$E$23/($B$17-$B$16)</f>
        <v>4385.9649122807014</v>
      </c>
      <c r="AW152" s="23">
        <v>0</v>
      </c>
      <c r="AX152" s="23">
        <f>$E$23/($B$17-$B$16)*3</f>
        <v>13157.894736842103</v>
      </c>
      <c r="AY152" s="23">
        <v>0</v>
      </c>
      <c r="AZ152" s="23">
        <v>0</v>
      </c>
    </row>
    <row r="153" spans="1:52" x14ac:dyDescent="0.25">
      <c r="A153" s="68">
        <f t="shared" si="76"/>
        <v>130</v>
      </c>
      <c r="B153" s="68" t="str">
        <f t="shared" si="77"/>
        <v>amortização</v>
      </c>
      <c r="C153" s="156">
        <f t="shared" si="78"/>
        <v>0</v>
      </c>
      <c r="D153" s="156">
        <f t="shared" si="79"/>
        <v>4385.9649122807014</v>
      </c>
      <c r="E153" s="157">
        <f t="shared" si="80"/>
        <v>482456.14035088057</v>
      </c>
      <c r="F153" s="158">
        <f t="shared" si="81"/>
        <v>4385.9649122807014</v>
      </c>
      <c r="G153" s="160">
        <f t="shared" si="82"/>
        <v>4385.9649122807014</v>
      </c>
      <c r="AA153" s="2">
        <f t="shared" si="50"/>
        <v>124</v>
      </c>
      <c r="AC153" s="9" t="str">
        <f t="shared" si="60"/>
        <v/>
      </c>
      <c r="AD153" s="9">
        <f t="shared" si="49"/>
        <v>4385.9649122807014</v>
      </c>
      <c r="AF153" s="2" t="str">
        <f t="shared" si="51"/>
        <v/>
      </c>
      <c r="AG153" s="9" t="str">
        <f t="shared" si="52"/>
        <v/>
      </c>
      <c r="AH153" s="9" t="str">
        <f t="shared" si="53"/>
        <v/>
      </c>
      <c r="AL153" s="23">
        <f t="shared" si="55"/>
        <v>0</v>
      </c>
      <c r="AM153" s="23">
        <f t="shared" si="69"/>
        <v>0</v>
      </c>
      <c r="AN153" s="23">
        <f t="shared" si="75"/>
        <v>0</v>
      </c>
      <c r="AO153" s="23">
        <f t="shared" si="72"/>
        <v>0</v>
      </c>
      <c r="AP153" s="23">
        <v>0</v>
      </c>
      <c r="AQ153" s="23">
        <v>0</v>
      </c>
      <c r="AR153" s="23">
        <v>0</v>
      </c>
      <c r="AU153" s="23">
        <f t="shared" ref="AU153:AU216" si="84">IF($AV$17=1,AV153,IF($AV$17=2,AW153,IF($AV$17=3,AX153,IF($AV$17=4,AY153,IF($AV$17=5,AZ153)))))</f>
        <v>4385.9649122807014</v>
      </c>
      <c r="AV153" s="23">
        <f t="shared" si="83"/>
        <v>4385.9649122807014</v>
      </c>
      <c r="AW153" s="23">
        <f>$E$23/($B$17-$B$16)*2</f>
        <v>8771.9298245614027</v>
      </c>
      <c r="AX153" s="23">
        <v>0</v>
      </c>
      <c r="AY153" s="23">
        <v>0</v>
      </c>
      <c r="AZ153" s="23">
        <v>0</v>
      </c>
    </row>
    <row r="154" spans="1:52" x14ac:dyDescent="0.25">
      <c r="A154" s="68">
        <f t="shared" si="76"/>
        <v>131</v>
      </c>
      <c r="B154" s="68" t="str">
        <f t="shared" si="77"/>
        <v>amortização</v>
      </c>
      <c r="C154" s="156">
        <f t="shared" si="78"/>
        <v>0</v>
      </c>
      <c r="D154" s="156">
        <f t="shared" si="79"/>
        <v>4385.9649122807014</v>
      </c>
      <c r="E154" s="157">
        <f t="shared" si="80"/>
        <v>478070.17543859989</v>
      </c>
      <c r="F154" s="158">
        <f t="shared" si="81"/>
        <v>4385.9649122807014</v>
      </c>
      <c r="G154" s="160">
        <f t="shared" si="82"/>
        <v>4385.9649122807014</v>
      </c>
      <c r="AA154" s="2">
        <f t="shared" si="50"/>
        <v>125</v>
      </c>
      <c r="AC154" s="9" t="str">
        <f t="shared" si="60"/>
        <v/>
      </c>
      <c r="AD154" s="9">
        <f t="shared" si="49"/>
        <v>4385.9649122807014</v>
      </c>
      <c r="AF154" s="2" t="str">
        <f t="shared" si="51"/>
        <v/>
      </c>
      <c r="AG154" s="9" t="str">
        <f t="shared" si="52"/>
        <v/>
      </c>
      <c r="AH154" s="9" t="str">
        <f t="shared" si="53"/>
        <v/>
      </c>
      <c r="AL154" s="23">
        <f t="shared" si="55"/>
        <v>0</v>
      </c>
      <c r="AM154" s="23">
        <f t="shared" si="69"/>
        <v>0</v>
      </c>
      <c r="AN154" s="23">
        <f t="shared" si="75"/>
        <v>0</v>
      </c>
      <c r="AO154" s="23">
        <v>0</v>
      </c>
      <c r="AP154" s="23">
        <v>0</v>
      </c>
      <c r="AQ154" s="23">
        <v>0</v>
      </c>
      <c r="AR154" s="23">
        <v>0</v>
      </c>
      <c r="AU154" s="23">
        <f t="shared" si="84"/>
        <v>4385.9649122807014</v>
      </c>
      <c r="AV154" s="23">
        <f t="shared" si="83"/>
        <v>4385.9649122807014</v>
      </c>
      <c r="AW154" s="23">
        <v>0</v>
      </c>
      <c r="AX154" s="23">
        <v>0</v>
      </c>
      <c r="AY154" s="23">
        <v>0</v>
      </c>
      <c r="AZ154" s="23">
        <v>0</v>
      </c>
    </row>
    <row r="155" spans="1:52" x14ac:dyDescent="0.25">
      <c r="A155" s="68">
        <f t="shared" si="76"/>
        <v>132</v>
      </c>
      <c r="B155" s="68" t="str">
        <f t="shared" si="77"/>
        <v>amortização</v>
      </c>
      <c r="C155" s="156">
        <f t="shared" si="78"/>
        <v>0</v>
      </c>
      <c r="D155" s="156">
        <f t="shared" si="79"/>
        <v>4385.9649122807014</v>
      </c>
      <c r="E155" s="157">
        <f t="shared" si="80"/>
        <v>473684.21052631922</v>
      </c>
      <c r="F155" s="158">
        <f t="shared" si="81"/>
        <v>4385.9649122807014</v>
      </c>
      <c r="G155" s="160">
        <f t="shared" si="82"/>
        <v>4385.9649122807014</v>
      </c>
      <c r="AA155" s="2">
        <f t="shared" si="50"/>
        <v>126</v>
      </c>
      <c r="AC155" s="9" t="str">
        <f t="shared" si="60"/>
        <v/>
      </c>
      <c r="AD155" s="9">
        <f t="shared" si="49"/>
        <v>4385.9649122807014</v>
      </c>
      <c r="AF155" s="2" t="str">
        <f t="shared" si="51"/>
        <v/>
      </c>
      <c r="AG155" s="9" t="str">
        <f t="shared" si="52"/>
        <v/>
      </c>
      <c r="AH155" s="9" t="str">
        <f t="shared" si="53"/>
        <v/>
      </c>
      <c r="AL155" s="23">
        <f t="shared" si="55"/>
        <v>0</v>
      </c>
      <c r="AM155" s="23">
        <f t="shared" si="69"/>
        <v>0</v>
      </c>
      <c r="AN155" s="23">
        <f t="shared" si="75"/>
        <v>0</v>
      </c>
      <c r="AO155" s="23">
        <f>E153*((1+$C$23)^2-1)</f>
        <v>0</v>
      </c>
      <c r="AP155" s="23">
        <f t="shared" si="73"/>
        <v>0</v>
      </c>
      <c r="AQ155" s="23">
        <f t="shared" ref="AQ155" si="85">E149*((1+$C$23)^6-1)</f>
        <v>0</v>
      </c>
      <c r="AR155" s="23">
        <f>E143*((1+$C$23)^12-1)</f>
        <v>0</v>
      </c>
      <c r="AU155" s="23">
        <f t="shared" si="84"/>
        <v>4385.9649122807014</v>
      </c>
      <c r="AV155" s="23">
        <f t="shared" si="83"/>
        <v>4385.9649122807014</v>
      </c>
      <c r="AW155" s="23">
        <f>$E$23/($B$17-$B$16)*2</f>
        <v>8771.9298245614027</v>
      </c>
      <c r="AX155" s="23">
        <f>$E$23/($B$17-$B$16)*3</f>
        <v>13157.894736842103</v>
      </c>
      <c r="AY155" s="23">
        <f>$E$23/($B$17-$B$16)*6</f>
        <v>26315.789473684206</v>
      </c>
      <c r="AZ155" s="23">
        <f>$E$23/($B$17-$B$16)*12</f>
        <v>52631.578947368413</v>
      </c>
    </row>
    <row r="156" spans="1:52" x14ac:dyDescent="0.25">
      <c r="A156" s="68">
        <f t="shared" si="76"/>
        <v>133</v>
      </c>
      <c r="B156" s="68" t="str">
        <f t="shared" si="77"/>
        <v>amortização</v>
      </c>
      <c r="C156" s="156">
        <f t="shared" si="78"/>
        <v>0</v>
      </c>
      <c r="D156" s="156">
        <f t="shared" si="79"/>
        <v>4385.9649122807014</v>
      </c>
      <c r="E156" s="157">
        <f t="shared" si="80"/>
        <v>469298.24561403855</v>
      </c>
      <c r="F156" s="158">
        <f t="shared" si="81"/>
        <v>4385.9649122807014</v>
      </c>
      <c r="G156" s="160">
        <f t="shared" si="82"/>
        <v>4385.9649122807014</v>
      </c>
      <c r="AA156" s="2">
        <f t="shared" si="50"/>
        <v>127</v>
      </c>
      <c r="AC156" s="9" t="str">
        <f t="shared" si="60"/>
        <v/>
      </c>
      <c r="AD156" s="9">
        <f t="shared" si="49"/>
        <v>4385.9649122807014</v>
      </c>
      <c r="AF156" s="2" t="str">
        <f t="shared" si="51"/>
        <v/>
      </c>
      <c r="AG156" s="9" t="str">
        <f t="shared" si="52"/>
        <v/>
      </c>
      <c r="AH156" s="9" t="str">
        <f t="shared" si="53"/>
        <v/>
      </c>
      <c r="AL156" s="23">
        <f t="shared" si="55"/>
        <v>0</v>
      </c>
      <c r="AM156" s="23">
        <f t="shared" si="69"/>
        <v>0</v>
      </c>
      <c r="AN156" s="23">
        <f t="shared" si="75"/>
        <v>0</v>
      </c>
      <c r="AO156" s="23">
        <v>0</v>
      </c>
      <c r="AP156" s="23">
        <v>0</v>
      </c>
      <c r="AQ156" s="23">
        <v>0</v>
      </c>
      <c r="AR156" s="23">
        <v>0</v>
      </c>
      <c r="AU156" s="23">
        <f t="shared" si="84"/>
        <v>4385.9649122807014</v>
      </c>
      <c r="AV156" s="23">
        <f t="shared" si="83"/>
        <v>4385.9649122807014</v>
      </c>
      <c r="AW156" s="23">
        <v>0</v>
      </c>
      <c r="AX156" s="23">
        <v>0</v>
      </c>
      <c r="AY156" s="23">
        <v>0</v>
      </c>
      <c r="AZ156" s="23">
        <v>0</v>
      </c>
    </row>
    <row r="157" spans="1:52" x14ac:dyDescent="0.25">
      <c r="A157" s="68">
        <f t="shared" si="76"/>
        <v>134</v>
      </c>
      <c r="B157" s="68" t="str">
        <f t="shared" si="77"/>
        <v>amortização</v>
      </c>
      <c r="C157" s="156">
        <f t="shared" si="78"/>
        <v>0</v>
      </c>
      <c r="D157" s="156">
        <f t="shared" si="79"/>
        <v>4385.9649122807014</v>
      </c>
      <c r="E157" s="157">
        <f t="shared" si="80"/>
        <v>464912.28070175787</v>
      </c>
      <c r="F157" s="158">
        <f t="shared" si="81"/>
        <v>4385.9649122807014</v>
      </c>
      <c r="G157" s="160">
        <f t="shared" si="82"/>
        <v>4385.9649122807014</v>
      </c>
      <c r="AA157" s="2">
        <f t="shared" si="50"/>
        <v>128</v>
      </c>
      <c r="AC157" s="9" t="str">
        <f t="shared" si="60"/>
        <v/>
      </c>
      <c r="AD157" s="9">
        <f t="shared" ref="AD157:AD220" si="86">IF(AA157="","",IF(AA157&lt;=B$16,0,B$15/(B$17-B$16)))</f>
        <v>4385.9649122807014</v>
      </c>
      <c r="AF157" s="2" t="str">
        <f t="shared" si="51"/>
        <v/>
      </c>
      <c r="AG157" s="9" t="str">
        <f t="shared" si="52"/>
        <v/>
      </c>
      <c r="AH157" s="9" t="str">
        <f t="shared" si="53"/>
        <v/>
      </c>
      <c r="AL157" s="23">
        <f t="shared" si="55"/>
        <v>0</v>
      </c>
      <c r="AM157" s="23">
        <f t="shared" si="69"/>
        <v>0</v>
      </c>
      <c r="AN157" s="23">
        <f t="shared" si="75"/>
        <v>0</v>
      </c>
      <c r="AO157" s="23">
        <f t="shared" ref="AO157:AO165" si="87">E155*((1+$C$23)^2-1)</f>
        <v>0</v>
      </c>
      <c r="AP157" s="23">
        <v>0</v>
      </c>
      <c r="AQ157" s="23">
        <v>0</v>
      </c>
      <c r="AR157" s="23">
        <v>0</v>
      </c>
      <c r="AU157" s="23">
        <f t="shared" si="84"/>
        <v>4385.9649122807014</v>
      </c>
      <c r="AV157" s="23">
        <f t="shared" si="83"/>
        <v>4385.9649122807014</v>
      </c>
      <c r="AW157" s="23">
        <f>$E$23/($B$17-$B$16)*2</f>
        <v>8771.9298245614027</v>
      </c>
      <c r="AX157" s="23">
        <v>0</v>
      </c>
      <c r="AY157" s="23">
        <v>0</v>
      </c>
      <c r="AZ157" s="23">
        <v>0</v>
      </c>
    </row>
    <row r="158" spans="1:52" x14ac:dyDescent="0.25">
      <c r="A158" s="68">
        <f t="shared" si="76"/>
        <v>135</v>
      </c>
      <c r="B158" s="68" t="str">
        <f t="shared" si="77"/>
        <v>amortização</v>
      </c>
      <c r="C158" s="156">
        <f t="shared" si="78"/>
        <v>0</v>
      </c>
      <c r="D158" s="156">
        <f t="shared" si="79"/>
        <v>4385.9649122807014</v>
      </c>
      <c r="E158" s="157">
        <f t="shared" si="80"/>
        <v>460526.3157894772</v>
      </c>
      <c r="F158" s="158">
        <f t="shared" si="81"/>
        <v>4385.9649122807014</v>
      </c>
      <c r="G158" s="160">
        <f t="shared" si="82"/>
        <v>4385.9649122807014</v>
      </c>
      <c r="AA158" s="2">
        <f t="shared" ref="AA158:AA221" si="88">IF(AA157&lt;B$17,AA157+1,"")</f>
        <v>129</v>
      </c>
      <c r="AC158" s="9" t="str">
        <f t="shared" si="60"/>
        <v/>
      </c>
      <c r="AD158" s="9">
        <f t="shared" si="86"/>
        <v>4385.9649122807014</v>
      </c>
      <c r="AF158" s="2" t="str">
        <f t="shared" si="51"/>
        <v/>
      </c>
      <c r="AG158" s="9" t="str">
        <f t="shared" si="52"/>
        <v/>
      </c>
      <c r="AH158" s="9" t="str">
        <f t="shared" si="53"/>
        <v/>
      </c>
      <c r="AL158" s="23">
        <f t="shared" si="55"/>
        <v>0</v>
      </c>
      <c r="AM158" s="23">
        <f t="shared" si="69"/>
        <v>0</v>
      </c>
      <c r="AN158" s="23">
        <f t="shared" si="75"/>
        <v>0</v>
      </c>
      <c r="AO158" s="23">
        <v>0</v>
      </c>
      <c r="AP158" s="23">
        <f t="shared" si="73"/>
        <v>0</v>
      </c>
      <c r="AQ158" s="23">
        <v>0</v>
      </c>
      <c r="AR158" s="23">
        <v>0</v>
      </c>
      <c r="AU158" s="23">
        <f t="shared" si="84"/>
        <v>4385.9649122807014</v>
      </c>
      <c r="AV158" s="23">
        <f t="shared" si="83"/>
        <v>4385.9649122807014</v>
      </c>
      <c r="AW158" s="23">
        <v>0</v>
      </c>
      <c r="AX158" s="23">
        <f>$E$23/($B$17-$B$16)*3</f>
        <v>13157.894736842103</v>
      </c>
      <c r="AY158" s="23">
        <v>0</v>
      </c>
      <c r="AZ158" s="23">
        <v>0</v>
      </c>
    </row>
    <row r="159" spans="1:52" x14ac:dyDescent="0.25">
      <c r="A159" s="68">
        <f t="shared" si="76"/>
        <v>136</v>
      </c>
      <c r="B159" s="68" t="str">
        <f t="shared" si="77"/>
        <v>amortização</v>
      </c>
      <c r="C159" s="156">
        <f t="shared" si="78"/>
        <v>0</v>
      </c>
      <c r="D159" s="156">
        <f t="shared" si="79"/>
        <v>4385.9649122807014</v>
      </c>
      <c r="E159" s="157">
        <f t="shared" si="80"/>
        <v>456140.35087719653</v>
      </c>
      <c r="F159" s="158">
        <f t="shared" si="81"/>
        <v>4385.9649122807014</v>
      </c>
      <c r="G159" s="160">
        <f t="shared" si="82"/>
        <v>4385.9649122807014</v>
      </c>
      <c r="AA159" s="2">
        <f t="shared" si="88"/>
        <v>130</v>
      </c>
      <c r="AC159" s="9" t="str">
        <f t="shared" si="60"/>
        <v/>
      </c>
      <c r="AD159" s="9">
        <f t="shared" si="86"/>
        <v>4385.9649122807014</v>
      </c>
      <c r="AF159" s="2" t="str">
        <f t="shared" ref="AF159:AF180" si="89">IF(AE159="","",AB159-AB$29)</f>
        <v/>
      </c>
      <c r="AG159" s="9" t="str">
        <f t="shared" ref="AG159:AG222" si="90">IF(AF159="","",IF(AF159&lt;365,AF159*AC$25*AD159,365*AD159*AC$25))</f>
        <v/>
      </c>
      <c r="AH159" s="9" t="str">
        <f t="shared" ref="AH159:AH222" si="91">IF(AF159="","",IF(AF159&lt;365,AF159*AC$26*AD159,365*AD159*AC$26))</f>
        <v/>
      </c>
      <c r="AL159" s="23">
        <f t="shared" si="55"/>
        <v>0</v>
      </c>
      <c r="AM159" s="23">
        <f>IF($AN$17=1,AN159,IF($AN$17=2,AO159,IF($AN$17=3,AP159,IF($AN$17=4,AQ159,IF($AN$17=5,AR159)))))</f>
        <v>0</v>
      </c>
      <c r="AN159" s="23">
        <f t="shared" si="75"/>
        <v>0</v>
      </c>
      <c r="AO159" s="23">
        <f t="shared" si="87"/>
        <v>0</v>
      </c>
      <c r="AP159" s="23">
        <v>0</v>
      </c>
      <c r="AQ159" s="23">
        <v>0</v>
      </c>
      <c r="AR159" s="23">
        <v>0</v>
      </c>
      <c r="AU159" s="23">
        <f t="shared" si="84"/>
        <v>4385.9649122807014</v>
      </c>
      <c r="AV159" s="23">
        <f t="shared" si="83"/>
        <v>4385.9649122807014</v>
      </c>
      <c r="AW159" s="23">
        <f>$E$23/($B$17-$B$16)*2</f>
        <v>8771.9298245614027</v>
      </c>
      <c r="AX159" s="23">
        <v>0</v>
      </c>
      <c r="AY159" s="23">
        <v>0</v>
      </c>
      <c r="AZ159" s="23">
        <v>0</v>
      </c>
    </row>
    <row r="160" spans="1:52" x14ac:dyDescent="0.25">
      <c r="A160" s="68">
        <f t="shared" si="76"/>
        <v>137</v>
      </c>
      <c r="B160" s="68" t="str">
        <f t="shared" si="77"/>
        <v>amortização</v>
      </c>
      <c r="C160" s="156">
        <f t="shared" si="78"/>
        <v>0</v>
      </c>
      <c r="D160" s="156">
        <f t="shared" si="79"/>
        <v>4385.9649122807014</v>
      </c>
      <c r="E160" s="157">
        <f t="shared" si="80"/>
        <v>451754.38596491585</v>
      </c>
      <c r="F160" s="158">
        <f t="shared" si="81"/>
        <v>4385.9649122807014</v>
      </c>
      <c r="G160" s="160">
        <f t="shared" si="82"/>
        <v>4385.9649122807014</v>
      </c>
      <c r="AA160" s="2">
        <f t="shared" si="88"/>
        <v>131</v>
      </c>
      <c r="AC160" s="9" t="str">
        <f t="shared" si="60"/>
        <v/>
      </c>
      <c r="AD160" s="9">
        <f t="shared" si="86"/>
        <v>4385.9649122807014</v>
      </c>
      <c r="AF160" s="2" t="str">
        <f t="shared" si="89"/>
        <v/>
      </c>
      <c r="AG160" s="9" t="str">
        <f t="shared" si="90"/>
        <v/>
      </c>
      <c r="AH160" s="9" t="str">
        <f t="shared" si="91"/>
        <v/>
      </c>
      <c r="AL160" s="23">
        <f t="shared" si="55"/>
        <v>0</v>
      </c>
      <c r="AM160" s="23">
        <f t="shared" ref="AM160:AM185" si="92">IF($AN$17=1,AN160,IF($AN$17=2,AO160,IF($AN$17=3,AP160,IF($AN$17=4,AQ160,IF($AN$17=5,AR160)))))</f>
        <v>0</v>
      </c>
      <c r="AN160" s="23">
        <f t="shared" si="75"/>
        <v>0</v>
      </c>
      <c r="AO160" s="23">
        <v>0</v>
      </c>
      <c r="AP160" s="23">
        <v>0</v>
      </c>
      <c r="AQ160" s="23">
        <v>0</v>
      </c>
      <c r="AR160" s="23">
        <v>0</v>
      </c>
      <c r="AU160" s="23">
        <f t="shared" si="84"/>
        <v>4385.9649122807014</v>
      </c>
      <c r="AV160" s="23">
        <f t="shared" si="83"/>
        <v>4385.9649122807014</v>
      </c>
      <c r="AW160" s="23">
        <v>0</v>
      </c>
      <c r="AX160" s="23">
        <v>0</v>
      </c>
      <c r="AY160" s="23">
        <v>0</v>
      </c>
      <c r="AZ160" s="23">
        <v>0</v>
      </c>
    </row>
    <row r="161" spans="1:52" x14ac:dyDescent="0.25">
      <c r="A161" s="68">
        <f t="shared" si="76"/>
        <v>138</v>
      </c>
      <c r="B161" s="68" t="str">
        <f t="shared" si="77"/>
        <v>amortização</v>
      </c>
      <c r="C161" s="156">
        <f t="shared" si="78"/>
        <v>0</v>
      </c>
      <c r="D161" s="156">
        <f t="shared" si="79"/>
        <v>4385.9649122807014</v>
      </c>
      <c r="E161" s="157">
        <f t="shared" si="80"/>
        <v>447368.42105263518</v>
      </c>
      <c r="F161" s="158">
        <f t="shared" si="81"/>
        <v>4385.9649122807014</v>
      </c>
      <c r="G161" s="160">
        <f t="shared" si="82"/>
        <v>4385.9649122807014</v>
      </c>
      <c r="AA161" s="2">
        <f t="shared" si="88"/>
        <v>132</v>
      </c>
      <c r="AC161" s="9" t="str">
        <f t="shared" si="60"/>
        <v/>
      </c>
      <c r="AD161" s="9">
        <f t="shared" si="86"/>
        <v>4385.9649122807014</v>
      </c>
      <c r="AF161" s="2" t="str">
        <f t="shared" si="89"/>
        <v/>
      </c>
      <c r="AG161" s="9" t="str">
        <f t="shared" si="90"/>
        <v/>
      </c>
      <c r="AH161" s="9" t="str">
        <f t="shared" si="91"/>
        <v/>
      </c>
      <c r="AL161" s="23">
        <f t="shared" si="55"/>
        <v>0</v>
      </c>
      <c r="AM161" s="23">
        <f t="shared" si="92"/>
        <v>0</v>
      </c>
      <c r="AN161" s="23">
        <f t="shared" si="75"/>
        <v>0</v>
      </c>
      <c r="AO161" s="23">
        <f t="shared" si="87"/>
        <v>0</v>
      </c>
      <c r="AP161" s="23">
        <f>E158*((1+$C$23)^3-1)</f>
        <v>0</v>
      </c>
      <c r="AQ161" s="23">
        <f>E155*((1+$C$23)^6-1)</f>
        <v>0</v>
      </c>
      <c r="AR161" s="23">
        <v>0</v>
      </c>
      <c r="AU161" s="23">
        <f t="shared" si="84"/>
        <v>4385.9649122807014</v>
      </c>
      <c r="AV161" s="23">
        <f t="shared" si="83"/>
        <v>4385.9649122807014</v>
      </c>
      <c r="AW161" s="23">
        <f>$E$23/($B$17-$B$16)*2</f>
        <v>8771.9298245614027</v>
      </c>
      <c r="AX161" s="23">
        <f>$E$23/($B$17-$B$16)*3</f>
        <v>13157.894736842103</v>
      </c>
      <c r="AY161" s="23">
        <f>$E$23/($B$17-$B$16)*6</f>
        <v>26315.789473684206</v>
      </c>
      <c r="AZ161" s="23">
        <v>0</v>
      </c>
    </row>
    <row r="162" spans="1:52" x14ac:dyDescent="0.25">
      <c r="A162" s="68">
        <f t="shared" si="76"/>
        <v>139</v>
      </c>
      <c r="B162" s="68" t="str">
        <f t="shared" si="77"/>
        <v>amortização</v>
      </c>
      <c r="C162" s="156">
        <f t="shared" si="78"/>
        <v>0</v>
      </c>
      <c r="D162" s="156">
        <f t="shared" si="79"/>
        <v>4385.9649122807014</v>
      </c>
      <c r="E162" s="157">
        <f t="shared" si="80"/>
        <v>442982.45614035451</v>
      </c>
      <c r="F162" s="158">
        <f t="shared" si="81"/>
        <v>4385.9649122807014</v>
      </c>
      <c r="G162" s="160">
        <f t="shared" si="82"/>
        <v>4385.9649122807014</v>
      </c>
      <c r="AA162" s="2">
        <f t="shared" si="88"/>
        <v>133</v>
      </c>
      <c r="AC162" s="9" t="str">
        <f t="shared" si="60"/>
        <v/>
      </c>
      <c r="AD162" s="9">
        <f t="shared" si="86"/>
        <v>4385.9649122807014</v>
      </c>
      <c r="AF162" s="2" t="str">
        <f t="shared" si="89"/>
        <v/>
      </c>
      <c r="AG162" s="9" t="str">
        <f t="shared" si="90"/>
        <v/>
      </c>
      <c r="AH162" s="9" t="str">
        <f t="shared" si="91"/>
        <v/>
      </c>
      <c r="AL162" s="23">
        <f t="shared" si="55"/>
        <v>0</v>
      </c>
      <c r="AM162" s="23">
        <f t="shared" si="92"/>
        <v>0</v>
      </c>
      <c r="AN162" s="23">
        <f t="shared" si="75"/>
        <v>0</v>
      </c>
      <c r="AO162" s="23">
        <v>0</v>
      </c>
      <c r="AP162" s="23">
        <v>0</v>
      </c>
      <c r="AQ162" s="23">
        <v>0</v>
      </c>
      <c r="AR162" s="23">
        <v>0</v>
      </c>
      <c r="AU162" s="23">
        <f t="shared" si="84"/>
        <v>4385.9649122807014</v>
      </c>
      <c r="AV162" s="23">
        <f t="shared" si="83"/>
        <v>4385.9649122807014</v>
      </c>
      <c r="AW162" s="23">
        <v>0</v>
      </c>
      <c r="AX162" s="23">
        <v>0</v>
      </c>
      <c r="AY162" s="23">
        <v>0</v>
      </c>
      <c r="AZ162" s="23">
        <v>0</v>
      </c>
    </row>
    <row r="163" spans="1:52" x14ac:dyDescent="0.25">
      <c r="A163" s="68">
        <f t="shared" si="76"/>
        <v>140</v>
      </c>
      <c r="B163" s="68" t="str">
        <f t="shared" si="77"/>
        <v>amortização</v>
      </c>
      <c r="C163" s="156">
        <f t="shared" si="78"/>
        <v>0</v>
      </c>
      <c r="D163" s="156">
        <f t="shared" si="79"/>
        <v>4385.9649122807014</v>
      </c>
      <c r="E163" s="157">
        <f t="shared" si="80"/>
        <v>438596.49122807384</v>
      </c>
      <c r="F163" s="158">
        <f t="shared" si="81"/>
        <v>4385.9649122807014</v>
      </c>
      <c r="G163" s="160">
        <f t="shared" si="82"/>
        <v>4385.9649122807014</v>
      </c>
      <c r="AA163" s="2">
        <f t="shared" si="88"/>
        <v>134</v>
      </c>
      <c r="AC163" s="9" t="str">
        <f t="shared" si="60"/>
        <v/>
      </c>
      <c r="AD163" s="9">
        <f t="shared" si="86"/>
        <v>4385.9649122807014</v>
      </c>
      <c r="AF163" s="2" t="str">
        <f t="shared" si="89"/>
        <v/>
      </c>
      <c r="AG163" s="9" t="str">
        <f t="shared" si="90"/>
        <v/>
      </c>
      <c r="AH163" s="9" t="str">
        <f t="shared" si="91"/>
        <v/>
      </c>
      <c r="AL163" s="23">
        <f t="shared" si="55"/>
        <v>0</v>
      </c>
      <c r="AM163" s="23">
        <f t="shared" si="92"/>
        <v>0</v>
      </c>
      <c r="AN163" s="23">
        <f t="shared" si="75"/>
        <v>0</v>
      </c>
      <c r="AO163" s="23">
        <f t="shared" si="87"/>
        <v>0</v>
      </c>
      <c r="AP163" s="23">
        <v>0</v>
      </c>
      <c r="AQ163" s="23">
        <v>0</v>
      </c>
      <c r="AR163" s="23">
        <v>0</v>
      </c>
      <c r="AU163" s="23">
        <f t="shared" si="84"/>
        <v>4385.9649122807014</v>
      </c>
      <c r="AV163" s="23">
        <f t="shared" si="83"/>
        <v>4385.9649122807014</v>
      </c>
      <c r="AW163" s="23">
        <f>$E$23/($B$17-$B$16)*2</f>
        <v>8771.9298245614027</v>
      </c>
      <c r="AX163" s="23">
        <v>0</v>
      </c>
      <c r="AY163" s="23">
        <v>0</v>
      </c>
      <c r="AZ163" s="23">
        <v>0</v>
      </c>
    </row>
    <row r="164" spans="1:52" x14ac:dyDescent="0.25">
      <c r="A164" s="68">
        <f t="shared" si="76"/>
        <v>141</v>
      </c>
      <c r="B164" s="68" t="str">
        <f t="shared" si="77"/>
        <v>amortização</v>
      </c>
      <c r="C164" s="156">
        <f t="shared" si="78"/>
        <v>0</v>
      </c>
      <c r="D164" s="156">
        <f t="shared" si="79"/>
        <v>4385.9649122807014</v>
      </c>
      <c r="E164" s="157">
        <f t="shared" si="80"/>
        <v>434210.52631579316</v>
      </c>
      <c r="F164" s="158">
        <f t="shared" si="81"/>
        <v>4385.9649122807014</v>
      </c>
      <c r="G164" s="160">
        <f t="shared" si="82"/>
        <v>4385.9649122807014</v>
      </c>
      <c r="AA164" s="2">
        <f t="shared" si="88"/>
        <v>135</v>
      </c>
      <c r="AC164" s="9" t="str">
        <f t="shared" si="60"/>
        <v/>
      </c>
      <c r="AD164" s="9">
        <f t="shared" si="86"/>
        <v>4385.9649122807014</v>
      </c>
      <c r="AF164" s="2" t="str">
        <f t="shared" si="89"/>
        <v/>
      </c>
      <c r="AG164" s="9" t="str">
        <f t="shared" si="90"/>
        <v/>
      </c>
      <c r="AH164" s="9" t="str">
        <f t="shared" si="91"/>
        <v/>
      </c>
      <c r="AL164" s="23">
        <f t="shared" ref="AL164:AL227" si="93">IF(A164&lt;=$B$16,AM164,E163*$C$23)</f>
        <v>0</v>
      </c>
      <c r="AM164" s="23">
        <f t="shared" si="92"/>
        <v>0</v>
      </c>
      <c r="AN164" s="23">
        <f t="shared" si="75"/>
        <v>0</v>
      </c>
      <c r="AO164" s="23">
        <v>0</v>
      </c>
      <c r="AP164" s="23">
        <f t="shared" ref="AP164:AP170" si="94">E161*((1+$C$23)^3-1)</f>
        <v>0</v>
      </c>
      <c r="AQ164" s="23">
        <v>0</v>
      </c>
      <c r="AR164" s="23">
        <v>0</v>
      </c>
      <c r="AU164" s="23">
        <f t="shared" si="84"/>
        <v>4385.9649122807014</v>
      </c>
      <c r="AV164" s="23">
        <f t="shared" si="83"/>
        <v>4385.9649122807014</v>
      </c>
      <c r="AW164" s="23">
        <v>0</v>
      </c>
      <c r="AX164" s="23">
        <f>$E$23/($B$17-$B$16)*3</f>
        <v>13157.894736842103</v>
      </c>
      <c r="AY164" s="23">
        <v>0</v>
      </c>
      <c r="AZ164" s="23">
        <v>0</v>
      </c>
    </row>
    <row r="165" spans="1:52" x14ac:dyDescent="0.25">
      <c r="A165" s="68">
        <f t="shared" si="76"/>
        <v>142</v>
      </c>
      <c r="B165" s="68" t="str">
        <f t="shared" si="77"/>
        <v>amortização</v>
      </c>
      <c r="C165" s="156">
        <f t="shared" si="78"/>
        <v>0</v>
      </c>
      <c r="D165" s="156">
        <f t="shared" si="79"/>
        <v>4385.9649122807014</v>
      </c>
      <c r="E165" s="157">
        <f t="shared" si="80"/>
        <v>429824.56140351249</v>
      </c>
      <c r="F165" s="158">
        <f t="shared" si="81"/>
        <v>4385.9649122807014</v>
      </c>
      <c r="G165" s="160">
        <f t="shared" si="82"/>
        <v>4385.9649122807014</v>
      </c>
      <c r="AA165" s="2">
        <f t="shared" si="88"/>
        <v>136</v>
      </c>
      <c r="AC165" s="9" t="str">
        <f t="shared" si="60"/>
        <v/>
      </c>
      <c r="AD165" s="9">
        <f t="shared" si="86"/>
        <v>4385.9649122807014</v>
      </c>
      <c r="AF165" s="2" t="str">
        <f t="shared" si="89"/>
        <v/>
      </c>
      <c r="AG165" s="9" t="str">
        <f t="shared" si="90"/>
        <v/>
      </c>
      <c r="AH165" s="9" t="str">
        <f t="shared" si="91"/>
        <v/>
      </c>
      <c r="AL165" s="23">
        <f t="shared" si="93"/>
        <v>0</v>
      </c>
      <c r="AM165" s="23">
        <f t="shared" si="92"/>
        <v>0</v>
      </c>
      <c r="AN165" s="23">
        <f t="shared" si="75"/>
        <v>0</v>
      </c>
      <c r="AO165" s="23">
        <f t="shared" si="87"/>
        <v>0</v>
      </c>
      <c r="AP165" s="23">
        <v>0</v>
      </c>
      <c r="AQ165" s="23">
        <v>0</v>
      </c>
      <c r="AR165" s="23">
        <v>0</v>
      </c>
      <c r="AU165" s="23">
        <f t="shared" si="84"/>
        <v>4385.9649122807014</v>
      </c>
      <c r="AV165" s="23">
        <f t="shared" si="83"/>
        <v>4385.9649122807014</v>
      </c>
      <c r="AW165" s="23">
        <f>$E$23/($B$17-$B$16)*2</f>
        <v>8771.9298245614027</v>
      </c>
      <c r="AX165" s="23">
        <v>0</v>
      </c>
      <c r="AY165" s="23">
        <v>0</v>
      </c>
      <c r="AZ165" s="23">
        <v>0</v>
      </c>
    </row>
    <row r="166" spans="1:52" x14ac:dyDescent="0.25">
      <c r="A166" s="68">
        <f t="shared" si="76"/>
        <v>143</v>
      </c>
      <c r="B166" s="68" t="str">
        <f t="shared" si="77"/>
        <v>amortização</v>
      </c>
      <c r="C166" s="156">
        <f t="shared" si="78"/>
        <v>0</v>
      </c>
      <c r="D166" s="156">
        <f t="shared" si="79"/>
        <v>4385.9649122807014</v>
      </c>
      <c r="E166" s="157">
        <f t="shared" si="80"/>
        <v>425438.59649123182</v>
      </c>
      <c r="F166" s="158">
        <f t="shared" si="81"/>
        <v>4385.9649122807014</v>
      </c>
      <c r="G166" s="160">
        <f t="shared" si="82"/>
        <v>4385.9649122807014</v>
      </c>
      <c r="AA166" s="2">
        <f t="shared" si="88"/>
        <v>137</v>
      </c>
      <c r="AC166" s="9" t="str">
        <f t="shared" si="60"/>
        <v/>
      </c>
      <c r="AD166" s="9">
        <f t="shared" si="86"/>
        <v>4385.9649122807014</v>
      </c>
      <c r="AF166" s="2" t="str">
        <f t="shared" si="89"/>
        <v/>
      </c>
      <c r="AG166" s="9" t="str">
        <f t="shared" si="90"/>
        <v/>
      </c>
      <c r="AH166" s="9" t="str">
        <f t="shared" si="91"/>
        <v/>
      </c>
      <c r="AL166" s="23">
        <f t="shared" si="93"/>
        <v>0</v>
      </c>
      <c r="AM166" s="23">
        <f t="shared" si="92"/>
        <v>0</v>
      </c>
      <c r="AN166" s="23">
        <f t="shared" si="75"/>
        <v>0</v>
      </c>
      <c r="AO166" s="23">
        <v>0</v>
      </c>
      <c r="AP166" s="23">
        <v>0</v>
      </c>
      <c r="AQ166" s="23">
        <v>0</v>
      </c>
      <c r="AR166" s="23">
        <v>0</v>
      </c>
      <c r="AU166" s="23">
        <f t="shared" si="84"/>
        <v>4385.9649122807014</v>
      </c>
      <c r="AV166" s="23">
        <f t="shared" si="83"/>
        <v>4385.9649122807014</v>
      </c>
      <c r="AW166" s="23">
        <v>0</v>
      </c>
      <c r="AX166" s="23">
        <v>0</v>
      </c>
      <c r="AY166" s="23">
        <v>0</v>
      </c>
      <c r="AZ166" s="23">
        <v>0</v>
      </c>
    </row>
    <row r="167" spans="1:52" x14ac:dyDescent="0.25">
      <c r="A167" s="68">
        <f t="shared" si="76"/>
        <v>144</v>
      </c>
      <c r="B167" s="68" t="str">
        <f t="shared" si="77"/>
        <v>amortização</v>
      </c>
      <c r="C167" s="156">
        <f t="shared" si="78"/>
        <v>0</v>
      </c>
      <c r="D167" s="156">
        <f t="shared" si="79"/>
        <v>4385.9649122807014</v>
      </c>
      <c r="E167" s="157">
        <f t="shared" si="80"/>
        <v>421052.63157895114</v>
      </c>
      <c r="F167" s="158">
        <f t="shared" si="81"/>
        <v>4385.9649122807014</v>
      </c>
      <c r="G167" s="160">
        <f t="shared" si="82"/>
        <v>4385.9649122807014</v>
      </c>
      <c r="AA167" s="2">
        <f t="shared" si="88"/>
        <v>138</v>
      </c>
      <c r="AC167" s="9" t="str">
        <f t="shared" si="60"/>
        <v/>
      </c>
      <c r="AD167" s="9">
        <f t="shared" si="86"/>
        <v>4385.9649122807014</v>
      </c>
      <c r="AF167" s="2" t="str">
        <f t="shared" si="89"/>
        <v/>
      </c>
      <c r="AG167" s="9" t="str">
        <f t="shared" si="90"/>
        <v/>
      </c>
      <c r="AH167" s="9" t="str">
        <f t="shared" si="91"/>
        <v/>
      </c>
      <c r="AL167" s="23">
        <f t="shared" si="93"/>
        <v>0</v>
      </c>
      <c r="AM167" s="23">
        <f t="shared" si="92"/>
        <v>0</v>
      </c>
      <c r="AN167" s="23">
        <f t="shared" si="75"/>
        <v>0</v>
      </c>
      <c r="AO167" s="23">
        <f t="shared" ref="AO167:AO179" si="95">E165*((1+$C$23)^2-1)</f>
        <v>0</v>
      </c>
      <c r="AP167" s="23">
        <f t="shared" si="94"/>
        <v>0</v>
      </c>
      <c r="AQ167" s="23">
        <f t="shared" ref="AQ167" si="96">E161*((1+$C$23)^6-1)</f>
        <v>0</v>
      </c>
      <c r="AR167" s="23">
        <f>E155*((1+$C$23)^12-1)</f>
        <v>0</v>
      </c>
      <c r="AU167" s="23">
        <f t="shared" si="84"/>
        <v>4385.9649122807014</v>
      </c>
      <c r="AV167" s="23">
        <f t="shared" si="83"/>
        <v>4385.9649122807014</v>
      </c>
      <c r="AW167" s="23">
        <f>$E$23/($B$17-$B$16)*2</f>
        <v>8771.9298245614027</v>
      </c>
      <c r="AX167" s="23">
        <f>$E$23/($B$17-$B$16)*3</f>
        <v>13157.894736842103</v>
      </c>
      <c r="AY167" s="23">
        <f>$E$23/($B$17-$B$16)*6</f>
        <v>26315.789473684206</v>
      </c>
      <c r="AZ167" s="23">
        <f>$E$23/($B$17-$B$16)*12</f>
        <v>52631.578947368413</v>
      </c>
    </row>
    <row r="168" spans="1:52" x14ac:dyDescent="0.25">
      <c r="A168" s="68">
        <f t="shared" si="76"/>
        <v>145</v>
      </c>
      <c r="B168" s="68" t="str">
        <f t="shared" si="77"/>
        <v>amortização</v>
      </c>
      <c r="C168" s="156">
        <f t="shared" si="78"/>
        <v>0</v>
      </c>
      <c r="D168" s="156">
        <f t="shared" si="79"/>
        <v>4385.9649122807014</v>
      </c>
      <c r="E168" s="157">
        <f t="shared" si="80"/>
        <v>416666.66666667047</v>
      </c>
      <c r="F168" s="158">
        <f t="shared" si="81"/>
        <v>4385.9649122807014</v>
      </c>
      <c r="G168" s="160">
        <f t="shared" si="82"/>
        <v>4385.9649122807014</v>
      </c>
      <c r="AA168" s="2">
        <f t="shared" si="88"/>
        <v>139</v>
      </c>
      <c r="AC168" s="9" t="str">
        <f t="shared" si="60"/>
        <v/>
      </c>
      <c r="AD168" s="9">
        <f t="shared" si="86"/>
        <v>4385.9649122807014</v>
      </c>
      <c r="AF168" s="2" t="str">
        <f t="shared" si="89"/>
        <v/>
      </c>
      <c r="AG168" s="9" t="str">
        <f t="shared" si="90"/>
        <v/>
      </c>
      <c r="AH168" s="9" t="str">
        <f t="shared" si="91"/>
        <v/>
      </c>
      <c r="AL168" s="23">
        <f t="shared" si="93"/>
        <v>0</v>
      </c>
      <c r="AM168" s="23">
        <f t="shared" si="92"/>
        <v>0</v>
      </c>
      <c r="AN168" s="23">
        <f t="shared" si="75"/>
        <v>0</v>
      </c>
      <c r="AO168" s="23">
        <v>0</v>
      </c>
      <c r="AP168" s="23">
        <v>0</v>
      </c>
      <c r="AQ168" s="23">
        <v>0</v>
      </c>
      <c r="AR168" s="23">
        <v>0</v>
      </c>
      <c r="AU168" s="23">
        <f t="shared" si="84"/>
        <v>4385.9649122807014</v>
      </c>
      <c r="AV168" s="23">
        <f t="shared" si="83"/>
        <v>4385.9649122807014</v>
      </c>
      <c r="AW168" s="23">
        <v>0</v>
      </c>
      <c r="AX168" s="23">
        <v>0</v>
      </c>
      <c r="AY168" s="23">
        <v>0</v>
      </c>
      <c r="AZ168" s="23">
        <v>0</v>
      </c>
    </row>
    <row r="169" spans="1:52" x14ac:dyDescent="0.25">
      <c r="A169" s="68">
        <f t="shared" si="76"/>
        <v>146</v>
      </c>
      <c r="B169" s="68" t="str">
        <f t="shared" si="77"/>
        <v>amortização</v>
      </c>
      <c r="C169" s="156">
        <f t="shared" si="78"/>
        <v>0</v>
      </c>
      <c r="D169" s="156">
        <f t="shared" si="79"/>
        <v>4385.9649122807014</v>
      </c>
      <c r="E169" s="157">
        <f t="shared" si="80"/>
        <v>412280.7017543898</v>
      </c>
      <c r="F169" s="158">
        <f t="shared" si="81"/>
        <v>4385.9649122807014</v>
      </c>
      <c r="G169" s="160">
        <f t="shared" si="82"/>
        <v>4385.9649122807014</v>
      </c>
      <c r="AA169" s="2">
        <f t="shared" si="88"/>
        <v>140</v>
      </c>
      <c r="AC169" s="9" t="str">
        <f t="shared" si="60"/>
        <v/>
      </c>
      <c r="AD169" s="9">
        <f t="shared" si="86"/>
        <v>4385.9649122807014</v>
      </c>
      <c r="AF169" s="2" t="str">
        <f t="shared" si="89"/>
        <v/>
      </c>
      <c r="AG169" s="9" t="str">
        <f t="shared" si="90"/>
        <v/>
      </c>
      <c r="AH169" s="9" t="str">
        <f t="shared" si="91"/>
        <v/>
      </c>
      <c r="AL169" s="23">
        <f t="shared" si="93"/>
        <v>0</v>
      </c>
      <c r="AM169" s="23">
        <f t="shared" si="92"/>
        <v>0</v>
      </c>
      <c r="AN169" s="23">
        <f t="shared" si="75"/>
        <v>0</v>
      </c>
      <c r="AO169" s="23">
        <f t="shared" si="95"/>
        <v>0</v>
      </c>
      <c r="AP169" s="23">
        <v>0</v>
      </c>
      <c r="AQ169" s="23">
        <v>0</v>
      </c>
      <c r="AR169" s="23">
        <v>0</v>
      </c>
      <c r="AU169" s="23">
        <f t="shared" si="84"/>
        <v>4385.9649122807014</v>
      </c>
      <c r="AV169" s="23">
        <f t="shared" si="83"/>
        <v>4385.9649122807014</v>
      </c>
      <c r="AW169" s="23">
        <f>$E$23/($B$17-$B$16)*2</f>
        <v>8771.9298245614027</v>
      </c>
      <c r="AX169" s="23">
        <v>0</v>
      </c>
      <c r="AY169" s="23">
        <v>0</v>
      </c>
      <c r="AZ169" s="23">
        <v>0</v>
      </c>
    </row>
    <row r="170" spans="1:52" x14ac:dyDescent="0.25">
      <c r="A170" s="68">
        <f t="shared" si="76"/>
        <v>147</v>
      </c>
      <c r="B170" s="68" t="str">
        <f t="shared" si="77"/>
        <v>amortização</v>
      </c>
      <c r="C170" s="156">
        <f t="shared" si="78"/>
        <v>0</v>
      </c>
      <c r="D170" s="156">
        <f t="shared" si="79"/>
        <v>4385.9649122807014</v>
      </c>
      <c r="E170" s="157">
        <f t="shared" si="80"/>
        <v>407894.73684210912</v>
      </c>
      <c r="F170" s="158">
        <f t="shared" si="81"/>
        <v>4385.9649122807014</v>
      </c>
      <c r="G170" s="160">
        <f t="shared" si="82"/>
        <v>4385.9649122807014</v>
      </c>
      <c r="AA170" s="2">
        <f t="shared" si="88"/>
        <v>141</v>
      </c>
      <c r="AC170" s="9" t="str">
        <f t="shared" si="60"/>
        <v/>
      </c>
      <c r="AD170" s="9">
        <f t="shared" si="86"/>
        <v>4385.9649122807014</v>
      </c>
      <c r="AF170" s="2" t="str">
        <f t="shared" si="89"/>
        <v/>
      </c>
      <c r="AG170" s="9" t="str">
        <f t="shared" si="90"/>
        <v/>
      </c>
      <c r="AH170" s="9" t="str">
        <f t="shared" si="91"/>
        <v/>
      </c>
      <c r="AL170" s="23">
        <f t="shared" si="93"/>
        <v>0</v>
      </c>
      <c r="AM170" s="23">
        <f t="shared" si="92"/>
        <v>0</v>
      </c>
      <c r="AN170" s="23">
        <f t="shared" si="75"/>
        <v>0</v>
      </c>
      <c r="AO170" s="23">
        <v>0</v>
      </c>
      <c r="AP170" s="23">
        <f t="shared" si="94"/>
        <v>0</v>
      </c>
      <c r="AQ170" s="23">
        <v>0</v>
      </c>
      <c r="AR170" s="23">
        <v>0</v>
      </c>
      <c r="AU170" s="23">
        <f t="shared" si="84"/>
        <v>4385.9649122807014</v>
      </c>
      <c r="AV170" s="23">
        <f t="shared" si="83"/>
        <v>4385.9649122807014</v>
      </c>
      <c r="AW170" s="23">
        <v>0</v>
      </c>
      <c r="AX170" s="23">
        <f>$E$23/($B$17-$B$16)*3</f>
        <v>13157.894736842103</v>
      </c>
      <c r="AY170" s="23">
        <v>0</v>
      </c>
      <c r="AZ170" s="23">
        <v>0</v>
      </c>
    </row>
    <row r="171" spans="1:52" x14ac:dyDescent="0.25">
      <c r="A171" s="68">
        <f t="shared" si="76"/>
        <v>148</v>
      </c>
      <c r="B171" s="68" t="str">
        <f t="shared" si="77"/>
        <v>amortização</v>
      </c>
      <c r="C171" s="156">
        <f t="shared" si="78"/>
        <v>0</v>
      </c>
      <c r="D171" s="156">
        <f t="shared" si="79"/>
        <v>4385.9649122807014</v>
      </c>
      <c r="E171" s="157">
        <f t="shared" si="80"/>
        <v>403508.77192982845</v>
      </c>
      <c r="F171" s="158">
        <f t="shared" si="81"/>
        <v>4385.9649122807014</v>
      </c>
      <c r="G171" s="160">
        <f t="shared" si="82"/>
        <v>4385.9649122807014</v>
      </c>
      <c r="AA171" s="2">
        <f t="shared" si="88"/>
        <v>142</v>
      </c>
      <c r="AC171" s="9" t="str">
        <f t="shared" ref="AC171:AC234" si="97">IF(AB171="","",IF(AA171&lt;=B$16,AC170,AC170-AD171))</f>
        <v/>
      </c>
      <c r="AD171" s="9">
        <f t="shared" si="86"/>
        <v>4385.9649122807014</v>
      </c>
      <c r="AF171" s="2" t="str">
        <f t="shared" si="89"/>
        <v/>
      </c>
      <c r="AG171" s="9" t="str">
        <f t="shared" si="90"/>
        <v/>
      </c>
      <c r="AH171" s="9" t="str">
        <f t="shared" si="91"/>
        <v/>
      </c>
      <c r="AL171" s="23">
        <f t="shared" si="93"/>
        <v>0</v>
      </c>
      <c r="AM171" s="23">
        <f t="shared" si="92"/>
        <v>0</v>
      </c>
      <c r="AN171" s="23">
        <f t="shared" si="75"/>
        <v>0</v>
      </c>
      <c r="AO171" s="23">
        <f t="shared" si="95"/>
        <v>0</v>
      </c>
      <c r="AP171" s="23">
        <v>0</v>
      </c>
      <c r="AQ171" s="23">
        <v>0</v>
      </c>
      <c r="AR171" s="23">
        <v>0</v>
      </c>
      <c r="AU171" s="23">
        <f t="shared" si="84"/>
        <v>4385.9649122807014</v>
      </c>
      <c r="AV171" s="23">
        <f t="shared" si="83"/>
        <v>4385.9649122807014</v>
      </c>
      <c r="AW171" s="23">
        <f>$E$23/($B$17-$B$16)*2</f>
        <v>8771.9298245614027</v>
      </c>
      <c r="AX171" s="23">
        <v>0</v>
      </c>
      <c r="AY171" s="23">
        <v>0</v>
      </c>
      <c r="AZ171" s="23">
        <v>0</v>
      </c>
    </row>
    <row r="172" spans="1:52" x14ac:dyDescent="0.25">
      <c r="A172" s="68">
        <f t="shared" si="76"/>
        <v>149</v>
      </c>
      <c r="B172" s="68" t="str">
        <f t="shared" si="77"/>
        <v>amortização</v>
      </c>
      <c r="C172" s="156">
        <f t="shared" si="78"/>
        <v>0</v>
      </c>
      <c r="D172" s="156">
        <f t="shared" si="79"/>
        <v>4385.9649122807014</v>
      </c>
      <c r="E172" s="157">
        <f t="shared" si="80"/>
        <v>399122.80701754778</v>
      </c>
      <c r="F172" s="158">
        <f t="shared" si="81"/>
        <v>4385.9649122807014</v>
      </c>
      <c r="G172" s="160">
        <f t="shared" si="82"/>
        <v>4385.9649122807014</v>
      </c>
      <c r="AA172" s="2">
        <f t="shared" si="88"/>
        <v>143</v>
      </c>
      <c r="AC172" s="9" t="str">
        <f t="shared" si="97"/>
        <v/>
      </c>
      <c r="AD172" s="9">
        <f t="shared" si="86"/>
        <v>4385.9649122807014</v>
      </c>
      <c r="AF172" s="2" t="str">
        <f t="shared" si="89"/>
        <v/>
      </c>
      <c r="AG172" s="9" t="str">
        <f t="shared" si="90"/>
        <v/>
      </c>
      <c r="AH172" s="9" t="str">
        <f t="shared" si="91"/>
        <v/>
      </c>
      <c r="AL172" s="23">
        <f t="shared" si="93"/>
        <v>0</v>
      </c>
      <c r="AM172" s="23">
        <f t="shared" si="92"/>
        <v>0</v>
      </c>
      <c r="AN172" s="23">
        <f t="shared" si="75"/>
        <v>0</v>
      </c>
      <c r="AO172" s="23">
        <v>0</v>
      </c>
      <c r="AP172" s="23">
        <v>0</v>
      </c>
      <c r="AQ172" s="23">
        <v>0</v>
      </c>
      <c r="AR172" s="23">
        <v>0</v>
      </c>
      <c r="AU172" s="23">
        <f t="shared" si="84"/>
        <v>4385.9649122807014</v>
      </c>
      <c r="AV172" s="23">
        <f t="shared" si="83"/>
        <v>4385.9649122807014</v>
      </c>
      <c r="AW172" s="23">
        <v>0</v>
      </c>
      <c r="AX172" s="23">
        <v>0</v>
      </c>
      <c r="AY172" s="23">
        <v>0</v>
      </c>
      <c r="AZ172" s="23">
        <v>0</v>
      </c>
    </row>
    <row r="173" spans="1:52" x14ac:dyDescent="0.25">
      <c r="A173" s="68">
        <f t="shared" si="76"/>
        <v>150</v>
      </c>
      <c r="B173" s="68" t="str">
        <f t="shared" si="77"/>
        <v>amortização</v>
      </c>
      <c r="C173" s="156">
        <f t="shared" si="78"/>
        <v>0</v>
      </c>
      <c r="D173" s="156">
        <f t="shared" si="79"/>
        <v>4385.9649122807014</v>
      </c>
      <c r="E173" s="157">
        <f t="shared" si="80"/>
        <v>394736.8421052671</v>
      </c>
      <c r="F173" s="158">
        <f t="shared" si="81"/>
        <v>4385.9649122807014</v>
      </c>
      <c r="G173" s="160">
        <f t="shared" si="82"/>
        <v>4385.9649122807014</v>
      </c>
      <c r="AA173" s="2">
        <f t="shared" si="88"/>
        <v>144</v>
      </c>
      <c r="AC173" s="9" t="str">
        <f t="shared" si="97"/>
        <v/>
      </c>
      <c r="AD173" s="9">
        <f t="shared" si="86"/>
        <v>4385.9649122807014</v>
      </c>
      <c r="AF173" s="2" t="str">
        <f t="shared" si="89"/>
        <v/>
      </c>
      <c r="AG173" s="9" t="str">
        <f t="shared" si="90"/>
        <v/>
      </c>
      <c r="AH173" s="9" t="str">
        <f t="shared" si="91"/>
        <v/>
      </c>
      <c r="AL173" s="23">
        <f t="shared" si="93"/>
        <v>0</v>
      </c>
      <c r="AM173" s="23">
        <f t="shared" si="92"/>
        <v>0</v>
      </c>
      <c r="AN173" s="23">
        <f t="shared" si="75"/>
        <v>0</v>
      </c>
      <c r="AO173" s="23">
        <f t="shared" si="95"/>
        <v>0</v>
      </c>
      <c r="AP173" s="23">
        <f t="shared" ref="AP173:AP185" si="98">E170*((1+$C$23)^3-1)</f>
        <v>0</v>
      </c>
      <c r="AQ173" s="23">
        <f t="shared" ref="AQ173" si="99">E167*((1+$C$23)^6-1)</f>
        <v>0</v>
      </c>
      <c r="AR173" s="23">
        <v>0</v>
      </c>
      <c r="AU173" s="23">
        <f t="shared" si="84"/>
        <v>4385.9649122807014</v>
      </c>
      <c r="AV173" s="23">
        <f t="shared" si="83"/>
        <v>4385.9649122807014</v>
      </c>
      <c r="AW173" s="23">
        <f>$E$23/($B$17-$B$16)*2</f>
        <v>8771.9298245614027</v>
      </c>
      <c r="AX173" s="23">
        <f>$E$23/($B$17-$B$16)*3</f>
        <v>13157.894736842103</v>
      </c>
      <c r="AY173" s="23">
        <f>$E$23/($B$17-$B$16)*6</f>
        <v>26315.789473684206</v>
      </c>
      <c r="AZ173" s="23">
        <v>0</v>
      </c>
    </row>
    <row r="174" spans="1:52" x14ac:dyDescent="0.25">
      <c r="A174" s="68">
        <f t="shared" si="76"/>
        <v>151</v>
      </c>
      <c r="B174" s="68" t="str">
        <f t="shared" si="77"/>
        <v>amortização</v>
      </c>
      <c r="C174" s="156">
        <f t="shared" si="78"/>
        <v>0</v>
      </c>
      <c r="D174" s="156">
        <f t="shared" si="79"/>
        <v>4385.9649122807014</v>
      </c>
      <c r="E174" s="157">
        <f t="shared" si="80"/>
        <v>390350.87719298643</v>
      </c>
      <c r="F174" s="158">
        <f t="shared" si="81"/>
        <v>4385.9649122807014</v>
      </c>
      <c r="G174" s="160">
        <f t="shared" si="82"/>
        <v>4385.9649122807014</v>
      </c>
      <c r="AA174" s="2">
        <f t="shared" si="88"/>
        <v>145</v>
      </c>
      <c r="AC174" s="9" t="str">
        <f t="shared" si="97"/>
        <v/>
      </c>
      <c r="AD174" s="9">
        <f t="shared" si="86"/>
        <v>4385.9649122807014</v>
      </c>
      <c r="AF174" s="2" t="str">
        <f t="shared" si="89"/>
        <v/>
      </c>
      <c r="AG174" s="9" t="str">
        <f t="shared" si="90"/>
        <v/>
      </c>
      <c r="AH174" s="9" t="str">
        <f t="shared" si="91"/>
        <v/>
      </c>
      <c r="AL174" s="23">
        <f t="shared" si="93"/>
        <v>0</v>
      </c>
      <c r="AM174" s="23">
        <f t="shared" si="92"/>
        <v>0</v>
      </c>
      <c r="AN174" s="23">
        <f>E173*$C$23</f>
        <v>0</v>
      </c>
      <c r="AO174" s="23">
        <v>0</v>
      </c>
      <c r="AP174" s="23">
        <v>0</v>
      </c>
      <c r="AQ174" s="23">
        <v>0</v>
      </c>
      <c r="AR174" s="23">
        <v>0</v>
      </c>
      <c r="AU174" s="23">
        <f t="shared" si="84"/>
        <v>4385.9649122807014</v>
      </c>
      <c r="AV174" s="23">
        <f t="shared" si="83"/>
        <v>4385.9649122807014</v>
      </c>
      <c r="AW174" s="23">
        <v>0</v>
      </c>
      <c r="AX174" s="23">
        <v>0</v>
      </c>
      <c r="AY174" s="23">
        <v>0</v>
      </c>
      <c r="AZ174" s="23">
        <v>0</v>
      </c>
    </row>
    <row r="175" spans="1:52" x14ac:dyDescent="0.25">
      <c r="A175" s="68">
        <f t="shared" si="76"/>
        <v>152</v>
      </c>
      <c r="B175" s="68" t="str">
        <f t="shared" si="77"/>
        <v>amortização</v>
      </c>
      <c r="C175" s="156">
        <f t="shared" si="78"/>
        <v>0</v>
      </c>
      <c r="D175" s="156">
        <f t="shared" si="79"/>
        <v>4385.9649122807014</v>
      </c>
      <c r="E175" s="157">
        <f t="shared" si="80"/>
        <v>385964.91228070576</v>
      </c>
      <c r="F175" s="158">
        <f t="shared" si="81"/>
        <v>4385.9649122807014</v>
      </c>
      <c r="G175" s="160">
        <f t="shared" si="82"/>
        <v>4385.9649122807014</v>
      </c>
      <c r="AA175" s="2">
        <f t="shared" si="88"/>
        <v>146</v>
      </c>
      <c r="AC175" s="9" t="str">
        <f t="shared" si="97"/>
        <v/>
      </c>
      <c r="AD175" s="9">
        <f t="shared" si="86"/>
        <v>4385.9649122807014</v>
      </c>
      <c r="AF175" s="2" t="str">
        <f t="shared" si="89"/>
        <v/>
      </c>
      <c r="AG175" s="9" t="str">
        <f t="shared" si="90"/>
        <v/>
      </c>
      <c r="AH175" s="9" t="str">
        <f t="shared" si="91"/>
        <v/>
      </c>
      <c r="AL175" s="23">
        <f t="shared" si="93"/>
        <v>0</v>
      </c>
      <c r="AM175" s="23">
        <f t="shared" si="92"/>
        <v>0</v>
      </c>
      <c r="AN175" s="23">
        <f t="shared" ref="AN175:AN198" si="100">E174*$C$23</f>
        <v>0</v>
      </c>
      <c r="AO175" s="23">
        <f t="shared" si="95"/>
        <v>0</v>
      </c>
      <c r="AP175" s="23">
        <v>0</v>
      </c>
      <c r="AQ175" s="23">
        <v>0</v>
      </c>
      <c r="AR175" s="23">
        <v>0</v>
      </c>
      <c r="AU175" s="23">
        <f t="shared" si="84"/>
        <v>4385.9649122807014</v>
      </c>
      <c r="AV175" s="23">
        <f t="shared" si="83"/>
        <v>4385.9649122807014</v>
      </c>
      <c r="AW175" s="23">
        <f>$E$23/($B$17-$B$16)*2</f>
        <v>8771.9298245614027</v>
      </c>
      <c r="AX175" s="23">
        <v>0</v>
      </c>
      <c r="AY175" s="23">
        <v>0</v>
      </c>
      <c r="AZ175" s="23">
        <v>0</v>
      </c>
    </row>
    <row r="176" spans="1:52" x14ac:dyDescent="0.25">
      <c r="A176" s="68">
        <f t="shared" si="76"/>
        <v>153</v>
      </c>
      <c r="B176" s="68" t="str">
        <f t="shared" si="77"/>
        <v>amortização</v>
      </c>
      <c r="C176" s="156">
        <f t="shared" si="78"/>
        <v>0</v>
      </c>
      <c r="D176" s="156">
        <f t="shared" si="79"/>
        <v>4385.9649122807014</v>
      </c>
      <c r="E176" s="157">
        <f t="shared" si="80"/>
        <v>381578.94736842508</v>
      </c>
      <c r="F176" s="158">
        <f t="shared" si="81"/>
        <v>4385.9649122807014</v>
      </c>
      <c r="G176" s="160">
        <f t="shared" si="82"/>
        <v>4385.9649122807014</v>
      </c>
      <c r="AA176" s="2">
        <f t="shared" si="88"/>
        <v>147</v>
      </c>
      <c r="AC176" s="9" t="str">
        <f t="shared" si="97"/>
        <v/>
      </c>
      <c r="AD176" s="9">
        <f t="shared" si="86"/>
        <v>4385.9649122807014</v>
      </c>
      <c r="AF176" s="2" t="str">
        <f t="shared" si="89"/>
        <v/>
      </c>
      <c r="AG176" s="9" t="str">
        <f t="shared" si="90"/>
        <v/>
      </c>
      <c r="AH176" s="9" t="str">
        <f t="shared" si="91"/>
        <v/>
      </c>
      <c r="AL176" s="23">
        <f t="shared" si="93"/>
        <v>0</v>
      </c>
      <c r="AM176" s="23">
        <f t="shared" si="92"/>
        <v>0</v>
      </c>
      <c r="AN176" s="23">
        <f t="shared" si="100"/>
        <v>0</v>
      </c>
      <c r="AO176" s="23">
        <v>0</v>
      </c>
      <c r="AP176" s="23">
        <f t="shared" si="98"/>
        <v>0</v>
      </c>
      <c r="AQ176" s="23">
        <v>0</v>
      </c>
      <c r="AR176" s="23">
        <v>0</v>
      </c>
      <c r="AU176" s="23">
        <f t="shared" si="84"/>
        <v>4385.9649122807014</v>
      </c>
      <c r="AV176" s="23">
        <f t="shared" si="83"/>
        <v>4385.9649122807014</v>
      </c>
      <c r="AW176" s="23">
        <v>0</v>
      </c>
      <c r="AX176" s="23">
        <f>$E$23/($B$17-$B$16)*3</f>
        <v>13157.894736842103</v>
      </c>
      <c r="AY176" s="23">
        <v>0</v>
      </c>
      <c r="AZ176" s="23">
        <v>0</v>
      </c>
    </row>
    <row r="177" spans="1:52" x14ac:dyDescent="0.25">
      <c r="A177" s="68">
        <f t="shared" si="76"/>
        <v>154</v>
      </c>
      <c r="B177" s="68" t="str">
        <f t="shared" si="77"/>
        <v>amortização</v>
      </c>
      <c r="C177" s="156">
        <f t="shared" si="78"/>
        <v>0</v>
      </c>
      <c r="D177" s="156">
        <f t="shared" si="79"/>
        <v>4385.9649122807014</v>
      </c>
      <c r="E177" s="157">
        <f t="shared" si="80"/>
        <v>377192.98245614441</v>
      </c>
      <c r="F177" s="158">
        <f t="shared" si="81"/>
        <v>4385.9649122807014</v>
      </c>
      <c r="G177" s="160">
        <f t="shared" si="82"/>
        <v>4385.9649122807014</v>
      </c>
      <c r="AA177" s="2">
        <f t="shared" si="88"/>
        <v>148</v>
      </c>
      <c r="AC177" s="9" t="str">
        <f t="shared" si="97"/>
        <v/>
      </c>
      <c r="AD177" s="9">
        <f t="shared" si="86"/>
        <v>4385.9649122807014</v>
      </c>
      <c r="AF177" s="2" t="str">
        <f t="shared" si="89"/>
        <v/>
      </c>
      <c r="AG177" s="9" t="str">
        <f t="shared" si="90"/>
        <v/>
      </c>
      <c r="AH177" s="9" t="str">
        <f t="shared" si="91"/>
        <v/>
      </c>
      <c r="AL177" s="23">
        <f t="shared" si="93"/>
        <v>0</v>
      </c>
      <c r="AM177" s="23">
        <f t="shared" si="92"/>
        <v>0</v>
      </c>
      <c r="AN177" s="23">
        <f t="shared" si="100"/>
        <v>0</v>
      </c>
      <c r="AO177" s="23">
        <f t="shared" si="95"/>
        <v>0</v>
      </c>
      <c r="AP177" s="23">
        <v>0</v>
      </c>
      <c r="AQ177" s="23">
        <v>0</v>
      </c>
      <c r="AR177" s="23">
        <v>0</v>
      </c>
      <c r="AU177" s="23">
        <f t="shared" si="84"/>
        <v>4385.9649122807014</v>
      </c>
      <c r="AV177" s="23">
        <f t="shared" si="83"/>
        <v>4385.9649122807014</v>
      </c>
      <c r="AW177" s="23">
        <f>$E$23/($B$17-$B$16)*2</f>
        <v>8771.9298245614027</v>
      </c>
      <c r="AX177" s="23">
        <v>0</v>
      </c>
      <c r="AY177" s="23">
        <v>0</v>
      </c>
      <c r="AZ177" s="23">
        <v>0</v>
      </c>
    </row>
    <row r="178" spans="1:52" x14ac:dyDescent="0.25">
      <c r="A178" s="68">
        <f t="shared" si="76"/>
        <v>155</v>
      </c>
      <c r="B178" s="68" t="str">
        <f t="shared" si="77"/>
        <v>amortização</v>
      </c>
      <c r="C178" s="156">
        <f t="shared" si="78"/>
        <v>0</v>
      </c>
      <c r="D178" s="156">
        <f t="shared" si="79"/>
        <v>4385.9649122807014</v>
      </c>
      <c r="E178" s="157">
        <f t="shared" si="80"/>
        <v>372807.01754386374</v>
      </c>
      <c r="F178" s="158">
        <f t="shared" si="81"/>
        <v>4385.9649122807014</v>
      </c>
      <c r="G178" s="160">
        <f t="shared" si="82"/>
        <v>4385.9649122807014</v>
      </c>
      <c r="AA178" s="2">
        <f t="shared" si="88"/>
        <v>149</v>
      </c>
      <c r="AC178" s="9" t="str">
        <f t="shared" si="97"/>
        <v/>
      </c>
      <c r="AD178" s="9">
        <f t="shared" si="86"/>
        <v>4385.9649122807014</v>
      </c>
      <c r="AF178" s="2" t="str">
        <f t="shared" si="89"/>
        <v/>
      </c>
      <c r="AG178" s="9" t="str">
        <f t="shared" si="90"/>
        <v/>
      </c>
      <c r="AH178" s="9" t="str">
        <f t="shared" si="91"/>
        <v/>
      </c>
      <c r="AL178" s="23">
        <f t="shared" si="93"/>
        <v>0</v>
      </c>
      <c r="AM178" s="23">
        <f t="shared" si="92"/>
        <v>0</v>
      </c>
      <c r="AN178" s="23">
        <f t="shared" si="100"/>
        <v>0</v>
      </c>
      <c r="AO178" s="23">
        <v>0</v>
      </c>
      <c r="AP178" s="23">
        <v>0</v>
      </c>
      <c r="AQ178" s="23">
        <v>0</v>
      </c>
      <c r="AR178" s="23">
        <v>0</v>
      </c>
      <c r="AU178" s="23">
        <f t="shared" si="84"/>
        <v>4385.9649122807014</v>
      </c>
      <c r="AV178" s="23">
        <f t="shared" si="83"/>
        <v>4385.9649122807014</v>
      </c>
      <c r="AW178" s="23">
        <v>0</v>
      </c>
      <c r="AX178" s="23">
        <v>0</v>
      </c>
      <c r="AY178" s="23">
        <v>0</v>
      </c>
      <c r="AZ178" s="23">
        <v>0</v>
      </c>
    </row>
    <row r="179" spans="1:52" x14ac:dyDescent="0.25">
      <c r="A179" s="68">
        <f t="shared" si="76"/>
        <v>156</v>
      </c>
      <c r="B179" s="68" t="str">
        <f t="shared" si="77"/>
        <v>amortização</v>
      </c>
      <c r="C179" s="156">
        <f t="shared" si="78"/>
        <v>0</v>
      </c>
      <c r="D179" s="156">
        <f t="shared" si="79"/>
        <v>4385.9649122807014</v>
      </c>
      <c r="E179" s="157">
        <f t="shared" si="80"/>
        <v>368421.05263158306</v>
      </c>
      <c r="F179" s="158">
        <f t="shared" si="81"/>
        <v>4385.9649122807014</v>
      </c>
      <c r="G179" s="160">
        <f t="shared" si="82"/>
        <v>4385.9649122807014</v>
      </c>
      <c r="AA179" s="2">
        <f t="shared" si="88"/>
        <v>150</v>
      </c>
      <c r="AC179" s="9" t="str">
        <f t="shared" si="97"/>
        <v/>
      </c>
      <c r="AD179" s="9">
        <f t="shared" si="86"/>
        <v>4385.9649122807014</v>
      </c>
      <c r="AF179" s="2" t="str">
        <f t="shared" si="89"/>
        <v/>
      </c>
      <c r="AG179" s="9" t="str">
        <f t="shared" si="90"/>
        <v/>
      </c>
      <c r="AH179" s="9" t="str">
        <f t="shared" si="91"/>
        <v/>
      </c>
      <c r="AL179" s="23">
        <f t="shared" si="93"/>
        <v>0</v>
      </c>
      <c r="AM179" s="23">
        <f t="shared" si="92"/>
        <v>0</v>
      </c>
      <c r="AN179" s="23">
        <f t="shared" si="100"/>
        <v>0</v>
      </c>
      <c r="AO179" s="23">
        <f t="shared" si="95"/>
        <v>0</v>
      </c>
      <c r="AP179" s="23">
        <f t="shared" si="98"/>
        <v>0</v>
      </c>
      <c r="AQ179" s="23">
        <f>E173*((1+$C$23)^6-1)</f>
        <v>0</v>
      </c>
      <c r="AR179" s="23">
        <f>E167*((1+$C$23)^12-1)</f>
        <v>0</v>
      </c>
      <c r="AU179" s="23">
        <f t="shared" si="84"/>
        <v>4385.9649122807014</v>
      </c>
      <c r="AV179" s="23">
        <f t="shared" si="83"/>
        <v>4385.9649122807014</v>
      </c>
      <c r="AW179" s="23">
        <f>$E$23/($B$17-$B$16)*2</f>
        <v>8771.9298245614027</v>
      </c>
      <c r="AX179" s="23">
        <f>$E$23/($B$17-$B$16)*3</f>
        <v>13157.894736842103</v>
      </c>
      <c r="AY179" s="23">
        <f>$E$23/($B$17-$B$16)*6</f>
        <v>26315.789473684206</v>
      </c>
      <c r="AZ179" s="23">
        <f>$E$23/($B$17-$B$16)*12</f>
        <v>52631.578947368413</v>
      </c>
    </row>
    <row r="180" spans="1:52" x14ac:dyDescent="0.25">
      <c r="A180" s="68">
        <f t="shared" si="76"/>
        <v>157</v>
      </c>
      <c r="B180" s="68" t="str">
        <f t="shared" si="77"/>
        <v>amortização</v>
      </c>
      <c r="C180" s="156">
        <f t="shared" si="78"/>
        <v>0</v>
      </c>
      <c r="D180" s="156">
        <f t="shared" si="79"/>
        <v>4385.9649122807014</v>
      </c>
      <c r="E180" s="157">
        <f t="shared" si="80"/>
        <v>364035.08771930239</v>
      </c>
      <c r="F180" s="158">
        <f t="shared" si="81"/>
        <v>4385.9649122807014</v>
      </c>
      <c r="G180" s="160">
        <f t="shared" si="82"/>
        <v>4385.9649122807014</v>
      </c>
      <c r="AA180" s="2">
        <f t="shared" si="88"/>
        <v>151</v>
      </c>
      <c r="AC180" s="9" t="str">
        <f t="shared" si="97"/>
        <v/>
      </c>
      <c r="AD180" s="9">
        <f t="shared" si="86"/>
        <v>4385.9649122807014</v>
      </c>
      <c r="AF180" s="2" t="str">
        <f t="shared" si="89"/>
        <v/>
      </c>
      <c r="AG180" s="9" t="str">
        <f t="shared" si="90"/>
        <v/>
      </c>
      <c r="AH180" s="9" t="str">
        <f t="shared" si="91"/>
        <v/>
      </c>
      <c r="AL180" s="23">
        <f t="shared" si="93"/>
        <v>0</v>
      </c>
      <c r="AM180" s="23">
        <f t="shared" si="92"/>
        <v>0</v>
      </c>
      <c r="AN180" s="23">
        <f t="shared" si="100"/>
        <v>0</v>
      </c>
      <c r="AO180" s="23">
        <v>0</v>
      </c>
      <c r="AP180" s="23">
        <v>0</v>
      </c>
      <c r="AQ180" s="23">
        <v>0</v>
      </c>
      <c r="AR180" s="23">
        <v>0</v>
      </c>
      <c r="AU180" s="23">
        <f t="shared" si="84"/>
        <v>4385.9649122807014</v>
      </c>
      <c r="AV180" s="23">
        <f t="shared" si="83"/>
        <v>4385.9649122807014</v>
      </c>
      <c r="AW180" s="23">
        <v>0</v>
      </c>
      <c r="AX180" s="23">
        <v>0</v>
      </c>
      <c r="AY180" s="23">
        <v>0</v>
      </c>
      <c r="AZ180" s="23">
        <v>0</v>
      </c>
    </row>
    <row r="181" spans="1:52" x14ac:dyDescent="0.25">
      <c r="A181" s="68">
        <f t="shared" si="76"/>
        <v>158</v>
      </c>
      <c r="B181" s="68" t="str">
        <f t="shared" si="77"/>
        <v>amortização</v>
      </c>
      <c r="C181" s="156">
        <f t="shared" si="78"/>
        <v>0</v>
      </c>
      <c r="D181" s="156">
        <f t="shared" si="79"/>
        <v>4385.9649122807014</v>
      </c>
      <c r="E181" s="157">
        <f t="shared" si="80"/>
        <v>359649.12280702172</v>
      </c>
      <c r="F181" s="158">
        <f t="shared" si="81"/>
        <v>4385.9649122807014</v>
      </c>
      <c r="G181" s="160">
        <f t="shared" si="82"/>
        <v>4385.9649122807014</v>
      </c>
      <c r="AA181" s="2">
        <f t="shared" si="88"/>
        <v>152</v>
      </c>
      <c r="AC181" s="9" t="str">
        <f t="shared" si="97"/>
        <v/>
      </c>
      <c r="AD181" s="9">
        <f t="shared" si="86"/>
        <v>4385.9649122807014</v>
      </c>
      <c r="AF181" s="2" t="str">
        <f>IF(AE181="","",AB181-AB$29)</f>
        <v/>
      </c>
      <c r="AG181" s="9" t="str">
        <f t="shared" si="90"/>
        <v/>
      </c>
      <c r="AH181" s="9" t="str">
        <f t="shared" si="91"/>
        <v/>
      </c>
      <c r="AL181" s="23">
        <f t="shared" si="93"/>
        <v>0</v>
      </c>
      <c r="AM181" s="23">
        <f t="shared" si="92"/>
        <v>0</v>
      </c>
      <c r="AN181" s="23">
        <f t="shared" si="100"/>
        <v>0</v>
      </c>
      <c r="AO181" s="23">
        <f>E179*((1+$C$23)^2-1)</f>
        <v>0</v>
      </c>
      <c r="AP181" s="23">
        <v>0</v>
      </c>
      <c r="AQ181" s="23">
        <v>0</v>
      </c>
      <c r="AR181" s="23">
        <v>0</v>
      </c>
      <c r="AU181" s="23">
        <f t="shared" si="84"/>
        <v>4385.9649122807014</v>
      </c>
      <c r="AV181" s="23">
        <f t="shared" si="83"/>
        <v>4385.9649122807014</v>
      </c>
      <c r="AW181" s="23">
        <f>$E$23/($B$17-$B$16)*2</f>
        <v>8771.9298245614027</v>
      </c>
      <c r="AX181" s="23">
        <v>0</v>
      </c>
      <c r="AY181" s="23">
        <v>0</v>
      </c>
      <c r="AZ181" s="23">
        <v>0</v>
      </c>
    </row>
    <row r="182" spans="1:52" x14ac:dyDescent="0.25">
      <c r="A182" s="68">
        <f t="shared" si="76"/>
        <v>159</v>
      </c>
      <c r="B182" s="68" t="str">
        <f t="shared" si="77"/>
        <v>amortização</v>
      </c>
      <c r="C182" s="156">
        <f t="shared" si="78"/>
        <v>0</v>
      </c>
      <c r="D182" s="156">
        <f t="shared" si="79"/>
        <v>4385.9649122807014</v>
      </c>
      <c r="E182" s="157">
        <f t="shared" si="80"/>
        <v>355263.15789474105</v>
      </c>
      <c r="F182" s="158">
        <f t="shared" si="81"/>
        <v>4385.9649122807014</v>
      </c>
      <c r="G182" s="160">
        <f t="shared" si="82"/>
        <v>4385.9649122807014</v>
      </c>
      <c r="AA182" s="2">
        <f t="shared" si="88"/>
        <v>153</v>
      </c>
      <c r="AC182" s="9" t="str">
        <f t="shared" si="97"/>
        <v/>
      </c>
      <c r="AD182" s="9">
        <f t="shared" si="86"/>
        <v>4385.9649122807014</v>
      </c>
      <c r="AF182" s="2" t="str">
        <f t="shared" ref="AF182:AF229" si="101">IF(AE182="","",AB182-AB$29)</f>
        <v/>
      </c>
      <c r="AG182" s="9" t="str">
        <f t="shared" si="90"/>
        <v/>
      </c>
      <c r="AH182" s="9" t="str">
        <f t="shared" si="91"/>
        <v/>
      </c>
      <c r="AL182" s="23">
        <f t="shared" si="93"/>
        <v>0</v>
      </c>
      <c r="AM182" s="23">
        <f t="shared" si="92"/>
        <v>0</v>
      </c>
      <c r="AN182" s="23">
        <f t="shared" si="100"/>
        <v>0</v>
      </c>
      <c r="AO182" s="23">
        <v>0</v>
      </c>
      <c r="AP182" s="23">
        <f t="shared" si="98"/>
        <v>0</v>
      </c>
      <c r="AQ182" s="23">
        <v>0</v>
      </c>
      <c r="AR182" s="23">
        <v>0</v>
      </c>
      <c r="AU182" s="23">
        <f t="shared" si="84"/>
        <v>4385.9649122807014</v>
      </c>
      <c r="AV182" s="23">
        <f t="shared" si="83"/>
        <v>4385.9649122807014</v>
      </c>
      <c r="AW182" s="23">
        <v>0</v>
      </c>
      <c r="AX182" s="23">
        <f>$E$23/($B$17-$B$16)*3</f>
        <v>13157.894736842103</v>
      </c>
      <c r="AY182" s="23">
        <v>0</v>
      </c>
      <c r="AZ182" s="23">
        <v>0</v>
      </c>
    </row>
    <row r="183" spans="1:52" x14ac:dyDescent="0.25">
      <c r="A183" s="68">
        <f t="shared" si="76"/>
        <v>160</v>
      </c>
      <c r="B183" s="68" t="str">
        <f t="shared" si="77"/>
        <v>amortização</v>
      </c>
      <c r="C183" s="156">
        <f t="shared" si="78"/>
        <v>0</v>
      </c>
      <c r="D183" s="156">
        <f t="shared" si="79"/>
        <v>4385.9649122807014</v>
      </c>
      <c r="E183" s="157">
        <f t="shared" si="80"/>
        <v>350877.19298246037</v>
      </c>
      <c r="F183" s="158">
        <f t="shared" si="81"/>
        <v>4385.9649122807014</v>
      </c>
      <c r="G183" s="160">
        <f t="shared" si="82"/>
        <v>4385.9649122807014</v>
      </c>
      <c r="AA183" s="2">
        <f t="shared" si="88"/>
        <v>154</v>
      </c>
      <c r="AC183" s="9" t="str">
        <f t="shared" si="97"/>
        <v/>
      </c>
      <c r="AD183" s="9">
        <f t="shared" si="86"/>
        <v>4385.9649122807014</v>
      </c>
      <c r="AF183" s="2" t="str">
        <f t="shared" si="101"/>
        <v/>
      </c>
      <c r="AG183" s="9" t="str">
        <f t="shared" si="90"/>
        <v/>
      </c>
      <c r="AH183" s="9" t="str">
        <f t="shared" si="91"/>
        <v/>
      </c>
      <c r="AL183" s="23">
        <f t="shared" si="93"/>
        <v>0</v>
      </c>
      <c r="AM183" s="23">
        <f t="shared" si="92"/>
        <v>0</v>
      </c>
      <c r="AN183" s="23">
        <f t="shared" si="100"/>
        <v>0</v>
      </c>
      <c r="AO183" s="23">
        <f t="shared" ref="AO183:AO191" si="102">E181*((1+$C$23)^2-1)</f>
        <v>0</v>
      </c>
      <c r="AP183" s="23">
        <v>0</v>
      </c>
      <c r="AQ183" s="23">
        <v>0</v>
      </c>
      <c r="AR183" s="23">
        <v>0</v>
      </c>
      <c r="AU183" s="23">
        <f t="shared" si="84"/>
        <v>4385.9649122807014</v>
      </c>
      <c r="AV183" s="23">
        <f t="shared" si="83"/>
        <v>4385.9649122807014</v>
      </c>
      <c r="AW183" s="23">
        <f>$E$23/($B$17-$B$16)*2</f>
        <v>8771.9298245614027</v>
      </c>
      <c r="AX183" s="23">
        <v>0</v>
      </c>
      <c r="AY183" s="23">
        <v>0</v>
      </c>
      <c r="AZ183" s="23">
        <v>0</v>
      </c>
    </row>
    <row r="184" spans="1:52" x14ac:dyDescent="0.25">
      <c r="A184" s="68">
        <f t="shared" si="76"/>
        <v>161</v>
      </c>
      <c r="B184" s="68" t="str">
        <f t="shared" si="77"/>
        <v>amortização</v>
      </c>
      <c r="C184" s="156">
        <f t="shared" si="78"/>
        <v>0</v>
      </c>
      <c r="D184" s="156">
        <f t="shared" si="79"/>
        <v>4385.9649122807014</v>
      </c>
      <c r="E184" s="157">
        <f t="shared" si="80"/>
        <v>346491.2280701797</v>
      </c>
      <c r="F184" s="158">
        <f t="shared" si="81"/>
        <v>4385.9649122807014</v>
      </c>
      <c r="G184" s="160">
        <f t="shared" si="82"/>
        <v>4385.9649122807014</v>
      </c>
      <c r="AA184" s="2">
        <f t="shared" si="88"/>
        <v>155</v>
      </c>
      <c r="AC184" s="9" t="str">
        <f t="shared" si="97"/>
        <v/>
      </c>
      <c r="AD184" s="9">
        <f t="shared" si="86"/>
        <v>4385.9649122807014</v>
      </c>
      <c r="AF184" s="2" t="str">
        <f t="shared" si="101"/>
        <v/>
      </c>
      <c r="AG184" s="9" t="str">
        <f t="shared" si="90"/>
        <v/>
      </c>
      <c r="AH184" s="9" t="str">
        <f t="shared" si="91"/>
        <v/>
      </c>
      <c r="AL184" s="23">
        <f t="shared" si="93"/>
        <v>0</v>
      </c>
      <c r="AM184" s="23">
        <f t="shared" si="92"/>
        <v>0</v>
      </c>
      <c r="AN184" s="23">
        <f t="shared" si="100"/>
        <v>0</v>
      </c>
      <c r="AO184" s="23">
        <v>0</v>
      </c>
      <c r="AP184" s="23">
        <v>0</v>
      </c>
      <c r="AQ184" s="23">
        <v>0</v>
      </c>
      <c r="AR184" s="23">
        <v>0</v>
      </c>
      <c r="AU184" s="23">
        <f t="shared" si="84"/>
        <v>4385.9649122807014</v>
      </c>
      <c r="AV184" s="23">
        <f t="shared" si="83"/>
        <v>4385.9649122807014</v>
      </c>
      <c r="AW184" s="23">
        <v>0</v>
      </c>
      <c r="AX184" s="23">
        <v>0</v>
      </c>
      <c r="AY184" s="23">
        <v>0</v>
      </c>
      <c r="AZ184" s="23">
        <v>0</v>
      </c>
    </row>
    <row r="185" spans="1:52" x14ac:dyDescent="0.25">
      <c r="A185" s="68">
        <f t="shared" si="76"/>
        <v>162</v>
      </c>
      <c r="B185" s="68" t="str">
        <f t="shared" si="77"/>
        <v>amortização</v>
      </c>
      <c r="C185" s="156">
        <f t="shared" si="78"/>
        <v>0</v>
      </c>
      <c r="D185" s="156">
        <f t="shared" si="79"/>
        <v>4385.9649122807014</v>
      </c>
      <c r="E185" s="157">
        <f t="shared" si="80"/>
        <v>342105.26315789903</v>
      </c>
      <c r="F185" s="158">
        <f t="shared" si="81"/>
        <v>4385.9649122807014</v>
      </c>
      <c r="G185" s="160">
        <f t="shared" si="82"/>
        <v>4385.9649122807014</v>
      </c>
      <c r="AA185" s="2">
        <f t="shared" si="88"/>
        <v>156</v>
      </c>
      <c r="AC185" s="9" t="str">
        <f t="shared" si="97"/>
        <v/>
      </c>
      <c r="AD185" s="9">
        <f t="shared" si="86"/>
        <v>4385.9649122807014</v>
      </c>
      <c r="AF185" s="2" t="str">
        <f t="shared" si="101"/>
        <v/>
      </c>
      <c r="AG185" s="9" t="str">
        <f t="shared" si="90"/>
        <v/>
      </c>
      <c r="AH185" s="9" t="str">
        <f t="shared" si="91"/>
        <v/>
      </c>
      <c r="AL185" s="23">
        <f t="shared" si="93"/>
        <v>0</v>
      </c>
      <c r="AM185" s="23">
        <f t="shared" si="92"/>
        <v>0</v>
      </c>
      <c r="AN185" s="23">
        <f t="shared" si="100"/>
        <v>0</v>
      </c>
      <c r="AO185" s="23">
        <f t="shared" si="102"/>
        <v>0</v>
      </c>
      <c r="AP185" s="23">
        <f t="shared" si="98"/>
        <v>0</v>
      </c>
      <c r="AQ185" s="23">
        <f t="shared" ref="AQ185" si="103">E179*((1+$C$23)^6-1)</f>
        <v>0</v>
      </c>
      <c r="AR185" s="23">
        <v>0</v>
      </c>
      <c r="AU185" s="23">
        <f t="shared" si="84"/>
        <v>4385.9649122807014</v>
      </c>
      <c r="AV185" s="23">
        <f t="shared" si="83"/>
        <v>4385.9649122807014</v>
      </c>
      <c r="AW185" s="23">
        <f>$E$23/($B$17-$B$16)*2</f>
        <v>8771.9298245614027</v>
      </c>
      <c r="AX185" s="23">
        <f>$E$23/($B$17-$B$16)*3</f>
        <v>13157.894736842103</v>
      </c>
      <c r="AY185" s="23">
        <f>$E$23/($B$17-$B$16)*6</f>
        <v>26315.789473684206</v>
      </c>
      <c r="AZ185" s="23">
        <v>0</v>
      </c>
    </row>
    <row r="186" spans="1:52" x14ac:dyDescent="0.25">
      <c r="A186" s="68">
        <f t="shared" si="76"/>
        <v>163</v>
      </c>
      <c r="B186" s="68" t="str">
        <f t="shared" si="77"/>
        <v>amortização</v>
      </c>
      <c r="C186" s="156">
        <f t="shared" si="78"/>
        <v>0</v>
      </c>
      <c r="D186" s="156">
        <f t="shared" si="79"/>
        <v>4385.9649122807014</v>
      </c>
      <c r="E186" s="157">
        <f t="shared" si="80"/>
        <v>337719.29824561835</v>
      </c>
      <c r="F186" s="158">
        <f t="shared" si="81"/>
        <v>4385.9649122807014</v>
      </c>
      <c r="G186" s="160">
        <f t="shared" si="82"/>
        <v>4385.9649122807014</v>
      </c>
      <c r="AA186" s="2">
        <f t="shared" si="88"/>
        <v>157</v>
      </c>
      <c r="AC186" s="9" t="str">
        <f t="shared" si="97"/>
        <v/>
      </c>
      <c r="AD186" s="9">
        <f t="shared" si="86"/>
        <v>4385.9649122807014</v>
      </c>
      <c r="AF186" s="2" t="str">
        <f t="shared" si="101"/>
        <v/>
      </c>
      <c r="AG186" s="9" t="str">
        <f t="shared" si="90"/>
        <v/>
      </c>
      <c r="AH186" s="9" t="str">
        <f t="shared" si="91"/>
        <v/>
      </c>
      <c r="AL186" s="23">
        <f t="shared" si="93"/>
        <v>0</v>
      </c>
      <c r="AM186" s="23">
        <f>IF($AN$17=1,AN186,IF($AN$17=2,AO186,IF($AN$17=3,AP186,IF($AN$17=4,AQ186,IF($AN$17=5,AR186)))))</f>
        <v>0</v>
      </c>
      <c r="AN186" s="23">
        <f t="shared" si="100"/>
        <v>0</v>
      </c>
      <c r="AO186" s="23">
        <v>0</v>
      </c>
      <c r="AP186" s="23">
        <v>0</v>
      </c>
      <c r="AQ186" s="23">
        <v>0</v>
      </c>
      <c r="AR186" s="23">
        <v>0</v>
      </c>
      <c r="AU186" s="23">
        <f t="shared" si="84"/>
        <v>4385.9649122807014</v>
      </c>
      <c r="AV186" s="23">
        <f t="shared" si="83"/>
        <v>4385.9649122807014</v>
      </c>
      <c r="AW186" s="23">
        <v>0</v>
      </c>
      <c r="AX186" s="23">
        <v>0</v>
      </c>
      <c r="AY186" s="23">
        <v>0</v>
      </c>
      <c r="AZ186" s="23">
        <v>0</v>
      </c>
    </row>
    <row r="187" spans="1:52" x14ac:dyDescent="0.25">
      <c r="A187" s="68">
        <f t="shared" si="76"/>
        <v>164</v>
      </c>
      <c r="B187" s="68" t="str">
        <f t="shared" si="77"/>
        <v>amortização</v>
      </c>
      <c r="C187" s="156">
        <f t="shared" si="78"/>
        <v>0</v>
      </c>
      <c r="D187" s="156">
        <f t="shared" si="79"/>
        <v>4385.9649122807014</v>
      </c>
      <c r="E187" s="157">
        <f t="shared" si="80"/>
        <v>333333.33333333768</v>
      </c>
      <c r="F187" s="158">
        <f t="shared" si="81"/>
        <v>4385.9649122807014</v>
      </c>
      <c r="G187" s="160">
        <f t="shared" si="82"/>
        <v>4385.9649122807014</v>
      </c>
      <c r="AA187" s="2">
        <f t="shared" si="88"/>
        <v>158</v>
      </c>
      <c r="AC187" s="9" t="str">
        <f t="shared" si="97"/>
        <v/>
      </c>
      <c r="AD187" s="9">
        <f t="shared" si="86"/>
        <v>4385.9649122807014</v>
      </c>
      <c r="AF187" s="2" t="str">
        <f t="shared" si="101"/>
        <v/>
      </c>
      <c r="AG187" s="9" t="str">
        <f t="shared" si="90"/>
        <v/>
      </c>
      <c r="AH187" s="9" t="str">
        <f t="shared" si="91"/>
        <v/>
      </c>
      <c r="AL187" s="23">
        <f t="shared" si="93"/>
        <v>0</v>
      </c>
      <c r="AM187" s="23">
        <f t="shared" ref="AM187:AM212" si="104">IF($AN$17=1,AN187,IF($AN$17=2,AO187,IF($AN$17=3,AP187,IF($AN$17=4,AQ187,IF($AN$17=5,AR187)))))</f>
        <v>0</v>
      </c>
      <c r="AN187" s="23">
        <f t="shared" si="100"/>
        <v>0</v>
      </c>
      <c r="AO187" s="23">
        <f t="shared" si="102"/>
        <v>0</v>
      </c>
      <c r="AP187" s="23">
        <v>0</v>
      </c>
      <c r="AQ187" s="23">
        <v>0</v>
      </c>
      <c r="AR187" s="23">
        <v>0</v>
      </c>
      <c r="AU187" s="23">
        <f t="shared" si="84"/>
        <v>4385.9649122807014</v>
      </c>
      <c r="AV187" s="23">
        <f t="shared" si="83"/>
        <v>4385.9649122807014</v>
      </c>
      <c r="AW187" s="23">
        <f>$E$23/($B$17-$B$16)*2</f>
        <v>8771.9298245614027</v>
      </c>
      <c r="AX187" s="23">
        <v>0</v>
      </c>
      <c r="AY187" s="23">
        <v>0</v>
      </c>
      <c r="AZ187" s="23">
        <v>0</v>
      </c>
    </row>
    <row r="188" spans="1:52" x14ac:dyDescent="0.25">
      <c r="A188" s="68">
        <f t="shared" si="76"/>
        <v>165</v>
      </c>
      <c r="B188" s="68" t="str">
        <f t="shared" si="77"/>
        <v>amortização</v>
      </c>
      <c r="C188" s="156">
        <f t="shared" si="78"/>
        <v>0</v>
      </c>
      <c r="D188" s="156">
        <f t="shared" si="79"/>
        <v>4385.9649122807014</v>
      </c>
      <c r="E188" s="157">
        <f t="shared" si="80"/>
        <v>328947.36842105701</v>
      </c>
      <c r="F188" s="158">
        <f t="shared" si="81"/>
        <v>4385.9649122807014</v>
      </c>
      <c r="G188" s="160">
        <f t="shared" si="82"/>
        <v>4385.9649122807014</v>
      </c>
      <c r="AA188" s="2">
        <f t="shared" si="88"/>
        <v>159</v>
      </c>
      <c r="AC188" s="9" t="str">
        <f t="shared" si="97"/>
        <v/>
      </c>
      <c r="AD188" s="9">
        <f t="shared" si="86"/>
        <v>4385.9649122807014</v>
      </c>
      <c r="AF188" s="2" t="str">
        <f t="shared" si="101"/>
        <v/>
      </c>
      <c r="AG188" s="9" t="str">
        <f t="shared" si="90"/>
        <v/>
      </c>
      <c r="AH188" s="9" t="str">
        <f t="shared" si="91"/>
        <v/>
      </c>
      <c r="AL188" s="23">
        <f t="shared" si="93"/>
        <v>0</v>
      </c>
      <c r="AM188" s="23">
        <f t="shared" si="104"/>
        <v>0</v>
      </c>
      <c r="AN188" s="23">
        <f t="shared" si="100"/>
        <v>0</v>
      </c>
      <c r="AO188" s="23">
        <v>0</v>
      </c>
      <c r="AP188" s="23">
        <f>E185*((1+$C$23)^3-1)</f>
        <v>0</v>
      </c>
      <c r="AQ188" s="23">
        <v>0</v>
      </c>
      <c r="AR188" s="23">
        <v>0</v>
      </c>
      <c r="AU188" s="23">
        <f t="shared" si="84"/>
        <v>4385.9649122807014</v>
      </c>
      <c r="AV188" s="23">
        <f t="shared" si="83"/>
        <v>4385.9649122807014</v>
      </c>
      <c r="AW188" s="23">
        <v>0</v>
      </c>
      <c r="AX188" s="23">
        <f>$E$23/($B$17-$B$16)*3</f>
        <v>13157.894736842103</v>
      </c>
      <c r="AY188" s="23">
        <v>0</v>
      </c>
      <c r="AZ188" s="23">
        <v>0</v>
      </c>
    </row>
    <row r="189" spans="1:52" x14ac:dyDescent="0.25">
      <c r="A189" s="68">
        <f t="shared" si="76"/>
        <v>166</v>
      </c>
      <c r="B189" s="68" t="str">
        <f t="shared" si="77"/>
        <v>amortização</v>
      </c>
      <c r="C189" s="156">
        <f t="shared" si="78"/>
        <v>0</v>
      </c>
      <c r="D189" s="156">
        <f t="shared" si="79"/>
        <v>4385.9649122807014</v>
      </c>
      <c r="E189" s="157">
        <f t="shared" si="80"/>
        <v>324561.40350877633</v>
      </c>
      <c r="F189" s="158">
        <f t="shared" si="81"/>
        <v>4385.9649122807014</v>
      </c>
      <c r="G189" s="160">
        <f t="shared" si="82"/>
        <v>4385.9649122807014</v>
      </c>
      <c r="AA189" s="2">
        <f t="shared" si="88"/>
        <v>160</v>
      </c>
      <c r="AC189" s="9" t="str">
        <f t="shared" si="97"/>
        <v/>
      </c>
      <c r="AD189" s="9">
        <f t="shared" si="86"/>
        <v>4385.9649122807014</v>
      </c>
      <c r="AF189" s="2" t="str">
        <f t="shared" si="101"/>
        <v/>
      </c>
      <c r="AG189" s="9" t="str">
        <f t="shared" si="90"/>
        <v/>
      </c>
      <c r="AH189" s="9" t="str">
        <f t="shared" si="91"/>
        <v/>
      </c>
      <c r="AL189" s="23">
        <f t="shared" si="93"/>
        <v>0</v>
      </c>
      <c r="AM189" s="23">
        <f t="shared" si="104"/>
        <v>0</v>
      </c>
      <c r="AN189" s="23">
        <f t="shared" si="100"/>
        <v>0</v>
      </c>
      <c r="AO189" s="23">
        <f t="shared" si="102"/>
        <v>0</v>
      </c>
      <c r="AP189" s="23">
        <v>0</v>
      </c>
      <c r="AQ189" s="23">
        <v>0</v>
      </c>
      <c r="AR189" s="23">
        <v>0</v>
      </c>
      <c r="AU189" s="23">
        <f t="shared" si="84"/>
        <v>4385.9649122807014</v>
      </c>
      <c r="AV189" s="23">
        <f t="shared" si="83"/>
        <v>4385.9649122807014</v>
      </c>
      <c r="AW189" s="23">
        <f>$E$23/($B$17-$B$16)*2</f>
        <v>8771.9298245614027</v>
      </c>
      <c r="AX189" s="23">
        <v>0</v>
      </c>
      <c r="AY189" s="23">
        <v>0</v>
      </c>
      <c r="AZ189" s="23">
        <v>0</v>
      </c>
    </row>
    <row r="190" spans="1:52" x14ac:dyDescent="0.25">
      <c r="A190" s="68">
        <f t="shared" si="76"/>
        <v>167</v>
      </c>
      <c r="B190" s="68" t="str">
        <f t="shared" si="77"/>
        <v>amortização</v>
      </c>
      <c r="C190" s="156">
        <f t="shared" si="78"/>
        <v>0</v>
      </c>
      <c r="D190" s="156">
        <f t="shared" si="79"/>
        <v>4385.9649122807014</v>
      </c>
      <c r="E190" s="157">
        <f t="shared" si="80"/>
        <v>320175.43859649566</v>
      </c>
      <c r="F190" s="158">
        <f t="shared" si="81"/>
        <v>4385.9649122807014</v>
      </c>
      <c r="G190" s="160">
        <f t="shared" si="82"/>
        <v>4385.9649122807014</v>
      </c>
      <c r="AA190" s="2">
        <f t="shared" si="88"/>
        <v>161</v>
      </c>
      <c r="AC190" s="9" t="str">
        <f t="shared" si="97"/>
        <v/>
      </c>
      <c r="AD190" s="9">
        <f t="shared" si="86"/>
        <v>4385.9649122807014</v>
      </c>
      <c r="AF190" s="2" t="str">
        <f t="shared" si="101"/>
        <v/>
      </c>
      <c r="AG190" s="9" t="str">
        <f t="shared" si="90"/>
        <v/>
      </c>
      <c r="AH190" s="9" t="str">
        <f t="shared" si="91"/>
        <v/>
      </c>
      <c r="AL190" s="23">
        <f t="shared" si="93"/>
        <v>0</v>
      </c>
      <c r="AM190" s="23">
        <f t="shared" si="104"/>
        <v>0</v>
      </c>
      <c r="AN190" s="23">
        <f t="shared" si="100"/>
        <v>0</v>
      </c>
      <c r="AO190" s="23">
        <v>0</v>
      </c>
      <c r="AP190" s="23">
        <v>0</v>
      </c>
      <c r="AQ190" s="23">
        <v>0</v>
      </c>
      <c r="AR190" s="23">
        <v>0</v>
      </c>
      <c r="AU190" s="23">
        <f t="shared" si="84"/>
        <v>4385.9649122807014</v>
      </c>
      <c r="AV190" s="23">
        <f t="shared" si="83"/>
        <v>4385.9649122807014</v>
      </c>
      <c r="AW190" s="23">
        <v>0</v>
      </c>
      <c r="AX190" s="23">
        <v>0</v>
      </c>
      <c r="AY190" s="23">
        <v>0</v>
      </c>
      <c r="AZ190" s="23">
        <v>0</v>
      </c>
    </row>
    <row r="191" spans="1:52" x14ac:dyDescent="0.25">
      <c r="A191" s="68">
        <f t="shared" si="76"/>
        <v>168</v>
      </c>
      <c r="B191" s="68" t="str">
        <f t="shared" si="77"/>
        <v>amortização</v>
      </c>
      <c r="C191" s="156">
        <f t="shared" si="78"/>
        <v>0</v>
      </c>
      <c r="D191" s="156">
        <f t="shared" si="79"/>
        <v>4385.9649122807014</v>
      </c>
      <c r="E191" s="157">
        <f t="shared" si="80"/>
        <v>315789.47368421499</v>
      </c>
      <c r="F191" s="158">
        <f t="shared" si="81"/>
        <v>4385.9649122807014</v>
      </c>
      <c r="G191" s="160">
        <f t="shared" si="82"/>
        <v>4385.9649122807014</v>
      </c>
      <c r="AA191" s="2">
        <f t="shared" si="88"/>
        <v>162</v>
      </c>
      <c r="AC191" s="9" t="str">
        <f t="shared" si="97"/>
        <v/>
      </c>
      <c r="AD191" s="9">
        <f t="shared" si="86"/>
        <v>4385.9649122807014</v>
      </c>
      <c r="AF191" s="2" t="str">
        <f t="shared" si="101"/>
        <v/>
      </c>
      <c r="AG191" s="9" t="str">
        <f t="shared" si="90"/>
        <v/>
      </c>
      <c r="AH191" s="9" t="str">
        <f t="shared" si="91"/>
        <v/>
      </c>
      <c r="AL191" s="23">
        <f t="shared" si="93"/>
        <v>0</v>
      </c>
      <c r="AM191" s="23">
        <f t="shared" si="104"/>
        <v>0</v>
      </c>
      <c r="AN191" s="23">
        <f t="shared" si="100"/>
        <v>0</v>
      </c>
      <c r="AO191" s="23">
        <f t="shared" si="102"/>
        <v>0</v>
      </c>
      <c r="AP191" s="23">
        <f t="shared" ref="AP191:AP197" si="105">E188*((1+$C$23)^3-1)</f>
        <v>0</v>
      </c>
      <c r="AQ191" s="23">
        <f t="shared" ref="AQ191" si="106">E185*((1+$C$23)^6-1)</f>
        <v>0</v>
      </c>
      <c r="AR191" s="23">
        <f>E179*((1+$C$23)^12-1)</f>
        <v>0</v>
      </c>
      <c r="AU191" s="23">
        <f t="shared" si="84"/>
        <v>4385.9649122807014</v>
      </c>
      <c r="AV191" s="23">
        <f t="shared" si="83"/>
        <v>4385.9649122807014</v>
      </c>
      <c r="AW191" s="23">
        <f>$E$23/($B$17-$B$16)*2</f>
        <v>8771.9298245614027</v>
      </c>
      <c r="AX191" s="23">
        <f>$E$23/($B$17-$B$16)*3</f>
        <v>13157.894736842103</v>
      </c>
      <c r="AY191" s="23">
        <f>$E$23/($B$17-$B$16)*6</f>
        <v>26315.789473684206</v>
      </c>
      <c r="AZ191" s="23">
        <f>$E$23/($B$17-$B$16)*12</f>
        <v>52631.578947368413</v>
      </c>
    </row>
    <row r="192" spans="1:52" x14ac:dyDescent="0.25">
      <c r="A192" s="68">
        <f t="shared" si="76"/>
        <v>169</v>
      </c>
      <c r="B192" s="68" t="str">
        <f t="shared" si="77"/>
        <v>amortização</v>
      </c>
      <c r="C192" s="156">
        <f t="shared" si="78"/>
        <v>0</v>
      </c>
      <c r="D192" s="156">
        <f t="shared" si="79"/>
        <v>4385.9649122807014</v>
      </c>
      <c r="E192" s="157">
        <f t="shared" si="80"/>
        <v>311403.50877193431</v>
      </c>
      <c r="F192" s="158">
        <f t="shared" si="81"/>
        <v>4385.9649122807014</v>
      </c>
      <c r="G192" s="160">
        <f t="shared" si="82"/>
        <v>4385.9649122807014</v>
      </c>
      <c r="AA192" s="2">
        <f t="shared" si="88"/>
        <v>163</v>
      </c>
      <c r="AC192" s="9" t="str">
        <f t="shared" si="97"/>
        <v/>
      </c>
      <c r="AD192" s="9">
        <f t="shared" si="86"/>
        <v>4385.9649122807014</v>
      </c>
      <c r="AF192" s="2" t="str">
        <f t="shared" si="101"/>
        <v/>
      </c>
      <c r="AG192" s="9" t="str">
        <f t="shared" si="90"/>
        <v/>
      </c>
      <c r="AH192" s="9" t="str">
        <f t="shared" si="91"/>
        <v/>
      </c>
      <c r="AL192" s="23">
        <f t="shared" si="93"/>
        <v>0</v>
      </c>
      <c r="AM192" s="23">
        <f t="shared" si="104"/>
        <v>0</v>
      </c>
      <c r="AN192" s="23">
        <f t="shared" si="100"/>
        <v>0</v>
      </c>
      <c r="AO192" s="23">
        <v>0</v>
      </c>
      <c r="AP192" s="23">
        <v>0</v>
      </c>
      <c r="AQ192" s="23">
        <v>0</v>
      </c>
      <c r="AR192" s="23">
        <v>0</v>
      </c>
      <c r="AU192" s="23">
        <f t="shared" si="84"/>
        <v>4385.9649122807014</v>
      </c>
      <c r="AV192" s="23">
        <f t="shared" si="83"/>
        <v>4385.9649122807014</v>
      </c>
      <c r="AW192" s="23">
        <v>0</v>
      </c>
      <c r="AX192" s="23">
        <v>0</v>
      </c>
      <c r="AY192" s="23">
        <v>0</v>
      </c>
      <c r="AZ192" s="23">
        <v>0</v>
      </c>
    </row>
    <row r="193" spans="1:52" x14ac:dyDescent="0.25">
      <c r="A193" s="68">
        <f t="shared" si="76"/>
        <v>170</v>
      </c>
      <c r="B193" s="68" t="str">
        <f t="shared" si="77"/>
        <v>amortização</v>
      </c>
      <c r="C193" s="156">
        <f t="shared" si="78"/>
        <v>0</v>
      </c>
      <c r="D193" s="156">
        <f t="shared" si="79"/>
        <v>4385.9649122807014</v>
      </c>
      <c r="E193" s="157">
        <f t="shared" si="80"/>
        <v>307017.54385965364</v>
      </c>
      <c r="F193" s="158">
        <f t="shared" si="81"/>
        <v>4385.9649122807014</v>
      </c>
      <c r="G193" s="160">
        <f t="shared" si="82"/>
        <v>4385.9649122807014</v>
      </c>
      <c r="AA193" s="2">
        <f t="shared" si="88"/>
        <v>164</v>
      </c>
      <c r="AC193" s="9" t="str">
        <f t="shared" si="97"/>
        <v/>
      </c>
      <c r="AD193" s="9">
        <f t="shared" si="86"/>
        <v>4385.9649122807014</v>
      </c>
      <c r="AF193" s="2" t="str">
        <f t="shared" si="101"/>
        <v/>
      </c>
      <c r="AG193" s="9" t="str">
        <f t="shared" si="90"/>
        <v/>
      </c>
      <c r="AH193" s="9" t="str">
        <f t="shared" si="91"/>
        <v/>
      </c>
      <c r="AL193" s="23">
        <f t="shared" si="93"/>
        <v>0</v>
      </c>
      <c r="AM193" s="23">
        <f t="shared" si="104"/>
        <v>0</v>
      </c>
      <c r="AN193" s="23">
        <f t="shared" si="100"/>
        <v>0</v>
      </c>
      <c r="AO193" s="23">
        <f t="shared" ref="AO193:AO205" si="107">E191*((1+$C$23)^2-1)</f>
        <v>0</v>
      </c>
      <c r="AP193" s="23">
        <v>0</v>
      </c>
      <c r="AQ193" s="23">
        <v>0</v>
      </c>
      <c r="AR193" s="23">
        <v>0</v>
      </c>
      <c r="AU193" s="23">
        <f t="shared" si="84"/>
        <v>4385.9649122807014</v>
      </c>
      <c r="AV193" s="23">
        <f t="shared" si="83"/>
        <v>4385.9649122807014</v>
      </c>
      <c r="AW193" s="23">
        <f>$E$23/($B$17-$B$16)*2</f>
        <v>8771.9298245614027</v>
      </c>
      <c r="AX193" s="23">
        <v>0</v>
      </c>
      <c r="AY193" s="23">
        <v>0</v>
      </c>
      <c r="AZ193" s="23">
        <v>0</v>
      </c>
    </row>
    <row r="194" spans="1:52" x14ac:dyDescent="0.25">
      <c r="A194" s="68">
        <f t="shared" si="76"/>
        <v>171</v>
      </c>
      <c r="B194" s="68" t="str">
        <f t="shared" si="77"/>
        <v>amortização</v>
      </c>
      <c r="C194" s="156">
        <f t="shared" si="78"/>
        <v>0</v>
      </c>
      <c r="D194" s="156">
        <f t="shared" si="79"/>
        <v>4385.9649122807014</v>
      </c>
      <c r="E194" s="157">
        <f t="shared" si="80"/>
        <v>302631.57894737297</v>
      </c>
      <c r="F194" s="158">
        <f t="shared" si="81"/>
        <v>4385.9649122807014</v>
      </c>
      <c r="G194" s="160">
        <f t="shared" si="82"/>
        <v>4385.9649122807014</v>
      </c>
      <c r="AA194" s="2">
        <f t="shared" si="88"/>
        <v>165</v>
      </c>
      <c r="AC194" s="9" t="str">
        <f t="shared" si="97"/>
        <v/>
      </c>
      <c r="AD194" s="9">
        <f t="shared" si="86"/>
        <v>4385.9649122807014</v>
      </c>
      <c r="AF194" s="2" t="str">
        <f t="shared" si="101"/>
        <v/>
      </c>
      <c r="AG194" s="9" t="str">
        <f t="shared" si="90"/>
        <v/>
      </c>
      <c r="AH194" s="9" t="str">
        <f t="shared" si="91"/>
        <v/>
      </c>
      <c r="AL194" s="23">
        <f t="shared" si="93"/>
        <v>0</v>
      </c>
      <c r="AM194" s="23">
        <f t="shared" si="104"/>
        <v>0</v>
      </c>
      <c r="AN194" s="23">
        <f t="shared" si="100"/>
        <v>0</v>
      </c>
      <c r="AO194" s="23">
        <v>0</v>
      </c>
      <c r="AP194" s="23">
        <f t="shared" si="105"/>
        <v>0</v>
      </c>
      <c r="AQ194" s="23">
        <v>0</v>
      </c>
      <c r="AR194" s="23">
        <v>0</v>
      </c>
      <c r="AU194" s="23">
        <f t="shared" si="84"/>
        <v>4385.9649122807014</v>
      </c>
      <c r="AV194" s="23">
        <f t="shared" si="83"/>
        <v>4385.9649122807014</v>
      </c>
      <c r="AW194" s="23">
        <v>0</v>
      </c>
      <c r="AX194" s="23">
        <f>$E$23/($B$17-$B$16)*3</f>
        <v>13157.894736842103</v>
      </c>
      <c r="AY194" s="23">
        <v>0</v>
      </c>
      <c r="AZ194" s="23">
        <v>0</v>
      </c>
    </row>
    <row r="195" spans="1:52" x14ac:dyDescent="0.25">
      <c r="A195" s="68">
        <f t="shared" si="76"/>
        <v>172</v>
      </c>
      <c r="B195" s="68" t="str">
        <f t="shared" si="77"/>
        <v>amortização</v>
      </c>
      <c r="C195" s="156">
        <f t="shared" si="78"/>
        <v>0</v>
      </c>
      <c r="D195" s="156">
        <f t="shared" si="79"/>
        <v>4385.9649122807014</v>
      </c>
      <c r="E195" s="157">
        <f t="shared" si="80"/>
        <v>298245.61403509229</v>
      </c>
      <c r="F195" s="158">
        <f t="shared" si="81"/>
        <v>4385.9649122807014</v>
      </c>
      <c r="G195" s="160">
        <f t="shared" si="82"/>
        <v>4385.9649122807014</v>
      </c>
      <c r="AA195" s="2">
        <f t="shared" si="88"/>
        <v>166</v>
      </c>
      <c r="AC195" s="9" t="str">
        <f t="shared" si="97"/>
        <v/>
      </c>
      <c r="AD195" s="9">
        <f t="shared" si="86"/>
        <v>4385.9649122807014</v>
      </c>
      <c r="AF195" s="2" t="str">
        <f t="shared" si="101"/>
        <v/>
      </c>
      <c r="AG195" s="9" t="str">
        <f t="shared" si="90"/>
        <v/>
      </c>
      <c r="AH195" s="9" t="str">
        <f t="shared" si="91"/>
        <v/>
      </c>
      <c r="AL195" s="23">
        <f t="shared" si="93"/>
        <v>0</v>
      </c>
      <c r="AM195" s="23">
        <f t="shared" si="104"/>
        <v>0</v>
      </c>
      <c r="AN195" s="23">
        <f t="shared" si="100"/>
        <v>0</v>
      </c>
      <c r="AO195" s="23">
        <f t="shared" si="107"/>
        <v>0</v>
      </c>
      <c r="AP195" s="23">
        <v>0</v>
      </c>
      <c r="AQ195" s="23">
        <v>0</v>
      </c>
      <c r="AR195" s="23">
        <v>0</v>
      </c>
      <c r="AU195" s="23">
        <f t="shared" si="84"/>
        <v>4385.9649122807014</v>
      </c>
      <c r="AV195" s="23">
        <f t="shared" si="83"/>
        <v>4385.9649122807014</v>
      </c>
      <c r="AW195" s="23">
        <f>$E$23/($B$17-$B$16)*2</f>
        <v>8771.9298245614027</v>
      </c>
      <c r="AX195" s="23">
        <v>0</v>
      </c>
      <c r="AY195" s="23">
        <v>0</v>
      </c>
      <c r="AZ195" s="23">
        <v>0</v>
      </c>
    </row>
    <row r="196" spans="1:52" x14ac:dyDescent="0.25">
      <c r="A196" s="68">
        <f t="shared" si="76"/>
        <v>173</v>
      </c>
      <c r="B196" s="68" t="str">
        <f t="shared" si="77"/>
        <v>amortização</v>
      </c>
      <c r="C196" s="156">
        <f t="shared" si="78"/>
        <v>0</v>
      </c>
      <c r="D196" s="156">
        <f t="shared" si="79"/>
        <v>4385.9649122807014</v>
      </c>
      <c r="E196" s="157">
        <f t="shared" si="80"/>
        <v>293859.64912281162</v>
      </c>
      <c r="F196" s="158">
        <f t="shared" si="81"/>
        <v>4385.9649122807014</v>
      </c>
      <c r="G196" s="160">
        <f t="shared" si="82"/>
        <v>4385.9649122807014</v>
      </c>
      <c r="AA196" s="2">
        <f t="shared" si="88"/>
        <v>167</v>
      </c>
      <c r="AC196" s="9" t="str">
        <f t="shared" si="97"/>
        <v/>
      </c>
      <c r="AD196" s="9">
        <f t="shared" si="86"/>
        <v>4385.9649122807014</v>
      </c>
      <c r="AF196" s="2" t="str">
        <f t="shared" si="101"/>
        <v/>
      </c>
      <c r="AG196" s="9" t="str">
        <f t="shared" si="90"/>
        <v/>
      </c>
      <c r="AH196" s="9" t="str">
        <f t="shared" si="91"/>
        <v/>
      </c>
      <c r="AL196" s="23">
        <f t="shared" si="93"/>
        <v>0</v>
      </c>
      <c r="AM196" s="23">
        <f t="shared" si="104"/>
        <v>0</v>
      </c>
      <c r="AN196" s="23">
        <f t="shared" si="100"/>
        <v>0</v>
      </c>
      <c r="AO196" s="23">
        <v>0</v>
      </c>
      <c r="AP196" s="23">
        <v>0</v>
      </c>
      <c r="AQ196" s="23">
        <v>0</v>
      </c>
      <c r="AR196" s="23">
        <v>0</v>
      </c>
      <c r="AU196" s="23">
        <f t="shared" si="84"/>
        <v>4385.9649122807014</v>
      </c>
      <c r="AV196" s="23">
        <f t="shared" si="83"/>
        <v>4385.9649122807014</v>
      </c>
      <c r="AW196" s="23">
        <v>0</v>
      </c>
      <c r="AX196" s="23">
        <v>0</v>
      </c>
      <c r="AY196" s="23">
        <v>0</v>
      </c>
      <c r="AZ196" s="23">
        <v>0</v>
      </c>
    </row>
    <row r="197" spans="1:52" x14ac:dyDescent="0.25">
      <c r="A197" s="68">
        <f t="shared" si="76"/>
        <v>174</v>
      </c>
      <c r="B197" s="68" t="str">
        <f t="shared" si="77"/>
        <v>amortização</v>
      </c>
      <c r="C197" s="156">
        <f t="shared" si="78"/>
        <v>0</v>
      </c>
      <c r="D197" s="156">
        <f t="shared" si="79"/>
        <v>4385.9649122807014</v>
      </c>
      <c r="E197" s="157">
        <f t="shared" si="80"/>
        <v>289473.68421053095</v>
      </c>
      <c r="F197" s="158">
        <f t="shared" si="81"/>
        <v>4385.9649122807014</v>
      </c>
      <c r="G197" s="160">
        <f t="shared" si="82"/>
        <v>4385.9649122807014</v>
      </c>
      <c r="AA197" s="2">
        <f t="shared" si="88"/>
        <v>168</v>
      </c>
      <c r="AC197" s="9" t="str">
        <f t="shared" si="97"/>
        <v/>
      </c>
      <c r="AD197" s="9">
        <f t="shared" si="86"/>
        <v>4385.9649122807014</v>
      </c>
      <c r="AF197" s="2" t="str">
        <f t="shared" si="101"/>
        <v/>
      </c>
      <c r="AG197" s="9" t="str">
        <f t="shared" si="90"/>
        <v/>
      </c>
      <c r="AH197" s="9" t="str">
        <f t="shared" si="91"/>
        <v/>
      </c>
      <c r="AL197" s="23">
        <f t="shared" si="93"/>
        <v>0</v>
      </c>
      <c r="AM197" s="23">
        <f t="shared" si="104"/>
        <v>0</v>
      </c>
      <c r="AN197" s="23">
        <f t="shared" si="100"/>
        <v>0</v>
      </c>
      <c r="AO197" s="23">
        <f t="shared" si="107"/>
        <v>0</v>
      </c>
      <c r="AP197" s="23">
        <f t="shared" si="105"/>
        <v>0</v>
      </c>
      <c r="AQ197" s="23">
        <f>E191*((1+$C$23)^6-1)</f>
        <v>0</v>
      </c>
      <c r="AR197" s="23">
        <v>0</v>
      </c>
      <c r="AU197" s="23">
        <f t="shared" si="84"/>
        <v>4385.9649122807014</v>
      </c>
      <c r="AV197" s="23">
        <f t="shared" si="83"/>
        <v>4385.9649122807014</v>
      </c>
      <c r="AW197" s="23">
        <f>$E$23/($B$17-$B$16)*2</f>
        <v>8771.9298245614027</v>
      </c>
      <c r="AX197" s="23">
        <f>$E$23/($B$17-$B$16)*3</f>
        <v>13157.894736842103</v>
      </c>
      <c r="AY197" s="23">
        <f>$E$23/($B$17-$B$16)*6</f>
        <v>26315.789473684206</v>
      </c>
      <c r="AZ197" s="23">
        <v>0</v>
      </c>
    </row>
    <row r="198" spans="1:52" x14ac:dyDescent="0.25">
      <c r="A198" s="68">
        <f t="shared" si="76"/>
        <v>175</v>
      </c>
      <c r="B198" s="68" t="str">
        <f t="shared" si="77"/>
        <v>amortização</v>
      </c>
      <c r="C198" s="156">
        <f t="shared" si="78"/>
        <v>0</v>
      </c>
      <c r="D198" s="156">
        <f t="shared" si="79"/>
        <v>4385.9649122807014</v>
      </c>
      <c r="E198" s="157">
        <f t="shared" si="80"/>
        <v>285087.71929825027</v>
      </c>
      <c r="F198" s="158">
        <f t="shared" si="81"/>
        <v>4385.9649122807014</v>
      </c>
      <c r="G198" s="160">
        <f t="shared" si="82"/>
        <v>4385.9649122807014</v>
      </c>
      <c r="AA198" s="2">
        <f t="shared" si="88"/>
        <v>169</v>
      </c>
      <c r="AC198" s="9" t="str">
        <f t="shared" si="97"/>
        <v/>
      </c>
      <c r="AD198" s="9">
        <f t="shared" si="86"/>
        <v>4385.9649122807014</v>
      </c>
      <c r="AF198" s="2" t="str">
        <f t="shared" si="101"/>
        <v/>
      </c>
      <c r="AG198" s="9" t="str">
        <f t="shared" si="90"/>
        <v/>
      </c>
      <c r="AH198" s="9" t="str">
        <f t="shared" si="91"/>
        <v/>
      </c>
      <c r="AL198" s="23">
        <f t="shared" si="93"/>
        <v>0</v>
      </c>
      <c r="AM198" s="23">
        <f t="shared" si="104"/>
        <v>0</v>
      </c>
      <c r="AN198" s="23">
        <f t="shared" si="100"/>
        <v>0</v>
      </c>
      <c r="AO198" s="23">
        <v>0</v>
      </c>
      <c r="AP198" s="23">
        <v>0</v>
      </c>
      <c r="AQ198" s="23">
        <v>0</v>
      </c>
      <c r="AR198" s="23">
        <v>0</v>
      </c>
      <c r="AU198" s="23">
        <f t="shared" si="84"/>
        <v>4385.9649122807014</v>
      </c>
      <c r="AV198" s="23">
        <f t="shared" si="83"/>
        <v>4385.9649122807014</v>
      </c>
      <c r="AW198" s="23">
        <v>0</v>
      </c>
      <c r="AX198" s="23">
        <v>0</v>
      </c>
      <c r="AY198" s="23">
        <v>0</v>
      </c>
      <c r="AZ198" s="23">
        <v>0</v>
      </c>
    </row>
    <row r="199" spans="1:52" x14ac:dyDescent="0.25">
      <c r="A199" s="68">
        <f t="shared" si="76"/>
        <v>176</v>
      </c>
      <c r="B199" s="68" t="str">
        <f t="shared" si="77"/>
        <v>amortização</v>
      </c>
      <c r="C199" s="156">
        <f t="shared" si="78"/>
        <v>0</v>
      </c>
      <c r="D199" s="156">
        <f t="shared" si="79"/>
        <v>4385.9649122807014</v>
      </c>
      <c r="E199" s="157">
        <f t="shared" si="80"/>
        <v>280701.7543859696</v>
      </c>
      <c r="F199" s="158">
        <f t="shared" si="81"/>
        <v>4385.9649122807014</v>
      </c>
      <c r="G199" s="160">
        <f t="shared" si="82"/>
        <v>4385.9649122807014</v>
      </c>
      <c r="AA199" s="2">
        <f t="shared" si="88"/>
        <v>170</v>
      </c>
      <c r="AC199" s="9" t="str">
        <f t="shared" si="97"/>
        <v/>
      </c>
      <c r="AD199" s="9">
        <f t="shared" si="86"/>
        <v>4385.9649122807014</v>
      </c>
      <c r="AF199" s="2" t="str">
        <f t="shared" si="101"/>
        <v/>
      </c>
      <c r="AG199" s="9" t="str">
        <f t="shared" si="90"/>
        <v/>
      </c>
      <c r="AH199" s="9" t="str">
        <f t="shared" si="91"/>
        <v/>
      </c>
      <c r="AL199" s="23">
        <f t="shared" si="93"/>
        <v>0</v>
      </c>
      <c r="AM199" s="23">
        <f t="shared" si="104"/>
        <v>0</v>
      </c>
      <c r="AN199" s="23">
        <f>E198*$C$23</f>
        <v>0</v>
      </c>
      <c r="AO199" s="23">
        <f t="shared" si="107"/>
        <v>0</v>
      </c>
      <c r="AP199" s="23">
        <v>0</v>
      </c>
      <c r="AQ199" s="23">
        <v>0</v>
      </c>
      <c r="AR199" s="23">
        <v>0</v>
      </c>
      <c r="AU199" s="23">
        <f t="shared" si="84"/>
        <v>4385.9649122807014</v>
      </c>
      <c r="AV199" s="23">
        <f t="shared" si="83"/>
        <v>4385.9649122807014</v>
      </c>
      <c r="AW199" s="23">
        <f>$E$23/($B$17-$B$16)*2</f>
        <v>8771.9298245614027</v>
      </c>
      <c r="AX199" s="23">
        <v>0</v>
      </c>
      <c r="AY199" s="23">
        <v>0</v>
      </c>
      <c r="AZ199" s="23">
        <v>0</v>
      </c>
    </row>
    <row r="200" spans="1:52" x14ac:dyDescent="0.25">
      <c r="A200" s="68">
        <f t="shared" si="76"/>
        <v>177</v>
      </c>
      <c r="B200" s="68" t="str">
        <f t="shared" si="77"/>
        <v>amortização</v>
      </c>
      <c r="C200" s="156">
        <f t="shared" si="78"/>
        <v>0</v>
      </c>
      <c r="D200" s="156">
        <f t="shared" si="79"/>
        <v>4385.9649122807014</v>
      </c>
      <c r="E200" s="157">
        <f t="shared" si="80"/>
        <v>276315.78947368893</v>
      </c>
      <c r="F200" s="158">
        <f t="shared" si="81"/>
        <v>4385.9649122807014</v>
      </c>
      <c r="G200" s="160">
        <f t="shared" si="82"/>
        <v>4385.9649122807014</v>
      </c>
      <c r="AA200" s="2">
        <f t="shared" si="88"/>
        <v>171</v>
      </c>
      <c r="AC200" s="9" t="str">
        <f t="shared" si="97"/>
        <v/>
      </c>
      <c r="AD200" s="9">
        <f t="shared" si="86"/>
        <v>4385.9649122807014</v>
      </c>
      <c r="AF200" s="2" t="str">
        <f t="shared" si="101"/>
        <v/>
      </c>
      <c r="AG200" s="9" t="str">
        <f t="shared" si="90"/>
        <v/>
      </c>
      <c r="AH200" s="9" t="str">
        <f t="shared" si="91"/>
        <v/>
      </c>
      <c r="AL200" s="23">
        <f t="shared" si="93"/>
        <v>0</v>
      </c>
      <c r="AM200" s="23">
        <f t="shared" si="104"/>
        <v>0</v>
      </c>
      <c r="AN200" s="23">
        <f t="shared" ref="AN200:AN223" si="108">E199*$C$23</f>
        <v>0</v>
      </c>
      <c r="AO200" s="23">
        <v>0</v>
      </c>
      <c r="AP200" s="23">
        <f t="shared" ref="AP200:AP212" si="109">E197*((1+$C$23)^3-1)</f>
        <v>0</v>
      </c>
      <c r="AQ200" s="23">
        <v>0</v>
      </c>
      <c r="AR200" s="23">
        <v>0</v>
      </c>
      <c r="AU200" s="23">
        <f t="shared" si="84"/>
        <v>4385.9649122807014</v>
      </c>
      <c r="AV200" s="23">
        <f t="shared" si="83"/>
        <v>4385.9649122807014</v>
      </c>
      <c r="AW200" s="23">
        <v>0</v>
      </c>
      <c r="AX200" s="23">
        <f>$E$23/($B$17-$B$16)*3</f>
        <v>13157.894736842103</v>
      </c>
      <c r="AY200" s="23">
        <v>0</v>
      </c>
      <c r="AZ200" s="23">
        <v>0</v>
      </c>
    </row>
    <row r="201" spans="1:52" x14ac:dyDescent="0.25">
      <c r="A201" s="68">
        <f t="shared" si="76"/>
        <v>178</v>
      </c>
      <c r="B201" s="68" t="str">
        <f t="shared" si="77"/>
        <v>amortização</v>
      </c>
      <c r="C201" s="156">
        <f t="shared" si="78"/>
        <v>0</v>
      </c>
      <c r="D201" s="156">
        <f t="shared" si="79"/>
        <v>4385.9649122807014</v>
      </c>
      <c r="E201" s="157">
        <f t="shared" si="80"/>
        <v>271929.82456140826</v>
      </c>
      <c r="F201" s="158">
        <f t="shared" si="81"/>
        <v>4385.9649122807014</v>
      </c>
      <c r="G201" s="160">
        <f t="shared" si="82"/>
        <v>4385.9649122807014</v>
      </c>
      <c r="AA201" s="2">
        <f t="shared" si="88"/>
        <v>172</v>
      </c>
      <c r="AC201" s="9" t="str">
        <f t="shared" si="97"/>
        <v/>
      </c>
      <c r="AD201" s="9">
        <f t="shared" si="86"/>
        <v>4385.9649122807014</v>
      </c>
      <c r="AF201" s="2" t="str">
        <f t="shared" si="101"/>
        <v/>
      </c>
      <c r="AG201" s="9" t="str">
        <f t="shared" si="90"/>
        <v/>
      </c>
      <c r="AH201" s="9" t="str">
        <f t="shared" si="91"/>
        <v/>
      </c>
      <c r="AL201" s="23">
        <f t="shared" si="93"/>
        <v>0</v>
      </c>
      <c r="AM201" s="23">
        <f t="shared" si="104"/>
        <v>0</v>
      </c>
      <c r="AN201" s="23">
        <f t="shared" si="108"/>
        <v>0</v>
      </c>
      <c r="AO201" s="23">
        <f t="shared" si="107"/>
        <v>0</v>
      </c>
      <c r="AP201" s="23">
        <v>0</v>
      </c>
      <c r="AQ201" s="23">
        <v>0</v>
      </c>
      <c r="AR201" s="23">
        <v>0</v>
      </c>
      <c r="AU201" s="23">
        <f t="shared" si="84"/>
        <v>4385.9649122807014</v>
      </c>
      <c r="AV201" s="23">
        <f t="shared" si="83"/>
        <v>4385.9649122807014</v>
      </c>
      <c r="AW201" s="23">
        <f>$E$23/($B$17-$B$16)*2</f>
        <v>8771.9298245614027</v>
      </c>
      <c r="AX201" s="23">
        <v>0</v>
      </c>
      <c r="AY201" s="23">
        <v>0</v>
      </c>
      <c r="AZ201" s="23">
        <v>0</v>
      </c>
    </row>
    <row r="202" spans="1:52" x14ac:dyDescent="0.25">
      <c r="A202" s="68">
        <f t="shared" si="76"/>
        <v>179</v>
      </c>
      <c r="B202" s="68" t="str">
        <f t="shared" si="77"/>
        <v>amortização</v>
      </c>
      <c r="C202" s="156">
        <f t="shared" si="78"/>
        <v>0</v>
      </c>
      <c r="D202" s="156">
        <f t="shared" si="79"/>
        <v>4385.9649122807014</v>
      </c>
      <c r="E202" s="157">
        <f t="shared" si="80"/>
        <v>267543.85964912758</v>
      </c>
      <c r="F202" s="158">
        <f t="shared" si="81"/>
        <v>4385.9649122807014</v>
      </c>
      <c r="G202" s="160">
        <f t="shared" si="82"/>
        <v>4385.9649122807014</v>
      </c>
      <c r="AA202" s="2">
        <f t="shared" si="88"/>
        <v>173</v>
      </c>
      <c r="AC202" s="9" t="str">
        <f t="shared" si="97"/>
        <v/>
      </c>
      <c r="AD202" s="9">
        <f t="shared" si="86"/>
        <v>4385.9649122807014</v>
      </c>
      <c r="AF202" s="2" t="str">
        <f t="shared" si="101"/>
        <v/>
      </c>
      <c r="AG202" s="9" t="str">
        <f t="shared" si="90"/>
        <v/>
      </c>
      <c r="AH202" s="9" t="str">
        <f t="shared" si="91"/>
        <v/>
      </c>
      <c r="AL202" s="23">
        <f t="shared" si="93"/>
        <v>0</v>
      </c>
      <c r="AM202" s="23">
        <f t="shared" si="104"/>
        <v>0</v>
      </c>
      <c r="AN202" s="23">
        <f t="shared" si="108"/>
        <v>0</v>
      </c>
      <c r="AO202" s="23">
        <v>0</v>
      </c>
      <c r="AP202" s="23">
        <v>0</v>
      </c>
      <c r="AQ202" s="23">
        <v>0</v>
      </c>
      <c r="AR202" s="23">
        <v>0</v>
      </c>
      <c r="AU202" s="23">
        <f t="shared" si="84"/>
        <v>4385.9649122807014</v>
      </c>
      <c r="AV202" s="23">
        <f t="shared" si="83"/>
        <v>4385.9649122807014</v>
      </c>
      <c r="AW202" s="23">
        <v>0</v>
      </c>
      <c r="AX202" s="23">
        <v>0</v>
      </c>
      <c r="AY202" s="23">
        <v>0</v>
      </c>
      <c r="AZ202" s="23">
        <v>0</v>
      </c>
    </row>
    <row r="203" spans="1:52" x14ac:dyDescent="0.25">
      <c r="A203" s="68">
        <f t="shared" si="76"/>
        <v>180</v>
      </c>
      <c r="B203" s="68" t="str">
        <f t="shared" si="77"/>
        <v>amortização</v>
      </c>
      <c r="C203" s="156">
        <f t="shared" si="78"/>
        <v>0</v>
      </c>
      <c r="D203" s="156">
        <f t="shared" si="79"/>
        <v>4385.9649122807014</v>
      </c>
      <c r="E203" s="157">
        <f t="shared" si="80"/>
        <v>263157.89473684691</v>
      </c>
      <c r="F203" s="158">
        <f t="shared" si="81"/>
        <v>4385.9649122807014</v>
      </c>
      <c r="G203" s="160">
        <f t="shared" si="82"/>
        <v>4385.9649122807014</v>
      </c>
      <c r="AA203" s="2">
        <f t="shared" si="88"/>
        <v>174</v>
      </c>
      <c r="AC203" s="9" t="str">
        <f t="shared" si="97"/>
        <v/>
      </c>
      <c r="AD203" s="9">
        <f t="shared" si="86"/>
        <v>4385.9649122807014</v>
      </c>
      <c r="AF203" s="2" t="str">
        <f t="shared" si="101"/>
        <v/>
      </c>
      <c r="AG203" s="9" t="str">
        <f t="shared" si="90"/>
        <v/>
      </c>
      <c r="AH203" s="9" t="str">
        <f t="shared" si="91"/>
        <v/>
      </c>
      <c r="AL203" s="23">
        <f t="shared" si="93"/>
        <v>0</v>
      </c>
      <c r="AM203" s="23">
        <f t="shared" si="104"/>
        <v>0</v>
      </c>
      <c r="AN203" s="23">
        <f t="shared" si="108"/>
        <v>0</v>
      </c>
      <c r="AO203" s="23">
        <f t="shared" si="107"/>
        <v>0</v>
      </c>
      <c r="AP203" s="23">
        <f t="shared" si="109"/>
        <v>0</v>
      </c>
      <c r="AQ203" s="23">
        <f t="shared" ref="AQ203" si="110">E197*((1+$C$23)^6-1)</f>
        <v>0</v>
      </c>
      <c r="AR203" s="23">
        <f>E191*((1+$C$23)^12-1)</f>
        <v>0</v>
      </c>
      <c r="AU203" s="23">
        <f t="shared" si="84"/>
        <v>4385.9649122807014</v>
      </c>
      <c r="AV203" s="23">
        <f t="shared" si="83"/>
        <v>4385.9649122807014</v>
      </c>
      <c r="AW203" s="23">
        <f>$E$23/($B$17-$B$16)*2</f>
        <v>8771.9298245614027</v>
      </c>
      <c r="AX203" s="23">
        <f>$E$23/($B$17-$B$16)*3</f>
        <v>13157.894736842103</v>
      </c>
      <c r="AY203" s="23">
        <f>$E$23/($B$17-$B$16)*6</f>
        <v>26315.789473684206</v>
      </c>
      <c r="AZ203" s="23">
        <f>$E$23/($B$17-$B$16)*12</f>
        <v>52631.578947368413</v>
      </c>
    </row>
    <row r="204" spans="1:52" x14ac:dyDescent="0.25">
      <c r="A204" s="68">
        <f t="shared" si="76"/>
        <v>181</v>
      </c>
      <c r="B204" s="68" t="str">
        <f t="shared" si="77"/>
        <v>amortização</v>
      </c>
      <c r="C204" s="156">
        <f t="shared" si="78"/>
        <v>0</v>
      </c>
      <c r="D204" s="156">
        <f t="shared" si="79"/>
        <v>4385.9649122807014</v>
      </c>
      <c r="E204" s="157">
        <f t="shared" si="80"/>
        <v>258771.92982456621</v>
      </c>
      <c r="F204" s="158">
        <f t="shared" si="81"/>
        <v>4385.9649122807014</v>
      </c>
      <c r="G204" s="160">
        <f t="shared" si="82"/>
        <v>4385.9649122807014</v>
      </c>
      <c r="AA204" s="2">
        <f t="shared" si="88"/>
        <v>175</v>
      </c>
      <c r="AC204" s="9" t="str">
        <f t="shared" si="97"/>
        <v/>
      </c>
      <c r="AD204" s="9">
        <f t="shared" si="86"/>
        <v>4385.9649122807014</v>
      </c>
      <c r="AF204" s="2" t="str">
        <f t="shared" si="101"/>
        <v/>
      </c>
      <c r="AG204" s="9" t="str">
        <f t="shared" si="90"/>
        <v/>
      </c>
      <c r="AH204" s="9" t="str">
        <f t="shared" si="91"/>
        <v/>
      </c>
      <c r="AL204" s="23">
        <f t="shared" si="93"/>
        <v>0</v>
      </c>
      <c r="AM204" s="23">
        <f t="shared" si="104"/>
        <v>0</v>
      </c>
      <c r="AN204" s="23">
        <f t="shared" si="108"/>
        <v>0</v>
      </c>
      <c r="AO204" s="23">
        <v>0</v>
      </c>
      <c r="AP204" s="23">
        <v>0</v>
      </c>
      <c r="AQ204" s="23">
        <v>0</v>
      </c>
      <c r="AR204" s="23">
        <v>0</v>
      </c>
      <c r="AU204" s="23">
        <f t="shared" si="84"/>
        <v>4385.9649122807014</v>
      </c>
      <c r="AV204" s="23">
        <f t="shared" si="83"/>
        <v>4385.9649122807014</v>
      </c>
      <c r="AW204" s="23">
        <v>0</v>
      </c>
      <c r="AX204" s="23">
        <v>0</v>
      </c>
      <c r="AY204" s="23">
        <v>0</v>
      </c>
      <c r="AZ204" s="23">
        <v>0</v>
      </c>
    </row>
    <row r="205" spans="1:52" x14ac:dyDescent="0.25">
      <c r="A205" s="68">
        <f t="shared" si="76"/>
        <v>182</v>
      </c>
      <c r="B205" s="68" t="str">
        <f t="shared" si="77"/>
        <v>amortização</v>
      </c>
      <c r="C205" s="156">
        <f t="shared" si="78"/>
        <v>0</v>
      </c>
      <c r="D205" s="156">
        <f t="shared" si="79"/>
        <v>4385.9649122807014</v>
      </c>
      <c r="E205" s="157">
        <f t="shared" si="80"/>
        <v>254385.9649122855</v>
      </c>
      <c r="F205" s="158">
        <f t="shared" si="81"/>
        <v>4385.9649122807014</v>
      </c>
      <c r="G205" s="160">
        <f t="shared" si="82"/>
        <v>4385.9649122807014</v>
      </c>
      <c r="AA205" s="2">
        <f t="shared" si="88"/>
        <v>176</v>
      </c>
      <c r="AC205" s="9" t="str">
        <f t="shared" si="97"/>
        <v/>
      </c>
      <c r="AD205" s="9">
        <f t="shared" si="86"/>
        <v>4385.9649122807014</v>
      </c>
      <c r="AF205" s="2" t="str">
        <f t="shared" si="101"/>
        <v/>
      </c>
      <c r="AG205" s="9" t="str">
        <f t="shared" si="90"/>
        <v/>
      </c>
      <c r="AH205" s="9" t="str">
        <f t="shared" si="91"/>
        <v/>
      </c>
      <c r="AL205" s="23">
        <f t="shared" si="93"/>
        <v>0</v>
      </c>
      <c r="AM205" s="23">
        <f t="shared" si="104"/>
        <v>0</v>
      </c>
      <c r="AN205" s="23">
        <f t="shared" si="108"/>
        <v>0</v>
      </c>
      <c r="AO205" s="23">
        <f t="shared" si="107"/>
        <v>0</v>
      </c>
      <c r="AP205" s="23">
        <v>0</v>
      </c>
      <c r="AQ205" s="23">
        <v>0</v>
      </c>
      <c r="AR205" s="23">
        <v>0</v>
      </c>
      <c r="AU205" s="23">
        <f t="shared" si="84"/>
        <v>4385.9649122807014</v>
      </c>
      <c r="AV205" s="23">
        <f t="shared" si="83"/>
        <v>4385.9649122807014</v>
      </c>
      <c r="AW205" s="23">
        <f>$E$23/($B$17-$B$16)*2</f>
        <v>8771.9298245614027</v>
      </c>
      <c r="AX205" s="23">
        <v>0</v>
      </c>
      <c r="AY205" s="23">
        <v>0</v>
      </c>
      <c r="AZ205" s="23">
        <v>0</v>
      </c>
    </row>
    <row r="206" spans="1:52" x14ac:dyDescent="0.25">
      <c r="A206" s="68">
        <f t="shared" si="76"/>
        <v>183</v>
      </c>
      <c r="B206" s="68" t="str">
        <f t="shared" si="77"/>
        <v>amortização</v>
      </c>
      <c r="C206" s="156">
        <f t="shared" si="78"/>
        <v>0</v>
      </c>
      <c r="D206" s="156">
        <f t="shared" si="79"/>
        <v>4385.9649122807014</v>
      </c>
      <c r="E206" s="157">
        <f t="shared" si="80"/>
        <v>250000.0000000048</v>
      </c>
      <c r="F206" s="158">
        <f t="shared" si="81"/>
        <v>4385.9649122807014</v>
      </c>
      <c r="G206" s="160">
        <f t="shared" si="82"/>
        <v>4385.9649122807014</v>
      </c>
      <c r="AA206" s="2">
        <f t="shared" si="88"/>
        <v>177</v>
      </c>
      <c r="AC206" s="9" t="str">
        <f t="shared" si="97"/>
        <v/>
      </c>
      <c r="AD206" s="9">
        <f t="shared" si="86"/>
        <v>4385.9649122807014</v>
      </c>
      <c r="AF206" s="2" t="str">
        <f t="shared" si="101"/>
        <v/>
      </c>
      <c r="AG206" s="9" t="str">
        <f t="shared" si="90"/>
        <v/>
      </c>
      <c r="AH206" s="9" t="str">
        <f t="shared" si="91"/>
        <v/>
      </c>
      <c r="AL206" s="23">
        <f t="shared" si="93"/>
        <v>0</v>
      </c>
      <c r="AM206" s="23">
        <f t="shared" si="104"/>
        <v>0</v>
      </c>
      <c r="AN206" s="23">
        <f t="shared" si="108"/>
        <v>0</v>
      </c>
      <c r="AO206" s="23">
        <v>0</v>
      </c>
      <c r="AP206" s="23">
        <f t="shared" si="109"/>
        <v>0</v>
      </c>
      <c r="AQ206" s="23">
        <v>0</v>
      </c>
      <c r="AR206" s="23">
        <v>0</v>
      </c>
      <c r="AU206" s="23">
        <f t="shared" si="84"/>
        <v>4385.9649122807014</v>
      </c>
      <c r="AV206" s="23">
        <f t="shared" si="83"/>
        <v>4385.9649122807014</v>
      </c>
      <c r="AW206" s="23">
        <v>0</v>
      </c>
      <c r="AX206" s="23">
        <f>$E$23/($B$17-$B$16)*3</f>
        <v>13157.894736842103</v>
      </c>
      <c r="AY206" s="23">
        <v>0</v>
      </c>
      <c r="AZ206" s="23">
        <v>0</v>
      </c>
    </row>
    <row r="207" spans="1:52" x14ac:dyDescent="0.25">
      <c r="A207" s="68">
        <f t="shared" si="76"/>
        <v>184</v>
      </c>
      <c r="B207" s="68" t="str">
        <f t="shared" si="77"/>
        <v>amortização</v>
      </c>
      <c r="C207" s="156">
        <f t="shared" si="78"/>
        <v>0</v>
      </c>
      <c r="D207" s="156">
        <f t="shared" si="79"/>
        <v>4385.9649122807014</v>
      </c>
      <c r="E207" s="157">
        <f t="shared" si="80"/>
        <v>245614.0350877241</v>
      </c>
      <c r="F207" s="158">
        <f t="shared" si="81"/>
        <v>4385.9649122807014</v>
      </c>
      <c r="G207" s="160">
        <f t="shared" si="82"/>
        <v>4385.9649122807014</v>
      </c>
      <c r="AA207" s="2">
        <f t="shared" si="88"/>
        <v>178</v>
      </c>
      <c r="AC207" s="9" t="str">
        <f t="shared" si="97"/>
        <v/>
      </c>
      <c r="AD207" s="9">
        <f t="shared" si="86"/>
        <v>4385.9649122807014</v>
      </c>
      <c r="AF207" s="2" t="str">
        <f t="shared" si="101"/>
        <v/>
      </c>
      <c r="AG207" s="9" t="str">
        <f t="shared" si="90"/>
        <v/>
      </c>
      <c r="AH207" s="9" t="str">
        <f t="shared" si="91"/>
        <v/>
      </c>
      <c r="AL207" s="23">
        <f t="shared" si="93"/>
        <v>0</v>
      </c>
      <c r="AM207" s="23">
        <f t="shared" si="104"/>
        <v>0</v>
      </c>
      <c r="AN207" s="23">
        <f t="shared" si="108"/>
        <v>0</v>
      </c>
      <c r="AO207" s="23">
        <f>E205*((1+$C$23)^2-1)</f>
        <v>0</v>
      </c>
      <c r="AP207" s="23">
        <v>0</v>
      </c>
      <c r="AQ207" s="23">
        <v>0</v>
      </c>
      <c r="AR207" s="23">
        <v>0</v>
      </c>
      <c r="AU207" s="23">
        <f t="shared" si="84"/>
        <v>4385.9649122807014</v>
      </c>
      <c r="AV207" s="23">
        <f t="shared" si="83"/>
        <v>4385.9649122807014</v>
      </c>
      <c r="AW207" s="23">
        <f>$E$23/($B$17-$B$16)*2</f>
        <v>8771.9298245614027</v>
      </c>
      <c r="AX207" s="23">
        <v>0</v>
      </c>
      <c r="AY207" s="23">
        <v>0</v>
      </c>
      <c r="AZ207" s="23">
        <v>0</v>
      </c>
    </row>
    <row r="208" spans="1:52" x14ac:dyDescent="0.25">
      <c r="A208" s="68">
        <f t="shared" si="76"/>
        <v>185</v>
      </c>
      <c r="B208" s="68" t="str">
        <f t="shared" si="77"/>
        <v>amortização</v>
      </c>
      <c r="C208" s="156">
        <f t="shared" si="78"/>
        <v>0</v>
      </c>
      <c r="D208" s="156">
        <f t="shared" si="79"/>
        <v>4385.9649122807014</v>
      </c>
      <c r="E208" s="157">
        <f t="shared" si="80"/>
        <v>241228.0701754434</v>
      </c>
      <c r="F208" s="158">
        <f t="shared" si="81"/>
        <v>4385.9649122807014</v>
      </c>
      <c r="G208" s="160">
        <f t="shared" si="82"/>
        <v>4385.9649122807014</v>
      </c>
      <c r="AA208" s="2">
        <f t="shared" si="88"/>
        <v>179</v>
      </c>
      <c r="AC208" s="9" t="str">
        <f t="shared" si="97"/>
        <v/>
      </c>
      <c r="AD208" s="9">
        <f t="shared" si="86"/>
        <v>4385.9649122807014</v>
      </c>
      <c r="AF208" s="2" t="str">
        <f t="shared" si="101"/>
        <v/>
      </c>
      <c r="AG208" s="9" t="str">
        <f t="shared" si="90"/>
        <v/>
      </c>
      <c r="AH208" s="9" t="str">
        <f t="shared" si="91"/>
        <v/>
      </c>
      <c r="AL208" s="23">
        <f t="shared" si="93"/>
        <v>0</v>
      </c>
      <c r="AM208" s="23">
        <f t="shared" si="104"/>
        <v>0</v>
      </c>
      <c r="AN208" s="23">
        <f t="shared" si="108"/>
        <v>0</v>
      </c>
      <c r="AO208" s="23">
        <v>0</v>
      </c>
      <c r="AP208" s="23">
        <v>0</v>
      </c>
      <c r="AQ208" s="23">
        <v>0</v>
      </c>
      <c r="AR208" s="23">
        <v>0</v>
      </c>
      <c r="AU208" s="23">
        <f t="shared" si="84"/>
        <v>4385.9649122807014</v>
      </c>
      <c r="AV208" s="23">
        <f t="shared" si="83"/>
        <v>4385.9649122807014</v>
      </c>
      <c r="AW208" s="23">
        <v>0</v>
      </c>
      <c r="AX208" s="23">
        <v>0</v>
      </c>
      <c r="AY208" s="23">
        <v>0</v>
      </c>
      <c r="AZ208" s="23">
        <v>0</v>
      </c>
    </row>
    <row r="209" spans="1:52" x14ac:dyDescent="0.25">
      <c r="A209" s="68">
        <f t="shared" si="76"/>
        <v>186</v>
      </c>
      <c r="B209" s="68" t="str">
        <f t="shared" si="77"/>
        <v>amortização</v>
      </c>
      <c r="C209" s="156">
        <f t="shared" si="78"/>
        <v>0</v>
      </c>
      <c r="D209" s="156">
        <f t="shared" si="79"/>
        <v>4385.9649122807014</v>
      </c>
      <c r="E209" s="157">
        <f t="shared" si="80"/>
        <v>236842.1052631627</v>
      </c>
      <c r="F209" s="158">
        <f t="shared" si="81"/>
        <v>4385.9649122807014</v>
      </c>
      <c r="G209" s="160">
        <f t="shared" si="82"/>
        <v>4385.9649122807014</v>
      </c>
      <c r="AA209" s="2">
        <f t="shared" si="88"/>
        <v>180</v>
      </c>
      <c r="AC209" s="9" t="str">
        <f t="shared" si="97"/>
        <v/>
      </c>
      <c r="AD209" s="9">
        <f t="shared" si="86"/>
        <v>4385.9649122807014</v>
      </c>
      <c r="AF209" s="2" t="str">
        <f t="shared" si="101"/>
        <v/>
      </c>
      <c r="AG209" s="9" t="str">
        <f t="shared" si="90"/>
        <v/>
      </c>
      <c r="AH209" s="9" t="str">
        <f t="shared" si="91"/>
        <v/>
      </c>
      <c r="AL209" s="23">
        <f t="shared" si="93"/>
        <v>0</v>
      </c>
      <c r="AM209" s="23">
        <f t="shared" si="104"/>
        <v>0</v>
      </c>
      <c r="AN209" s="23">
        <f t="shared" si="108"/>
        <v>0</v>
      </c>
      <c r="AO209" s="23">
        <f t="shared" ref="AO209:AO217" si="111">E207*((1+$C$23)^2-1)</f>
        <v>0</v>
      </c>
      <c r="AP209" s="23">
        <f t="shared" si="109"/>
        <v>0</v>
      </c>
      <c r="AQ209" s="23">
        <f t="shared" ref="AQ209" si="112">E203*((1+$C$23)^6-1)</f>
        <v>0</v>
      </c>
      <c r="AR209" s="23">
        <v>0</v>
      </c>
      <c r="AU209" s="23">
        <f t="shared" si="84"/>
        <v>4385.9649122807014</v>
      </c>
      <c r="AV209" s="23">
        <f t="shared" si="83"/>
        <v>4385.9649122807014</v>
      </c>
      <c r="AW209" s="23">
        <f>$E$23/($B$17-$B$16)*2</f>
        <v>8771.9298245614027</v>
      </c>
      <c r="AX209" s="23">
        <f>$E$23/($B$17-$B$16)*3</f>
        <v>13157.894736842103</v>
      </c>
      <c r="AY209" s="23">
        <f>$E$23/($B$17-$B$16)*6</f>
        <v>26315.789473684206</v>
      </c>
      <c r="AZ209" s="23">
        <v>0</v>
      </c>
    </row>
    <row r="210" spans="1:52" x14ac:dyDescent="0.25">
      <c r="A210" s="68">
        <f t="shared" si="76"/>
        <v>187</v>
      </c>
      <c r="B210" s="68" t="str">
        <f t="shared" si="77"/>
        <v>amortização</v>
      </c>
      <c r="C210" s="156">
        <f t="shared" si="78"/>
        <v>0</v>
      </c>
      <c r="D210" s="156">
        <f t="shared" si="79"/>
        <v>4385.9649122807014</v>
      </c>
      <c r="E210" s="157">
        <f t="shared" si="80"/>
        <v>232456.14035088199</v>
      </c>
      <c r="F210" s="158">
        <f t="shared" si="81"/>
        <v>4385.9649122807014</v>
      </c>
      <c r="G210" s="160">
        <f t="shared" si="82"/>
        <v>4385.9649122807014</v>
      </c>
      <c r="AA210" s="2">
        <f t="shared" si="88"/>
        <v>181</v>
      </c>
      <c r="AC210" s="9" t="str">
        <f t="shared" si="97"/>
        <v/>
      </c>
      <c r="AD210" s="9">
        <f t="shared" si="86"/>
        <v>4385.9649122807014</v>
      </c>
      <c r="AF210" s="2" t="str">
        <f t="shared" si="101"/>
        <v/>
      </c>
      <c r="AG210" s="9" t="str">
        <f t="shared" si="90"/>
        <v/>
      </c>
      <c r="AH210" s="9" t="str">
        <f t="shared" si="91"/>
        <v/>
      </c>
      <c r="AL210" s="23">
        <f t="shared" si="93"/>
        <v>0</v>
      </c>
      <c r="AM210" s="23">
        <f t="shared" si="104"/>
        <v>0</v>
      </c>
      <c r="AN210" s="23">
        <f t="shared" si="108"/>
        <v>0</v>
      </c>
      <c r="AO210" s="23">
        <v>0</v>
      </c>
      <c r="AP210" s="23">
        <v>0</v>
      </c>
      <c r="AQ210" s="23">
        <v>0</v>
      </c>
      <c r="AR210" s="23">
        <v>0</v>
      </c>
      <c r="AU210" s="23">
        <f t="shared" si="84"/>
        <v>4385.9649122807014</v>
      </c>
      <c r="AV210" s="23">
        <f t="shared" si="83"/>
        <v>4385.9649122807014</v>
      </c>
      <c r="AW210" s="23">
        <v>0</v>
      </c>
      <c r="AX210" s="23">
        <v>0</v>
      </c>
      <c r="AY210" s="23">
        <v>0</v>
      </c>
      <c r="AZ210" s="23">
        <v>0</v>
      </c>
    </row>
    <row r="211" spans="1:52" x14ac:dyDescent="0.25">
      <c r="A211" s="68">
        <f t="shared" si="76"/>
        <v>188</v>
      </c>
      <c r="B211" s="68" t="str">
        <f t="shared" si="77"/>
        <v>amortização</v>
      </c>
      <c r="C211" s="156">
        <f t="shared" si="78"/>
        <v>0</v>
      </c>
      <c r="D211" s="156">
        <f t="shared" si="79"/>
        <v>4385.9649122807014</v>
      </c>
      <c r="E211" s="157">
        <f t="shared" si="80"/>
        <v>228070.17543860129</v>
      </c>
      <c r="F211" s="158">
        <f t="shared" si="81"/>
        <v>4385.9649122807014</v>
      </c>
      <c r="G211" s="160">
        <f t="shared" si="82"/>
        <v>4385.9649122807014</v>
      </c>
      <c r="AA211" s="2">
        <f t="shared" si="88"/>
        <v>182</v>
      </c>
      <c r="AC211" s="9" t="str">
        <f t="shared" si="97"/>
        <v/>
      </c>
      <c r="AD211" s="9">
        <f t="shared" si="86"/>
        <v>4385.9649122807014</v>
      </c>
      <c r="AF211" s="2" t="str">
        <f t="shared" si="101"/>
        <v/>
      </c>
      <c r="AG211" s="9" t="str">
        <f t="shared" si="90"/>
        <v/>
      </c>
      <c r="AH211" s="9" t="str">
        <f t="shared" si="91"/>
        <v/>
      </c>
      <c r="AL211" s="23">
        <f t="shared" si="93"/>
        <v>0</v>
      </c>
      <c r="AM211" s="23">
        <f t="shared" si="104"/>
        <v>0</v>
      </c>
      <c r="AN211" s="23">
        <f t="shared" si="108"/>
        <v>0</v>
      </c>
      <c r="AO211" s="23">
        <f t="shared" si="111"/>
        <v>0</v>
      </c>
      <c r="AP211" s="23">
        <v>0</v>
      </c>
      <c r="AQ211" s="23">
        <v>0</v>
      </c>
      <c r="AR211" s="23">
        <v>0</v>
      </c>
      <c r="AU211" s="23">
        <f t="shared" si="84"/>
        <v>4385.9649122807014</v>
      </c>
      <c r="AV211" s="23">
        <f t="shared" si="83"/>
        <v>4385.9649122807014</v>
      </c>
      <c r="AW211" s="23">
        <f>$E$23/($B$17-$B$16)*2</f>
        <v>8771.9298245614027</v>
      </c>
      <c r="AX211" s="23">
        <v>0</v>
      </c>
      <c r="AY211" s="23">
        <v>0</v>
      </c>
      <c r="AZ211" s="23">
        <v>0</v>
      </c>
    </row>
    <row r="212" spans="1:52" x14ac:dyDescent="0.25">
      <c r="A212" s="68">
        <f t="shared" si="76"/>
        <v>189</v>
      </c>
      <c r="B212" s="68" t="str">
        <f t="shared" si="77"/>
        <v>amortização</v>
      </c>
      <c r="C212" s="156">
        <f t="shared" si="78"/>
        <v>0</v>
      </c>
      <c r="D212" s="156">
        <f t="shared" si="79"/>
        <v>4385.9649122807014</v>
      </c>
      <c r="E212" s="157">
        <f t="shared" si="80"/>
        <v>223684.21052632059</v>
      </c>
      <c r="F212" s="158">
        <f t="shared" si="81"/>
        <v>4385.9649122807014</v>
      </c>
      <c r="G212" s="160">
        <f t="shared" si="82"/>
        <v>4385.9649122807014</v>
      </c>
      <c r="AA212" s="2">
        <f t="shared" si="88"/>
        <v>183</v>
      </c>
      <c r="AC212" s="9" t="str">
        <f t="shared" si="97"/>
        <v/>
      </c>
      <c r="AD212" s="9">
        <f t="shared" si="86"/>
        <v>4385.9649122807014</v>
      </c>
      <c r="AF212" s="2" t="str">
        <f t="shared" si="101"/>
        <v/>
      </c>
      <c r="AG212" s="9" t="str">
        <f t="shared" si="90"/>
        <v/>
      </c>
      <c r="AH212" s="9" t="str">
        <f t="shared" si="91"/>
        <v/>
      </c>
      <c r="AL212" s="23">
        <f t="shared" si="93"/>
        <v>0</v>
      </c>
      <c r="AM212" s="23">
        <f t="shared" si="104"/>
        <v>0</v>
      </c>
      <c r="AN212" s="23">
        <f t="shared" si="108"/>
        <v>0</v>
      </c>
      <c r="AO212" s="23">
        <v>0</v>
      </c>
      <c r="AP212" s="23">
        <f t="shared" si="109"/>
        <v>0</v>
      </c>
      <c r="AQ212" s="23">
        <v>0</v>
      </c>
      <c r="AR212" s="23">
        <v>0</v>
      </c>
      <c r="AU212" s="23">
        <f t="shared" si="84"/>
        <v>4385.9649122807014</v>
      </c>
      <c r="AV212" s="23">
        <f t="shared" si="83"/>
        <v>4385.9649122807014</v>
      </c>
      <c r="AW212" s="23">
        <v>0</v>
      </c>
      <c r="AX212" s="23">
        <f>$E$23/($B$17-$B$16)*3</f>
        <v>13157.894736842103</v>
      </c>
      <c r="AY212" s="23">
        <v>0</v>
      </c>
      <c r="AZ212" s="23">
        <v>0</v>
      </c>
    </row>
    <row r="213" spans="1:52" x14ac:dyDescent="0.25">
      <c r="A213" s="68">
        <f t="shared" si="76"/>
        <v>190</v>
      </c>
      <c r="B213" s="68" t="str">
        <f t="shared" si="77"/>
        <v>amortização</v>
      </c>
      <c r="C213" s="156">
        <f t="shared" si="78"/>
        <v>0</v>
      </c>
      <c r="D213" s="156">
        <f t="shared" si="79"/>
        <v>4385.9649122807014</v>
      </c>
      <c r="E213" s="157">
        <f t="shared" si="80"/>
        <v>219298.24561403989</v>
      </c>
      <c r="F213" s="158">
        <f t="shared" si="81"/>
        <v>4385.9649122807014</v>
      </c>
      <c r="G213" s="160">
        <f t="shared" si="82"/>
        <v>4385.9649122807014</v>
      </c>
      <c r="AA213" s="2">
        <f t="shared" si="88"/>
        <v>184</v>
      </c>
      <c r="AC213" s="9" t="str">
        <f t="shared" si="97"/>
        <v/>
      </c>
      <c r="AD213" s="9">
        <f t="shared" si="86"/>
        <v>4385.9649122807014</v>
      </c>
      <c r="AF213" s="2" t="str">
        <f t="shared" si="101"/>
        <v/>
      </c>
      <c r="AG213" s="9" t="str">
        <f t="shared" si="90"/>
        <v/>
      </c>
      <c r="AH213" s="9" t="str">
        <f t="shared" si="91"/>
        <v/>
      </c>
      <c r="AL213" s="23">
        <f t="shared" si="93"/>
        <v>0</v>
      </c>
      <c r="AM213" s="23">
        <f>IF($AN$17=1,AN213,IF($AN$17=2,AO213,IF($AN$17=3,AP213,IF($AN$17=4,AQ213,IF($AN$17=5,AR213)))))</f>
        <v>0</v>
      </c>
      <c r="AN213" s="23">
        <f t="shared" si="108"/>
        <v>0</v>
      </c>
      <c r="AO213" s="23">
        <f t="shared" si="111"/>
        <v>0</v>
      </c>
      <c r="AP213" s="23">
        <v>0</v>
      </c>
      <c r="AQ213" s="23">
        <v>0</v>
      </c>
      <c r="AR213" s="23">
        <v>0</v>
      </c>
      <c r="AU213" s="23">
        <f t="shared" si="84"/>
        <v>4385.9649122807014</v>
      </c>
      <c r="AV213" s="23">
        <f t="shared" si="83"/>
        <v>4385.9649122807014</v>
      </c>
      <c r="AW213" s="23">
        <f>$E$23/($B$17-$B$16)*2</f>
        <v>8771.9298245614027</v>
      </c>
      <c r="AX213" s="23">
        <v>0</v>
      </c>
      <c r="AY213" s="23">
        <v>0</v>
      </c>
      <c r="AZ213" s="23">
        <v>0</v>
      </c>
    </row>
    <row r="214" spans="1:52" x14ac:dyDescent="0.25">
      <c r="A214" s="68">
        <f t="shared" si="76"/>
        <v>191</v>
      </c>
      <c r="B214" s="68" t="str">
        <f t="shared" si="77"/>
        <v>amortização</v>
      </c>
      <c r="C214" s="156">
        <f t="shared" si="78"/>
        <v>0</v>
      </c>
      <c r="D214" s="156">
        <f t="shared" si="79"/>
        <v>4385.9649122807014</v>
      </c>
      <c r="E214" s="157">
        <f t="shared" si="80"/>
        <v>214912.28070175918</v>
      </c>
      <c r="F214" s="158">
        <f t="shared" si="81"/>
        <v>4385.9649122807014</v>
      </c>
      <c r="G214" s="160">
        <f t="shared" si="82"/>
        <v>4385.9649122807014</v>
      </c>
      <c r="AA214" s="2">
        <f t="shared" si="88"/>
        <v>185</v>
      </c>
      <c r="AC214" s="9" t="str">
        <f t="shared" si="97"/>
        <v/>
      </c>
      <c r="AD214" s="9">
        <f t="shared" si="86"/>
        <v>4385.9649122807014</v>
      </c>
      <c r="AF214" s="2" t="str">
        <f t="shared" si="101"/>
        <v/>
      </c>
      <c r="AG214" s="9" t="str">
        <f t="shared" si="90"/>
        <v/>
      </c>
      <c r="AH214" s="9" t="str">
        <f t="shared" si="91"/>
        <v/>
      </c>
      <c r="AL214" s="23">
        <f t="shared" si="93"/>
        <v>0</v>
      </c>
      <c r="AM214" s="23">
        <f t="shared" ref="AM214:AM239" si="113">IF($AN$17=1,AN214,IF($AN$17=2,AO214,IF($AN$17=3,AP214,IF($AN$17=4,AQ214,IF($AN$17=5,AR214)))))</f>
        <v>0</v>
      </c>
      <c r="AN214" s="23">
        <f t="shared" si="108"/>
        <v>0</v>
      </c>
      <c r="AO214" s="23">
        <v>0</v>
      </c>
      <c r="AP214" s="23">
        <v>0</v>
      </c>
      <c r="AQ214" s="23">
        <v>0</v>
      </c>
      <c r="AR214" s="23">
        <v>0</v>
      </c>
      <c r="AU214" s="23">
        <f t="shared" si="84"/>
        <v>4385.9649122807014</v>
      </c>
      <c r="AV214" s="23">
        <f t="shared" si="83"/>
        <v>4385.9649122807014</v>
      </c>
      <c r="AW214" s="23">
        <v>0</v>
      </c>
      <c r="AX214" s="23">
        <v>0</v>
      </c>
      <c r="AY214" s="23">
        <v>0</v>
      </c>
      <c r="AZ214" s="23">
        <v>0</v>
      </c>
    </row>
    <row r="215" spans="1:52" x14ac:dyDescent="0.25">
      <c r="A215" s="68">
        <f t="shared" ref="A215:A278" si="114">IF(A214&lt;B$17,A214+1,"")</f>
        <v>192</v>
      </c>
      <c r="B215" s="68" t="str">
        <f t="shared" ref="B215:B278" si="115">IF(A215="","",IF(A215&lt;=B$16,"carência","amortização"))</f>
        <v>amortização</v>
      </c>
      <c r="C215" s="156">
        <f t="shared" ref="C215:C278" si="116">IF(B215="","",IF($AN$18=TRUE,AL215,AM215))</f>
        <v>0</v>
      </c>
      <c r="D215" s="156">
        <f t="shared" ref="D215:D278" si="117">IF(C215="","",IF(A215&lt;=B$16,0,AU215))</f>
        <v>4385.9649122807014</v>
      </c>
      <c r="E215" s="157">
        <f t="shared" ref="E215:E278" si="118">IF(F215="","",E214-D215)</f>
        <v>210526.31578947848</v>
      </c>
      <c r="F215" s="158">
        <f t="shared" ref="F215:F278" si="119">IF(D215="","",D215+C215)</f>
        <v>4385.9649122807014</v>
      </c>
      <c r="G215" s="160">
        <f t="shared" ref="G215:G278" si="120">IF(E215="","",D215+C215)</f>
        <v>4385.9649122807014</v>
      </c>
      <c r="AA215" s="2">
        <f t="shared" si="88"/>
        <v>186</v>
      </c>
      <c r="AC215" s="9" t="str">
        <f t="shared" si="97"/>
        <v/>
      </c>
      <c r="AD215" s="9">
        <f t="shared" si="86"/>
        <v>4385.9649122807014</v>
      </c>
      <c r="AF215" s="2" t="str">
        <f t="shared" si="101"/>
        <v/>
      </c>
      <c r="AG215" s="9" t="str">
        <f t="shared" si="90"/>
        <v/>
      </c>
      <c r="AH215" s="9" t="str">
        <f t="shared" si="91"/>
        <v/>
      </c>
      <c r="AL215" s="23">
        <f t="shared" si="93"/>
        <v>0</v>
      </c>
      <c r="AM215" s="23">
        <f t="shared" si="113"/>
        <v>0</v>
      </c>
      <c r="AN215" s="23">
        <f t="shared" si="108"/>
        <v>0</v>
      </c>
      <c r="AO215" s="23">
        <f t="shared" si="111"/>
        <v>0</v>
      </c>
      <c r="AP215" s="23">
        <f>E212*((1+$C$23)^3-1)</f>
        <v>0</v>
      </c>
      <c r="AQ215" s="23">
        <f>E209*((1+$C$23)^6-1)</f>
        <v>0</v>
      </c>
      <c r="AR215" s="23">
        <f>E203*((1+$C$23)^12-1)</f>
        <v>0</v>
      </c>
      <c r="AU215" s="23">
        <f t="shared" si="84"/>
        <v>4385.9649122807014</v>
      </c>
      <c r="AV215" s="23">
        <f t="shared" si="83"/>
        <v>4385.9649122807014</v>
      </c>
      <c r="AW215" s="23">
        <f>$E$23/($B$17-$B$16)*2</f>
        <v>8771.9298245614027</v>
      </c>
      <c r="AX215" s="23">
        <f>$E$23/($B$17-$B$16)*3</f>
        <v>13157.894736842103</v>
      </c>
      <c r="AY215" s="23">
        <f>$E$23/($B$17-$B$16)*6</f>
        <v>26315.789473684206</v>
      </c>
      <c r="AZ215" s="23">
        <f>$E$23/($B$17-$B$16)*12</f>
        <v>52631.578947368413</v>
      </c>
    </row>
    <row r="216" spans="1:52" x14ac:dyDescent="0.25">
      <c r="A216" s="68">
        <f t="shared" si="114"/>
        <v>193</v>
      </c>
      <c r="B216" s="68" t="str">
        <f t="shared" si="115"/>
        <v>amortização</v>
      </c>
      <c r="C216" s="156">
        <f t="shared" si="116"/>
        <v>0</v>
      </c>
      <c r="D216" s="156">
        <f t="shared" si="117"/>
        <v>4385.9649122807014</v>
      </c>
      <c r="E216" s="157">
        <f t="shared" si="118"/>
        <v>206140.35087719778</v>
      </c>
      <c r="F216" s="158">
        <f t="shared" si="119"/>
        <v>4385.9649122807014</v>
      </c>
      <c r="G216" s="160">
        <f t="shared" si="120"/>
        <v>4385.9649122807014</v>
      </c>
      <c r="AA216" s="2">
        <f t="shared" si="88"/>
        <v>187</v>
      </c>
      <c r="AC216" s="9" t="str">
        <f t="shared" si="97"/>
        <v/>
      </c>
      <c r="AD216" s="9">
        <f t="shared" si="86"/>
        <v>4385.9649122807014</v>
      </c>
      <c r="AF216" s="2" t="str">
        <f t="shared" si="101"/>
        <v/>
      </c>
      <c r="AG216" s="9" t="str">
        <f t="shared" si="90"/>
        <v/>
      </c>
      <c r="AH216" s="9" t="str">
        <f t="shared" si="91"/>
        <v/>
      </c>
      <c r="AL216" s="23">
        <f t="shared" si="93"/>
        <v>0</v>
      </c>
      <c r="AM216" s="23">
        <f t="shared" si="113"/>
        <v>0</v>
      </c>
      <c r="AN216" s="23">
        <f t="shared" si="108"/>
        <v>0</v>
      </c>
      <c r="AO216" s="23">
        <v>0</v>
      </c>
      <c r="AP216" s="23">
        <v>0</v>
      </c>
      <c r="AQ216" s="23">
        <v>0</v>
      </c>
      <c r="AR216" s="23">
        <v>0</v>
      </c>
      <c r="AU216" s="23">
        <f t="shared" si="84"/>
        <v>4385.9649122807014</v>
      </c>
      <c r="AV216" s="23">
        <f t="shared" ref="AV216:AV279" si="121">$E$23/($B$17-$B$16)</f>
        <v>4385.9649122807014</v>
      </c>
      <c r="AW216" s="23">
        <v>0</v>
      </c>
      <c r="AX216" s="23">
        <v>0</v>
      </c>
      <c r="AY216" s="23">
        <v>0</v>
      </c>
      <c r="AZ216" s="23">
        <v>0</v>
      </c>
    </row>
    <row r="217" spans="1:52" x14ac:dyDescent="0.25">
      <c r="A217" s="68">
        <f t="shared" si="114"/>
        <v>194</v>
      </c>
      <c r="B217" s="68" t="str">
        <f t="shared" si="115"/>
        <v>amortização</v>
      </c>
      <c r="C217" s="156">
        <f t="shared" si="116"/>
        <v>0</v>
      </c>
      <c r="D217" s="156">
        <f t="shared" si="117"/>
        <v>4385.9649122807014</v>
      </c>
      <c r="E217" s="157">
        <f t="shared" si="118"/>
        <v>201754.38596491708</v>
      </c>
      <c r="F217" s="158">
        <f t="shared" si="119"/>
        <v>4385.9649122807014</v>
      </c>
      <c r="G217" s="160">
        <f t="shared" si="120"/>
        <v>4385.9649122807014</v>
      </c>
      <c r="AA217" s="2">
        <f t="shared" si="88"/>
        <v>188</v>
      </c>
      <c r="AC217" s="9" t="str">
        <f t="shared" si="97"/>
        <v/>
      </c>
      <c r="AD217" s="9">
        <f t="shared" si="86"/>
        <v>4385.9649122807014</v>
      </c>
      <c r="AF217" s="2" t="str">
        <f t="shared" si="101"/>
        <v/>
      </c>
      <c r="AG217" s="9" t="str">
        <f t="shared" si="90"/>
        <v/>
      </c>
      <c r="AH217" s="9" t="str">
        <f t="shared" si="91"/>
        <v/>
      </c>
      <c r="AL217" s="23">
        <f t="shared" si="93"/>
        <v>0</v>
      </c>
      <c r="AM217" s="23">
        <f t="shared" si="113"/>
        <v>0</v>
      </c>
      <c r="AN217" s="23">
        <f t="shared" si="108"/>
        <v>0</v>
      </c>
      <c r="AO217" s="23">
        <f t="shared" si="111"/>
        <v>0</v>
      </c>
      <c r="AP217" s="23">
        <v>0</v>
      </c>
      <c r="AQ217" s="23">
        <v>0</v>
      </c>
      <c r="AR217" s="23">
        <v>0</v>
      </c>
      <c r="AU217" s="23">
        <f t="shared" ref="AU217:AU280" si="122">IF($AV$17=1,AV217,IF($AV$17=2,AW217,IF($AV$17=3,AX217,IF($AV$17=4,AY217,IF($AV$17=5,AZ217)))))</f>
        <v>4385.9649122807014</v>
      </c>
      <c r="AV217" s="23">
        <f t="shared" si="121"/>
        <v>4385.9649122807014</v>
      </c>
      <c r="AW217" s="23">
        <f>$E$23/($B$17-$B$16)*2</f>
        <v>8771.9298245614027</v>
      </c>
      <c r="AX217" s="23">
        <v>0</v>
      </c>
      <c r="AY217" s="23">
        <v>0</v>
      </c>
      <c r="AZ217" s="23">
        <v>0</v>
      </c>
    </row>
    <row r="218" spans="1:52" x14ac:dyDescent="0.25">
      <c r="A218" s="68">
        <f t="shared" si="114"/>
        <v>195</v>
      </c>
      <c r="B218" s="68" t="str">
        <f t="shared" si="115"/>
        <v>amortização</v>
      </c>
      <c r="C218" s="156">
        <f t="shared" si="116"/>
        <v>0</v>
      </c>
      <c r="D218" s="156">
        <f t="shared" si="117"/>
        <v>4385.9649122807014</v>
      </c>
      <c r="E218" s="157">
        <f t="shared" si="118"/>
        <v>197368.42105263637</v>
      </c>
      <c r="F218" s="158">
        <f t="shared" si="119"/>
        <v>4385.9649122807014</v>
      </c>
      <c r="G218" s="160">
        <f t="shared" si="120"/>
        <v>4385.9649122807014</v>
      </c>
      <c r="AA218" s="2">
        <f t="shared" si="88"/>
        <v>189</v>
      </c>
      <c r="AC218" s="9" t="str">
        <f t="shared" si="97"/>
        <v/>
      </c>
      <c r="AD218" s="9">
        <f t="shared" si="86"/>
        <v>4385.9649122807014</v>
      </c>
      <c r="AF218" s="2" t="str">
        <f t="shared" si="101"/>
        <v/>
      </c>
      <c r="AG218" s="9" t="str">
        <f t="shared" si="90"/>
        <v/>
      </c>
      <c r="AH218" s="9" t="str">
        <f t="shared" si="91"/>
        <v/>
      </c>
      <c r="AL218" s="23">
        <f t="shared" si="93"/>
        <v>0</v>
      </c>
      <c r="AM218" s="23">
        <f t="shared" si="113"/>
        <v>0</v>
      </c>
      <c r="AN218" s="23">
        <f t="shared" si="108"/>
        <v>0</v>
      </c>
      <c r="AO218" s="23">
        <v>0</v>
      </c>
      <c r="AP218" s="23">
        <f t="shared" ref="AP218:AP224" si="123">E215*((1+$C$23)^3-1)</f>
        <v>0</v>
      </c>
      <c r="AQ218" s="23">
        <v>0</v>
      </c>
      <c r="AR218" s="23">
        <v>0</v>
      </c>
      <c r="AU218" s="23">
        <f t="shared" si="122"/>
        <v>4385.9649122807014</v>
      </c>
      <c r="AV218" s="23">
        <f t="shared" si="121"/>
        <v>4385.9649122807014</v>
      </c>
      <c r="AW218" s="23">
        <v>0</v>
      </c>
      <c r="AX218" s="23">
        <f>$E$23/($B$17-$B$16)*3</f>
        <v>13157.894736842103</v>
      </c>
      <c r="AY218" s="23">
        <v>0</v>
      </c>
      <c r="AZ218" s="23">
        <v>0</v>
      </c>
    </row>
    <row r="219" spans="1:52" x14ac:dyDescent="0.25">
      <c r="A219" s="68">
        <f t="shared" si="114"/>
        <v>196</v>
      </c>
      <c r="B219" s="68" t="str">
        <f t="shared" si="115"/>
        <v>amortização</v>
      </c>
      <c r="C219" s="156">
        <f t="shared" si="116"/>
        <v>0</v>
      </c>
      <c r="D219" s="156">
        <f t="shared" si="117"/>
        <v>4385.9649122807014</v>
      </c>
      <c r="E219" s="157">
        <f t="shared" si="118"/>
        <v>192982.45614035567</v>
      </c>
      <c r="F219" s="158">
        <f t="shared" si="119"/>
        <v>4385.9649122807014</v>
      </c>
      <c r="G219" s="160">
        <f t="shared" si="120"/>
        <v>4385.9649122807014</v>
      </c>
      <c r="AA219" s="2">
        <f t="shared" si="88"/>
        <v>190</v>
      </c>
      <c r="AC219" s="9" t="str">
        <f t="shared" si="97"/>
        <v/>
      </c>
      <c r="AD219" s="9">
        <f t="shared" si="86"/>
        <v>4385.9649122807014</v>
      </c>
      <c r="AF219" s="2" t="str">
        <f t="shared" si="101"/>
        <v/>
      </c>
      <c r="AG219" s="9" t="str">
        <f t="shared" si="90"/>
        <v/>
      </c>
      <c r="AH219" s="9" t="str">
        <f t="shared" si="91"/>
        <v/>
      </c>
      <c r="AL219" s="23">
        <f t="shared" si="93"/>
        <v>0</v>
      </c>
      <c r="AM219" s="23">
        <f t="shared" si="113"/>
        <v>0</v>
      </c>
      <c r="AN219" s="23">
        <f t="shared" si="108"/>
        <v>0</v>
      </c>
      <c r="AO219" s="23">
        <f t="shared" ref="AO219:AO231" si="124">E217*((1+$C$23)^2-1)</f>
        <v>0</v>
      </c>
      <c r="AP219" s="23">
        <v>0</v>
      </c>
      <c r="AQ219" s="23">
        <v>0</v>
      </c>
      <c r="AR219" s="23">
        <v>0</v>
      </c>
      <c r="AU219" s="23">
        <f t="shared" si="122"/>
        <v>4385.9649122807014</v>
      </c>
      <c r="AV219" s="23">
        <f t="shared" si="121"/>
        <v>4385.9649122807014</v>
      </c>
      <c r="AW219" s="23">
        <f>$E$23/($B$17-$B$16)*2</f>
        <v>8771.9298245614027</v>
      </c>
      <c r="AX219" s="23">
        <v>0</v>
      </c>
      <c r="AY219" s="23">
        <v>0</v>
      </c>
      <c r="AZ219" s="23">
        <v>0</v>
      </c>
    </row>
    <row r="220" spans="1:52" x14ac:dyDescent="0.25">
      <c r="A220" s="68">
        <f t="shared" si="114"/>
        <v>197</v>
      </c>
      <c r="B220" s="68" t="str">
        <f t="shared" si="115"/>
        <v>amortização</v>
      </c>
      <c r="C220" s="156">
        <f t="shared" si="116"/>
        <v>0</v>
      </c>
      <c r="D220" s="156">
        <f t="shared" si="117"/>
        <v>4385.9649122807014</v>
      </c>
      <c r="E220" s="157">
        <f t="shared" si="118"/>
        <v>188596.49122807497</v>
      </c>
      <c r="F220" s="158">
        <f t="shared" si="119"/>
        <v>4385.9649122807014</v>
      </c>
      <c r="G220" s="160">
        <f t="shared" si="120"/>
        <v>4385.9649122807014</v>
      </c>
      <c r="AA220" s="2">
        <f t="shared" si="88"/>
        <v>191</v>
      </c>
      <c r="AC220" s="9" t="str">
        <f t="shared" si="97"/>
        <v/>
      </c>
      <c r="AD220" s="9">
        <f t="shared" si="86"/>
        <v>4385.9649122807014</v>
      </c>
      <c r="AF220" s="2" t="str">
        <f t="shared" si="101"/>
        <v/>
      </c>
      <c r="AG220" s="9" t="str">
        <f t="shared" si="90"/>
        <v/>
      </c>
      <c r="AH220" s="9" t="str">
        <f t="shared" si="91"/>
        <v/>
      </c>
      <c r="AL220" s="23">
        <f t="shared" si="93"/>
        <v>0</v>
      </c>
      <c r="AM220" s="23">
        <f t="shared" si="113"/>
        <v>0</v>
      </c>
      <c r="AN220" s="23">
        <f t="shared" si="108"/>
        <v>0</v>
      </c>
      <c r="AO220" s="23">
        <v>0</v>
      </c>
      <c r="AP220" s="23">
        <v>0</v>
      </c>
      <c r="AQ220" s="23">
        <v>0</v>
      </c>
      <c r="AR220" s="23">
        <v>0</v>
      </c>
      <c r="AU220" s="23">
        <f t="shared" si="122"/>
        <v>4385.9649122807014</v>
      </c>
      <c r="AV220" s="23">
        <f t="shared" si="121"/>
        <v>4385.9649122807014</v>
      </c>
      <c r="AW220" s="23">
        <v>0</v>
      </c>
      <c r="AX220" s="23">
        <v>0</v>
      </c>
      <c r="AY220" s="23">
        <v>0</v>
      </c>
      <c r="AZ220" s="23">
        <v>0</v>
      </c>
    </row>
    <row r="221" spans="1:52" x14ac:dyDescent="0.25">
      <c r="A221" s="68">
        <f t="shared" si="114"/>
        <v>198</v>
      </c>
      <c r="B221" s="68" t="str">
        <f t="shared" si="115"/>
        <v>amortização</v>
      </c>
      <c r="C221" s="156">
        <f t="shared" si="116"/>
        <v>0</v>
      </c>
      <c r="D221" s="156">
        <f t="shared" si="117"/>
        <v>4385.9649122807014</v>
      </c>
      <c r="E221" s="157">
        <f t="shared" si="118"/>
        <v>184210.52631579427</v>
      </c>
      <c r="F221" s="158">
        <f t="shared" si="119"/>
        <v>4385.9649122807014</v>
      </c>
      <c r="G221" s="160">
        <f t="shared" si="120"/>
        <v>4385.9649122807014</v>
      </c>
      <c r="AA221" s="2">
        <f t="shared" si="88"/>
        <v>192</v>
      </c>
      <c r="AC221" s="9" t="str">
        <f t="shared" si="97"/>
        <v/>
      </c>
      <c r="AD221" s="9">
        <f t="shared" ref="AD221:AD257" si="125">IF(AA221="","",IF(AA221&lt;=B$16,0,B$15/(B$17-B$16)))</f>
        <v>4385.9649122807014</v>
      </c>
      <c r="AF221" s="2" t="str">
        <f t="shared" si="101"/>
        <v/>
      </c>
      <c r="AG221" s="9" t="str">
        <f t="shared" si="90"/>
        <v/>
      </c>
      <c r="AH221" s="9" t="str">
        <f t="shared" si="91"/>
        <v/>
      </c>
      <c r="AL221" s="23">
        <f t="shared" si="93"/>
        <v>0</v>
      </c>
      <c r="AM221" s="23">
        <f t="shared" si="113"/>
        <v>0</v>
      </c>
      <c r="AN221" s="23">
        <f t="shared" si="108"/>
        <v>0</v>
      </c>
      <c r="AO221" s="23">
        <f t="shared" si="124"/>
        <v>0</v>
      </c>
      <c r="AP221" s="23">
        <f t="shared" si="123"/>
        <v>0</v>
      </c>
      <c r="AQ221" s="23">
        <f t="shared" ref="AQ221" si="126">E215*((1+$C$23)^6-1)</f>
        <v>0</v>
      </c>
      <c r="AR221" s="23">
        <v>0</v>
      </c>
      <c r="AU221" s="23">
        <f t="shared" si="122"/>
        <v>4385.9649122807014</v>
      </c>
      <c r="AV221" s="23">
        <f t="shared" si="121"/>
        <v>4385.9649122807014</v>
      </c>
      <c r="AW221" s="23">
        <f>$E$23/($B$17-$B$16)*2</f>
        <v>8771.9298245614027</v>
      </c>
      <c r="AX221" s="23">
        <f>$E$23/($B$17-$B$16)*3</f>
        <v>13157.894736842103</v>
      </c>
      <c r="AY221" s="23">
        <f>$E$23/($B$17-$B$16)*6</f>
        <v>26315.789473684206</v>
      </c>
      <c r="AZ221" s="23">
        <v>0</v>
      </c>
    </row>
    <row r="222" spans="1:52" x14ac:dyDescent="0.25">
      <c r="A222" s="68">
        <f t="shared" si="114"/>
        <v>199</v>
      </c>
      <c r="B222" s="68" t="str">
        <f t="shared" si="115"/>
        <v>amortização</v>
      </c>
      <c r="C222" s="156">
        <f t="shared" si="116"/>
        <v>0</v>
      </c>
      <c r="D222" s="156">
        <f t="shared" si="117"/>
        <v>4385.9649122807014</v>
      </c>
      <c r="E222" s="157">
        <f t="shared" si="118"/>
        <v>179824.56140351357</v>
      </c>
      <c r="F222" s="158">
        <f t="shared" si="119"/>
        <v>4385.9649122807014</v>
      </c>
      <c r="G222" s="160">
        <f t="shared" si="120"/>
        <v>4385.9649122807014</v>
      </c>
      <c r="AA222" s="2">
        <f t="shared" ref="AA222:AA245" si="127">IF(AA221&lt;B$17,AA221+1,"")</f>
        <v>193</v>
      </c>
      <c r="AC222" s="9" t="str">
        <f t="shared" si="97"/>
        <v/>
      </c>
      <c r="AD222" s="9">
        <f t="shared" si="125"/>
        <v>4385.9649122807014</v>
      </c>
      <c r="AF222" s="2" t="str">
        <f t="shared" si="101"/>
        <v/>
      </c>
      <c r="AG222" s="9" t="str">
        <f t="shared" si="90"/>
        <v/>
      </c>
      <c r="AH222" s="9" t="str">
        <f t="shared" si="91"/>
        <v/>
      </c>
      <c r="AL222" s="23">
        <f t="shared" si="93"/>
        <v>0</v>
      </c>
      <c r="AM222" s="23">
        <f t="shared" si="113"/>
        <v>0</v>
      </c>
      <c r="AN222" s="23">
        <f t="shared" si="108"/>
        <v>0</v>
      </c>
      <c r="AO222" s="23">
        <v>0</v>
      </c>
      <c r="AP222" s="23">
        <v>0</v>
      </c>
      <c r="AQ222" s="23">
        <v>0</v>
      </c>
      <c r="AR222" s="23">
        <v>0</v>
      </c>
      <c r="AU222" s="23">
        <f t="shared" si="122"/>
        <v>4385.9649122807014</v>
      </c>
      <c r="AV222" s="23">
        <f t="shared" si="121"/>
        <v>4385.9649122807014</v>
      </c>
      <c r="AW222" s="23">
        <v>0</v>
      </c>
      <c r="AX222" s="23">
        <v>0</v>
      </c>
      <c r="AY222" s="23">
        <v>0</v>
      </c>
      <c r="AZ222" s="23">
        <v>0</v>
      </c>
    </row>
    <row r="223" spans="1:52" x14ac:dyDescent="0.25">
      <c r="A223" s="68">
        <f t="shared" si="114"/>
        <v>200</v>
      </c>
      <c r="B223" s="68" t="str">
        <f t="shared" si="115"/>
        <v>amortização</v>
      </c>
      <c r="C223" s="156">
        <f t="shared" si="116"/>
        <v>0</v>
      </c>
      <c r="D223" s="156">
        <f t="shared" si="117"/>
        <v>4385.9649122807014</v>
      </c>
      <c r="E223" s="157">
        <f t="shared" si="118"/>
        <v>175438.59649123286</v>
      </c>
      <c r="F223" s="158">
        <f t="shared" si="119"/>
        <v>4385.9649122807014</v>
      </c>
      <c r="G223" s="160">
        <f t="shared" si="120"/>
        <v>4385.9649122807014</v>
      </c>
      <c r="AA223" s="2">
        <f t="shared" si="127"/>
        <v>194</v>
      </c>
      <c r="AC223" s="9" t="str">
        <f t="shared" si="97"/>
        <v/>
      </c>
      <c r="AD223" s="9">
        <f t="shared" si="125"/>
        <v>4385.9649122807014</v>
      </c>
      <c r="AF223" s="2" t="str">
        <f t="shared" si="101"/>
        <v/>
      </c>
      <c r="AG223" s="9" t="str">
        <f t="shared" ref="AG223:AG286" si="128">IF(AF223="","",IF(AF223&lt;365,AF223*AC$25*AD223,365*AD223*AC$25))</f>
        <v/>
      </c>
      <c r="AH223" s="9" t="str">
        <f t="shared" ref="AH223:AH286" si="129">IF(AF223="","",IF(AF223&lt;365,AF223*AC$26*AD223,365*AD223*AC$26))</f>
        <v/>
      </c>
      <c r="AL223" s="23">
        <f t="shared" si="93"/>
        <v>0</v>
      </c>
      <c r="AM223" s="23">
        <f t="shared" si="113"/>
        <v>0</v>
      </c>
      <c r="AN223" s="23">
        <f t="shared" si="108"/>
        <v>0</v>
      </c>
      <c r="AO223" s="23">
        <f t="shared" si="124"/>
        <v>0</v>
      </c>
      <c r="AP223" s="23">
        <v>0</v>
      </c>
      <c r="AQ223" s="23">
        <v>0</v>
      </c>
      <c r="AR223" s="23">
        <v>0</v>
      </c>
      <c r="AU223" s="23">
        <f t="shared" si="122"/>
        <v>4385.9649122807014</v>
      </c>
      <c r="AV223" s="23">
        <f t="shared" si="121"/>
        <v>4385.9649122807014</v>
      </c>
      <c r="AW223" s="23">
        <f>$E$23/($B$17-$B$16)*2</f>
        <v>8771.9298245614027</v>
      </c>
      <c r="AX223" s="23">
        <v>0</v>
      </c>
      <c r="AY223" s="23">
        <v>0</v>
      </c>
      <c r="AZ223" s="23">
        <v>0</v>
      </c>
    </row>
    <row r="224" spans="1:52" x14ac:dyDescent="0.25">
      <c r="A224" s="68">
        <f t="shared" si="114"/>
        <v>201</v>
      </c>
      <c r="B224" s="68" t="str">
        <f t="shared" si="115"/>
        <v>amortização</v>
      </c>
      <c r="C224" s="156">
        <f t="shared" si="116"/>
        <v>0</v>
      </c>
      <c r="D224" s="156">
        <f t="shared" si="117"/>
        <v>4385.9649122807014</v>
      </c>
      <c r="E224" s="157">
        <f t="shared" si="118"/>
        <v>171052.63157895216</v>
      </c>
      <c r="F224" s="158">
        <f t="shared" si="119"/>
        <v>4385.9649122807014</v>
      </c>
      <c r="G224" s="160">
        <f t="shared" si="120"/>
        <v>4385.9649122807014</v>
      </c>
      <c r="AA224" s="2">
        <f t="shared" si="127"/>
        <v>195</v>
      </c>
      <c r="AC224" s="9" t="str">
        <f t="shared" si="97"/>
        <v/>
      </c>
      <c r="AD224" s="9">
        <f t="shared" si="125"/>
        <v>4385.9649122807014</v>
      </c>
      <c r="AF224" s="2" t="str">
        <f t="shared" si="101"/>
        <v/>
      </c>
      <c r="AG224" s="9" t="str">
        <f t="shared" si="128"/>
        <v/>
      </c>
      <c r="AH224" s="9" t="str">
        <f t="shared" si="129"/>
        <v/>
      </c>
      <c r="AL224" s="23">
        <f t="shared" si="93"/>
        <v>0</v>
      </c>
      <c r="AM224" s="23">
        <f t="shared" si="113"/>
        <v>0</v>
      </c>
      <c r="AN224" s="23">
        <f>E223*$C$23</f>
        <v>0</v>
      </c>
      <c r="AO224" s="23">
        <v>0</v>
      </c>
      <c r="AP224" s="23">
        <f t="shared" si="123"/>
        <v>0</v>
      </c>
      <c r="AQ224" s="23">
        <v>0</v>
      </c>
      <c r="AR224" s="23">
        <v>0</v>
      </c>
      <c r="AU224" s="23">
        <f t="shared" si="122"/>
        <v>4385.9649122807014</v>
      </c>
      <c r="AV224" s="23">
        <f t="shared" si="121"/>
        <v>4385.9649122807014</v>
      </c>
      <c r="AW224" s="23">
        <v>0</v>
      </c>
      <c r="AX224" s="23">
        <f>$E$23/($B$17-$B$16)*3</f>
        <v>13157.894736842103</v>
      </c>
      <c r="AY224" s="23">
        <v>0</v>
      </c>
      <c r="AZ224" s="23">
        <v>0</v>
      </c>
    </row>
    <row r="225" spans="1:52" x14ac:dyDescent="0.25">
      <c r="A225" s="68">
        <f t="shared" si="114"/>
        <v>202</v>
      </c>
      <c r="B225" s="68" t="str">
        <f t="shared" si="115"/>
        <v>amortização</v>
      </c>
      <c r="C225" s="156">
        <f t="shared" si="116"/>
        <v>0</v>
      </c>
      <c r="D225" s="156">
        <f t="shared" si="117"/>
        <v>4385.9649122807014</v>
      </c>
      <c r="E225" s="157">
        <f t="shared" si="118"/>
        <v>166666.66666667146</v>
      </c>
      <c r="F225" s="158">
        <f t="shared" si="119"/>
        <v>4385.9649122807014</v>
      </c>
      <c r="G225" s="160">
        <f t="shared" si="120"/>
        <v>4385.9649122807014</v>
      </c>
      <c r="AA225" s="2">
        <f t="shared" si="127"/>
        <v>196</v>
      </c>
      <c r="AC225" s="9" t="str">
        <f t="shared" si="97"/>
        <v/>
      </c>
      <c r="AD225" s="9">
        <f t="shared" si="125"/>
        <v>4385.9649122807014</v>
      </c>
      <c r="AF225" s="2" t="str">
        <f t="shared" si="101"/>
        <v/>
      </c>
      <c r="AG225" s="9" t="str">
        <f t="shared" si="128"/>
        <v/>
      </c>
      <c r="AH225" s="9" t="str">
        <f t="shared" si="129"/>
        <v/>
      </c>
      <c r="AL225" s="23">
        <f t="shared" si="93"/>
        <v>0</v>
      </c>
      <c r="AM225" s="23">
        <f t="shared" si="113"/>
        <v>0</v>
      </c>
      <c r="AN225" s="23">
        <f t="shared" ref="AN225:AN248" si="130">E224*$C$23</f>
        <v>0</v>
      </c>
      <c r="AO225" s="23">
        <f t="shared" si="124"/>
        <v>0</v>
      </c>
      <c r="AP225" s="23">
        <v>0</v>
      </c>
      <c r="AQ225" s="23">
        <v>0</v>
      </c>
      <c r="AR225" s="23">
        <v>0</v>
      </c>
      <c r="AU225" s="23">
        <f t="shared" si="122"/>
        <v>4385.9649122807014</v>
      </c>
      <c r="AV225" s="23">
        <f t="shared" si="121"/>
        <v>4385.9649122807014</v>
      </c>
      <c r="AW225" s="23">
        <f>$E$23/($B$17-$B$16)*2</f>
        <v>8771.9298245614027</v>
      </c>
      <c r="AX225" s="23">
        <v>0</v>
      </c>
      <c r="AY225" s="23">
        <v>0</v>
      </c>
      <c r="AZ225" s="23">
        <v>0</v>
      </c>
    </row>
    <row r="226" spans="1:52" x14ac:dyDescent="0.25">
      <c r="A226" s="68">
        <f t="shared" si="114"/>
        <v>203</v>
      </c>
      <c r="B226" s="68" t="str">
        <f t="shared" si="115"/>
        <v>amortização</v>
      </c>
      <c r="C226" s="156">
        <f t="shared" si="116"/>
        <v>0</v>
      </c>
      <c r="D226" s="156">
        <f t="shared" si="117"/>
        <v>4385.9649122807014</v>
      </c>
      <c r="E226" s="157">
        <f t="shared" si="118"/>
        <v>162280.70175439076</v>
      </c>
      <c r="F226" s="158">
        <f t="shared" si="119"/>
        <v>4385.9649122807014</v>
      </c>
      <c r="G226" s="160">
        <f t="shared" si="120"/>
        <v>4385.9649122807014</v>
      </c>
      <c r="AA226" s="2">
        <f t="shared" si="127"/>
        <v>197</v>
      </c>
      <c r="AC226" s="9" t="str">
        <f t="shared" si="97"/>
        <v/>
      </c>
      <c r="AD226" s="9">
        <f t="shared" si="125"/>
        <v>4385.9649122807014</v>
      </c>
      <c r="AF226" s="2" t="str">
        <f t="shared" si="101"/>
        <v/>
      </c>
      <c r="AG226" s="9" t="str">
        <f t="shared" si="128"/>
        <v/>
      </c>
      <c r="AH226" s="9" t="str">
        <f t="shared" si="129"/>
        <v/>
      </c>
      <c r="AL226" s="23">
        <f t="shared" si="93"/>
        <v>0</v>
      </c>
      <c r="AM226" s="23">
        <f t="shared" si="113"/>
        <v>0</v>
      </c>
      <c r="AN226" s="23">
        <f t="shared" si="130"/>
        <v>0</v>
      </c>
      <c r="AO226" s="23">
        <v>0</v>
      </c>
      <c r="AP226" s="23">
        <v>0</v>
      </c>
      <c r="AQ226" s="23">
        <v>0</v>
      </c>
      <c r="AR226" s="23">
        <v>0</v>
      </c>
      <c r="AU226" s="23">
        <f t="shared" si="122"/>
        <v>4385.9649122807014</v>
      </c>
      <c r="AV226" s="23">
        <f t="shared" si="121"/>
        <v>4385.9649122807014</v>
      </c>
      <c r="AW226" s="23">
        <v>0</v>
      </c>
      <c r="AX226" s="23">
        <v>0</v>
      </c>
      <c r="AY226" s="23">
        <v>0</v>
      </c>
      <c r="AZ226" s="23">
        <v>0</v>
      </c>
    </row>
    <row r="227" spans="1:52" x14ac:dyDescent="0.25">
      <c r="A227" s="68">
        <f t="shared" si="114"/>
        <v>204</v>
      </c>
      <c r="B227" s="68" t="str">
        <f t="shared" si="115"/>
        <v>amortização</v>
      </c>
      <c r="C227" s="156">
        <f t="shared" si="116"/>
        <v>0</v>
      </c>
      <c r="D227" s="156">
        <f t="shared" si="117"/>
        <v>4385.9649122807014</v>
      </c>
      <c r="E227" s="157">
        <f t="shared" si="118"/>
        <v>157894.73684211005</v>
      </c>
      <c r="F227" s="158">
        <f t="shared" si="119"/>
        <v>4385.9649122807014</v>
      </c>
      <c r="G227" s="160">
        <f t="shared" si="120"/>
        <v>4385.9649122807014</v>
      </c>
      <c r="AA227" s="2">
        <f t="shared" si="127"/>
        <v>198</v>
      </c>
      <c r="AC227" s="9" t="str">
        <f t="shared" si="97"/>
        <v/>
      </c>
      <c r="AD227" s="9">
        <f t="shared" si="125"/>
        <v>4385.9649122807014</v>
      </c>
      <c r="AF227" s="2" t="str">
        <f t="shared" si="101"/>
        <v/>
      </c>
      <c r="AG227" s="9" t="str">
        <f t="shared" si="128"/>
        <v/>
      </c>
      <c r="AH227" s="9" t="str">
        <f t="shared" si="129"/>
        <v/>
      </c>
      <c r="AL227" s="23">
        <f t="shared" si="93"/>
        <v>0</v>
      </c>
      <c r="AM227" s="23">
        <f t="shared" si="113"/>
        <v>0</v>
      </c>
      <c r="AN227" s="23">
        <f t="shared" si="130"/>
        <v>0</v>
      </c>
      <c r="AO227" s="23">
        <f t="shared" si="124"/>
        <v>0</v>
      </c>
      <c r="AP227" s="23">
        <f t="shared" ref="AP227:AP239" si="131">E224*((1+$C$23)^3-1)</f>
        <v>0</v>
      </c>
      <c r="AQ227" s="23">
        <f t="shared" ref="AQ227" si="132">E221*((1+$C$23)^6-1)</f>
        <v>0</v>
      </c>
      <c r="AR227" s="23">
        <f>E215*((1+$C$23)^12-1)</f>
        <v>0</v>
      </c>
      <c r="AU227" s="23">
        <f t="shared" si="122"/>
        <v>4385.9649122807014</v>
      </c>
      <c r="AV227" s="23">
        <f t="shared" si="121"/>
        <v>4385.9649122807014</v>
      </c>
      <c r="AW227" s="23">
        <f>$E$23/($B$17-$B$16)*2</f>
        <v>8771.9298245614027</v>
      </c>
      <c r="AX227" s="23">
        <f>$E$23/($B$17-$B$16)*3</f>
        <v>13157.894736842103</v>
      </c>
      <c r="AY227" s="23">
        <f>$E$23/($B$17-$B$16)*6</f>
        <v>26315.789473684206</v>
      </c>
      <c r="AZ227" s="23">
        <f>$E$23/($B$17-$B$16)*12</f>
        <v>52631.578947368413</v>
      </c>
    </row>
    <row r="228" spans="1:52" x14ac:dyDescent="0.25">
      <c r="A228" s="68">
        <f t="shared" si="114"/>
        <v>205</v>
      </c>
      <c r="B228" s="68" t="str">
        <f t="shared" si="115"/>
        <v>amortização</v>
      </c>
      <c r="C228" s="156">
        <f t="shared" si="116"/>
        <v>0</v>
      </c>
      <c r="D228" s="156">
        <f t="shared" si="117"/>
        <v>4385.9649122807014</v>
      </c>
      <c r="E228" s="157">
        <f t="shared" si="118"/>
        <v>153508.77192982935</v>
      </c>
      <c r="F228" s="158">
        <f t="shared" si="119"/>
        <v>4385.9649122807014</v>
      </c>
      <c r="G228" s="160">
        <f t="shared" si="120"/>
        <v>4385.9649122807014</v>
      </c>
      <c r="AA228" s="2">
        <f t="shared" si="127"/>
        <v>199</v>
      </c>
      <c r="AC228" s="9" t="str">
        <f t="shared" si="97"/>
        <v/>
      </c>
      <c r="AD228" s="9">
        <f t="shared" si="125"/>
        <v>4385.9649122807014</v>
      </c>
      <c r="AF228" s="2" t="str">
        <f t="shared" si="101"/>
        <v/>
      </c>
      <c r="AG228" s="9" t="str">
        <f t="shared" si="128"/>
        <v/>
      </c>
      <c r="AH228" s="9" t="str">
        <f t="shared" si="129"/>
        <v/>
      </c>
      <c r="AL228" s="23">
        <f t="shared" ref="AL228:AL286" si="133">IF(A228&lt;=$B$16,AM228,E227*$C$23)</f>
        <v>0</v>
      </c>
      <c r="AM228" s="23">
        <f t="shared" si="113"/>
        <v>0</v>
      </c>
      <c r="AN228" s="23">
        <f t="shared" si="130"/>
        <v>0</v>
      </c>
      <c r="AO228" s="23">
        <v>0</v>
      </c>
      <c r="AP228" s="23">
        <v>0</v>
      </c>
      <c r="AQ228" s="23">
        <v>0</v>
      </c>
      <c r="AR228" s="23">
        <v>0</v>
      </c>
      <c r="AU228" s="23">
        <f t="shared" si="122"/>
        <v>4385.9649122807014</v>
      </c>
      <c r="AV228" s="23">
        <f t="shared" si="121"/>
        <v>4385.9649122807014</v>
      </c>
      <c r="AW228" s="23">
        <v>0</v>
      </c>
      <c r="AX228" s="23">
        <v>0</v>
      </c>
      <c r="AY228" s="23">
        <v>0</v>
      </c>
      <c r="AZ228" s="23">
        <v>0</v>
      </c>
    </row>
    <row r="229" spans="1:52" x14ac:dyDescent="0.25">
      <c r="A229" s="68">
        <f t="shared" si="114"/>
        <v>206</v>
      </c>
      <c r="B229" s="68" t="str">
        <f t="shared" si="115"/>
        <v>amortização</v>
      </c>
      <c r="C229" s="156">
        <f t="shared" si="116"/>
        <v>0</v>
      </c>
      <c r="D229" s="156">
        <f t="shared" si="117"/>
        <v>4385.9649122807014</v>
      </c>
      <c r="E229" s="157">
        <f t="shared" si="118"/>
        <v>149122.80701754865</v>
      </c>
      <c r="F229" s="158">
        <f t="shared" si="119"/>
        <v>4385.9649122807014</v>
      </c>
      <c r="G229" s="160">
        <f t="shared" si="120"/>
        <v>4385.9649122807014</v>
      </c>
      <c r="AA229" s="2">
        <f t="shared" si="127"/>
        <v>200</v>
      </c>
      <c r="AC229" s="9" t="str">
        <f t="shared" si="97"/>
        <v/>
      </c>
      <c r="AD229" s="9">
        <f t="shared" si="125"/>
        <v>4385.9649122807014</v>
      </c>
      <c r="AF229" s="2" t="str">
        <f t="shared" si="101"/>
        <v/>
      </c>
      <c r="AG229" s="9" t="str">
        <f t="shared" si="128"/>
        <v/>
      </c>
      <c r="AH229" s="9" t="str">
        <f t="shared" si="129"/>
        <v/>
      </c>
      <c r="AL229" s="23">
        <f t="shared" si="133"/>
        <v>0</v>
      </c>
      <c r="AM229" s="23">
        <f t="shared" si="113"/>
        <v>0</v>
      </c>
      <c r="AN229" s="23">
        <f t="shared" si="130"/>
        <v>0</v>
      </c>
      <c r="AO229" s="23">
        <f t="shared" si="124"/>
        <v>0</v>
      </c>
      <c r="AP229" s="23">
        <v>0</v>
      </c>
      <c r="AQ229" s="23">
        <v>0</v>
      </c>
      <c r="AR229" s="23">
        <v>0</v>
      </c>
      <c r="AU229" s="23">
        <f t="shared" si="122"/>
        <v>4385.9649122807014</v>
      </c>
      <c r="AV229" s="23">
        <f t="shared" si="121"/>
        <v>4385.9649122807014</v>
      </c>
      <c r="AW229" s="23">
        <f>$E$23/($B$17-$B$16)*2</f>
        <v>8771.9298245614027</v>
      </c>
      <c r="AX229" s="23">
        <v>0</v>
      </c>
      <c r="AY229" s="23">
        <v>0</v>
      </c>
      <c r="AZ229" s="23">
        <v>0</v>
      </c>
    </row>
    <row r="230" spans="1:52" x14ac:dyDescent="0.25">
      <c r="A230" s="68">
        <f t="shared" si="114"/>
        <v>207</v>
      </c>
      <c r="B230" s="68" t="str">
        <f t="shared" si="115"/>
        <v>amortização</v>
      </c>
      <c r="C230" s="156">
        <f t="shared" si="116"/>
        <v>0</v>
      </c>
      <c r="D230" s="156">
        <f t="shared" si="117"/>
        <v>4385.9649122807014</v>
      </c>
      <c r="E230" s="157">
        <f t="shared" si="118"/>
        <v>144736.84210526795</v>
      </c>
      <c r="F230" s="158">
        <f t="shared" si="119"/>
        <v>4385.9649122807014</v>
      </c>
      <c r="G230" s="160">
        <f t="shared" si="120"/>
        <v>4385.9649122807014</v>
      </c>
      <c r="AA230" s="2">
        <f t="shared" si="127"/>
        <v>201</v>
      </c>
      <c r="AC230" s="9" t="str">
        <f t="shared" si="97"/>
        <v/>
      </c>
      <c r="AD230" s="9">
        <f t="shared" si="125"/>
        <v>4385.9649122807014</v>
      </c>
      <c r="AG230" s="9" t="str">
        <f t="shared" si="128"/>
        <v/>
      </c>
      <c r="AH230" s="9" t="str">
        <f t="shared" si="129"/>
        <v/>
      </c>
      <c r="AL230" s="23">
        <f t="shared" si="133"/>
        <v>0</v>
      </c>
      <c r="AM230" s="23">
        <f t="shared" si="113"/>
        <v>0</v>
      </c>
      <c r="AN230" s="23">
        <f t="shared" si="130"/>
        <v>0</v>
      </c>
      <c r="AO230" s="23">
        <v>0</v>
      </c>
      <c r="AP230" s="23">
        <f t="shared" si="131"/>
        <v>0</v>
      </c>
      <c r="AQ230" s="23">
        <v>0</v>
      </c>
      <c r="AR230" s="23">
        <v>0</v>
      </c>
      <c r="AU230" s="23">
        <f t="shared" si="122"/>
        <v>4385.9649122807014</v>
      </c>
      <c r="AV230" s="23">
        <f t="shared" si="121"/>
        <v>4385.9649122807014</v>
      </c>
      <c r="AW230" s="23">
        <v>0</v>
      </c>
      <c r="AX230" s="23">
        <f>$E$23/($B$17-$B$16)*3</f>
        <v>13157.894736842103</v>
      </c>
      <c r="AY230" s="23">
        <v>0</v>
      </c>
      <c r="AZ230" s="23">
        <v>0</v>
      </c>
    </row>
    <row r="231" spans="1:52" x14ac:dyDescent="0.25">
      <c r="A231" s="68">
        <f t="shared" si="114"/>
        <v>208</v>
      </c>
      <c r="B231" s="68" t="str">
        <f t="shared" si="115"/>
        <v>amortização</v>
      </c>
      <c r="C231" s="156">
        <f t="shared" si="116"/>
        <v>0</v>
      </c>
      <c r="D231" s="156">
        <f t="shared" si="117"/>
        <v>4385.9649122807014</v>
      </c>
      <c r="E231" s="157">
        <f t="shared" si="118"/>
        <v>140350.87719298725</v>
      </c>
      <c r="F231" s="158">
        <f t="shared" si="119"/>
        <v>4385.9649122807014</v>
      </c>
      <c r="G231" s="160">
        <f t="shared" si="120"/>
        <v>4385.9649122807014</v>
      </c>
      <c r="AA231" s="2">
        <f t="shared" si="127"/>
        <v>202</v>
      </c>
      <c r="AC231" s="9" t="str">
        <f t="shared" si="97"/>
        <v/>
      </c>
      <c r="AD231" s="9">
        <f t="shared" si="125"/>
        <v>4385.9649122807014</v>
      </c>
      <c r="AG231" s="9" t="str">
        <f t="shared" si="128"/>
        <v/>
      </c>
      <c r="AH231" s="9" t="str">
        <f t="shared" si="129"/>
        <v/>
      </c>
      <c r="AL231" s="23">
        <f t="shared" si="133"/>
        <v>0</v>
      </c>
      <c r="AM231" s="23">
        <f t="shared" si="113"/>
        <v>0</v>
      </c>
      <c r="AN231" s="23">
        <f t="shared" si="130"/>
        <v>0</v>
      </c>
      <c r="AO231" s="23">
        <f t="shared" si="124"/>
        <v>0</v>
      </c>
      <c r="AP231" s="23">
        <v>0</v>
      </c>
      <c r="AQ231" s="23">
        <v>0</v>
      </c>
      <c r="AR231" s="23">
        <v>0</v>
      </c>
      <c r="AU231" s="23">
        <f t="shared" si="122"/>
        <v>4385.9649122807014</v>
      </c>
      <c r="AV231" s="23">
        <f t="shared" si="121"/>
        <v>4385.9649122807014</v>
      </c>
      <c r="AW231" s="23">
        <f>$E$23/($B$17-$B$16)*2</f>
        <v>8771.9298245614027</v>
      </c>
      <c r="AX231" s="23">
        <v>0</v>
      </c>
      <c r="AY231" s="23">
        <v>0</v>
      </c>
      <c r="AZ231" s="23">
        <v>0</v>
      </c>
    </row>
    <row r="232" spans="1:52" x14ac:dyDescent="0.25">
      <c r="A232" s="68">
        <f t="shared" si="114"/>
        <v>209</v>
      </c>
      <c r="B232" s="68" t="str">
        <f t="shared" si="115"/>
        <v>amortização</v>
      </c>
      <c r="C232" s="156">
        <f t="shared" si="116"/>
        <v>0</v>
      </c>
      <c r="D232" s="156">
        <f t="shared" si="117"/>
        <v>4385.9649122807014</v>
      </c>
      <c r="E232" s="157">
        <f t="shared" si="118"/>
        <v>135964.91228070654</v>
      </c>
      <c r="F232" s="158">
        <f t="shared" si="119"/>
        <v>4385.9649122807014</v>
      </c>
      <c r="G232" s="160">
        <f t="shared" si="120"/>
        <v>4385.9649122807014</v>
      </c>
      <c r="AA232" s="2">
        <f t="shared" si="127"/>
        <v>203</v>
      </c>
      <c r="AC232" s="9" t="str">
        <f t="shared" si="97"/>
        <v/>
      </c>
      <c r="AD232" s="9">
        <f t="shared" si="125"/>
        <v>4385.9649122807014</v>
      </c>
      <c r="AG232" s="9" t="str">
        <f t="shared" si="128"/>
        <v/>
      </c>
      <c r="AH232" s="9" t="str">
        <f t="shared" si="129"/>
        <v/>
      </c>
      <c r="AL232" s="23">
        <f t="shared" si="133"/>
        <v>0</v>
      </c>
      <c r="AM232" s="23">
        <f t="shared" si="113"/>
        <v>0</v>
      </c>
      <c r="AN232" s="23">
        <f t="shared" si="130"/>
        <v>0</v>
      </c>
      <c r="AO232" s="23">
        <v>0</v>
      </c>
      <c r="AP232" s="23">
        <v>0</v>
      </c>
      <c r="AQ232" s="23">
        <v>0</v>
      </c>
      <c r="AR232" s="23">
        <v>0</v>
      </c>
      <c r="AU232" s="23">
        <f t="shared" si="122"/>
        <v>4385.9649122807014</v>
      </c>
      <c r="AV232" s="23">
        <f t="shared" si="121"/>
        <v>4385.9649122807014</v>
      </c>
      <c r="AW232" s="23">
        <v>0</v>
      </c>
      <c r="AX232" s="23">
        <v>0</v>
      </c>
      <c r="AY232" s="23">
        <v>0</v>
      </c>
      <c r="AZ232" s="23">
        <v>0</v>
      </c>
    </row>
    <row r="233" spans="1:52" x14ac:dyDescent="0.25">
      <c r="A233" s="68">
        <f t="shared" si="114"/>
        <v>210</v>
      </c>
      <c r="B233" s="68" t="str">
        <f t="shared" si="115"/>
        <v>amortização</v>
      </c>
      <c r="C233" s="156">
        <f t="shared" si="116"/>
        <v>0</v>
      </c>
      <c r="D233" s="156">
        <f t="shared" si="117"/>
        <v>4385.9649122807014</v>
      </c>
      <c r="E233" s="157">
        <f t="shared" si="118"/>
        <v>131578.94736842584</v>
      </c>
      <c r="F233" s="158">
        <f t="shared" si="119"/>
        <v>4385.9649122807014</v>
      </c>
      <c r="G233" s="160">
        <f t="shared" si="120"/>
        <v>4385.9649122807014</v>
      </c>
      <c r="AA233" s="2">
        <f t="shared" si="127"/>
        <v>204</v>
      </c>
      <c r="AC233" s="9" t="str">
        <f t="shared" si="97"/>
        <v/>
      </c>
      <c r="AD233" s="9">
        <f t="shared" si="125"/>
        <v>4385.9649122807014</v>
      </c>
      <c r="AG233" s="9" t="str">
        <f t="shared" si="128"/>
        <v/>
      </c>
      <c r="AH233" s="9" t="str">
        <f t="shared" si="129"/>
        <v/>
      </c>
      <c r="AL233" s="23">
        <f t="shared" si="133"/>
        <v>0</v>
      </c>
      <c r="AM233" s="23">
        <f t="shared" si="113"/>
        <v>0</v>
      </c>
      <c r="AN233" s="23">
        <f t="shared" si="130"/>
        <v>0</v>
      </c>
      <c r="AO233" s="23">
        <f>E231*((1+$C$23)^2-1)</f>
        <v>0</v>
      </c>
      <c r="AP233" s="23">
        <f t="shared" si="131"/>
        <v>0</v>
      </c>
      <c r="AQ233" s="23">
        <f>E227*((1+$C$23)^6-1)</f>
        <v>0</v>
      </c>
      <c r="AR233" s="23">
        <v>0</v>
      </c>
      <c r="AU233" s="23">
        <f t="shared" si="122"/>
        <v>4385.9649122807014</v>
      </c>
      <c r="AV233" s="23">
        <f t="shared" si="121"/>
        <v>4385.9649122807014</v>
      </c>
      <c r="AW233" s="23">
        <f>$E$23/($B$17-$B$16)*2</f>
        <v>8771.9298245614027</v>
      </c>
      <c r="AX233" s="23">
        <f>$E$23/($B$17-$B$16)*3</f>
        <v>13157.894736842103</v>
      </c>
      <c r="AY233" s="23">
        <f>$E$23/($B$17-$B$16)*6</f>
        <v>26315.789473684206</v>
      </c>
      <c r="AZ233" s="23">
        <v>0</v>
      </c>
    </row>
    <row r="234" spans="1:52" x14ac:dyDescent="0.25">
      <c r="A234" s="68">
        <f t="shared" si="114"/>
        <v>211</v>
      </c>
      <c r="B234" s="68" t="str">
        <f t="shared" si="115"/>
        <v>amortização</v>
      </c>
      <c r="C234" s="156">
        <f t="shared" si="116"/>
        <v>0</v>
      </c>
      <c r="D234" s="156">
        <f t="shared" si="117"/>
        <v>4385.9649122807014</v>
      </c>
      <c r="E234" s="157">
        <f t="shared" si="118"/>
        <v>127192.98245614514</v>
      </c>
      <c r="F234" s="158">
        <f t="shared" si="119"/>
        <v>4385.9649122807014</v>
      </c>
      <c r="G234" s="160">
        <f t="shared" si="120"/>
        <v>4385.9649122807014</v>
      </c>
      <c r="AA234" s="2">
        <f t="shared" si="127"/>
        <v>205</v>
      </c>
      <c r="AC234" s="9" t="str">
        <f t="shared" si="97"/>
        <v/>
      </c>
      <c r="AD234" s="9">
        <f t="shared" si="125"/>
        <v>4385.9649122807014</v>
      </c>
      <c r="AG234" s="9" t="str">
        <f t="shared" si="128"/>
        <v/>
      </c>
      <c r="AH234" s="9" t="str">
        <f t="shared" si="129"/>
        <v/>
      </c>
      <c r="AL234" s="23">
        <f t="shared" si="133"/>
        <v>0</v>
      </c>
      <c r="AM234" s="23">
        <f t="shared" si="113"/>
        <v>0</v>
      </c>
      <c r="AN234" s="23">
        <f t="shared" si="130"/>
        <v>0</v>
      </c>
      <c r="AO234" s="23">
        <v>0</v>
      </c>
      <c r="AP234" s="23">
        <v>0</v>
      </c>
      <c r="AQ234" s="23">
        <v>0</v>
      </c>
      <c r="AR234" s="23">
        <v>0</v>
      </c>
      <c r="AU234" s="23">
        <f t="shared" si="122"/>
        <v>4385.9649122807014</v>
      </c>
      <c r="AV234" s="23">
        <f t="shared" si="121"/>
        <v>4385.9649122807014</v>
      </c>
      <c r="AW234" s="23">
        <v>0</v>
      </c>
      <c r="AX234" s="23">
        <v>0</v>
      </c>
      <c r="AY234" s="23">
        <v>0</v>
      </c>
      <c r="AZ234" s="23">
        <v>0</v>
      </c>
    </row>
    <row r="235" spans="1:52" x14ac:dyDescent="0.25">
      <c r="A235" s="68">
        <f t="shared" si="114"/>
        <v>212</v>
      </c>
      <c r="B235" s="68" t="str">
        <f t="shared" si="115"/>
        <v>amortização</v>
      </c>
      <c r="C235" s="156">
        <f t="shared" si="116"/>
        <v>0</v>
      </c>
      <c r="D235" s="156">
        <f t="shared" si="117"/>
        <v>4385.9649122807014</v>
      </c>
      <c r="E235" s="157">
        <f t="shared" si="118"/>
        <v>122807.01754386444</v>
      </c>
      <c r="F235" s="158">
        <f t="shared" si="119"/>
        <v>4385.9649122807014</v>
      </c>
      <c r="G235" s="160">
        <f t="shared" si="120"/>
        <v>4385.9649122807014</v>
      </c>
      <c r="AA235" s="2">
        <f t="shared" si="127"/>
        <v>206</v>
      </c>
      <c r="AC235" s="9" t="str">
        <f t="shared" ref="AC235:AC244" si="134">IF(AB235="","",E229)</f>
        <v/>
      </c>
      <c r="AD235" s="9">
        <f t="shared" si="125"/>
        <v>4385.9649122807014</v>
      </c>
      <c r="AG235" s="9" t="str">
        <f t="shared" si="128"/>
        <v/>
      </c>
      <c r="AH235" s="9" t="str">
        <f t="shared" si="129"/>
        <v/>
      </c>
      <c r="AL235" s="23">
        <f t="shared" si="133"/>
        <v>0</v>
      </c>
      <c r="AM235" s="23">
        <f t="shared" si="113"/>
        <v>0</v>
      </c>
      <c r="AN235" s="23">
        <f t="shared" si="130"/>
        <v>0</v>
      </c>
      <c r="AO235" s="23">
        <f t="shared" ref="AO235:AO243" si="135">E233*((1+$C$23)^2-1)</f>
        <v>0</v>
      </c>
      <c r="AP235" s="23">
        <v>0</v>
      </c>
      <c r="AQ235" s="23">
        <v>0</v>
      </c>
      <c r="AR235" s="23">
        <v>0</v>
      </c>
      <c r="AU235" s="23">
        <f t="shared" si="122"/>
        <v>4385.9649122807014</v>
      </c>
      <c r="AV235" s="23">
        <f t="shared" si="121"/>
        <v>4385.9649122807014</v>
      </c>
      <c r="AW235" s="23">
        <f>$E$23/($B$17-$B$16)*2</f>
        <v>8771.9298245614027</v>
      </c>
      <c r="AX235" s="23">
        <v>0</v>
      </c>
      <c r="AY235" s="23">
        <v>0</v>
      </c>
      <c r="AZ235" s="23">
        <v>0</v>
      </c>
    </row>
    <row r="236" spans="1:52" x14ac:dyDescent="0.25">
      <c r="A236" s="68">
        <f t="shared" si="114"/>
        <v>213</v>
      </c>
      <c r="B236" s="68" t="str">
        <f t="shared" si="115"/>
        <v>amortização</v>
      </c>
      <c r="C236" s="156">
        <f t="shared" si="116"/>
        <v>0</v>
      </c>
      <c r="D236" s="156">
        <f t="shared" si="117"/>
        <v>4385.9649122807014</v>
      </c>
      <c r="E236" s="157">
        <f t="shared" si="118"/>
        <v>118421.05263158373</v>
      </c>
      <c r="F236" s="158">
        <f t="shared" si="119"/>
        <v>4385.9649122807014</v>
      </c>
      <c r="G236" s="160">
        <f t="shared" si="120"/>
        <v>4385.9649122807014</v>
      </c>
      <c r="AA236" s="2">
        <f t="shared" si="127"/>
        <v>207</v>
      </c>
      <c r="AC236" s="9" t="str">
        <f t="shared" si="134"/>
        <v/>
      </c>
      <c r="AD236" s="9">
        <f t="shared" si="125"/>
        <v>4385.9649122807014</v>
      </c>
      <c r="AG236" s="9" t="str">
        <f t="shared" si="128"/>
        <v/>
      </c>
      <c r="AH236" s="9" t="str">
        <f t="shared" si="129"/>
        <v/>
      </c>
      <c r="AL236" s="23">
        <f t="shared" si="133"/>
        <v>0</v>
      </c>
      <c r="AM236" s="23">
        <f t="shared" si="113"/>
        <v>0</v>
      </c>
      <c r="AN236" s="23">
        <f t="shared" si="130"/>
        <v>0</v>
      </c>
      <c r="AO236" s="23">
        <v>0</v>
      </c>
      <c r="AP236" s="23">
        <f t="shared" si="131"/>
        <v>0</v>
      </c>
      <c r="AQ236" s="23">
        <v>0</v>
      </c>
      <c r="AR236" s="23">
        <v>0</v>
      </c>
      <c r="AU236" s="23">
        <f t="shared" si="122"/>
        <v>4385.9649122807014</v>
      </c>
      <c r="AV236" s="23">
        <f t="shared" si="121"/>
        <v>4385.9649122807014</v>
      </c>
      <c r="AW236" s="23">
        <v>0</v>
      </c>
      <c r="AX236" s="23">
        <f>$E$23/($B$17-$B$16)*3</f>
        <v>13157.894736842103</v>
      </c>
      <c r="AY236" s="23">
        <v>0</v>
      </c>
      <c r="AZ236" s="23">
        <v>0</v>
      </c>
    </row>
    <row r="237" spans="1:52" x14ac:dyDescent="0.25">
      <c r="A237" s="68">
        <f t="shared" si="114"/>
        <v>214</v>
      </c>
      <c r="B237" s="68" t="str">
        <f t="shared" si="115"/>
        <v>amortização</v>
      </c>
      <c r="C237" s="156">
        <f t="shared" si="116"/>
        <v>0</v>
      </c>
      <c r="D237" s="156">
        <f t="shared" si="117"/>
        <v>4385.9649122807014</v>
      </c>
      <c r="E237" s="157">
        <f t="shared" si="118"/>
        <v>114035.08771930303</v>
      </c>
      <c r="F237" s="158">
        <f t="shared" si="119"/>
        <v>4385.9649122807014</v>
      </c>
      <c r="G237" s="160">
        <f t="shared" si="120"/>
        <v>4385.9649122807014</v>
      </c>
      <c r="AA237" s="2">
        <f t="shared" si="127"/>
        <v>208</v>
      </c>
      <c r="AC237" s="9" t="str">
        <f t="shared" si="134"/>
        <v/>
      </c>
      <c r="AD237" s="9">
        <f t="shared" si="125"/>
        <v>4385.9649122807014</v>
      </c>
      <c r="AG237" s="9" t="str">
        <f t="shared" si="128"/>
        <v/>
      </c>
      <c r="AH237" s="9" t="str">
        <f t="shared" si="129"/>
        <v/>
      </c>
      <c r="AL237" s="23">
        <f t="shared" si="133"/>
        <v>0</v>
      </c>
      <c r="AM237" s="23">
        <f t="shared" si="113"/>
        <v>0</v>
      </c>
      <c r="AN237" s="23">
        <f t="shared" si="130"/>
        <v>0</v>
      </c>
      <c r="AO237" s="23">
        <f t="shared" si="135"/>
        <v>0</v>
      </c>
      <c r="AP237" s="23">
        <v>0</v>
      </c>
      <c r="AQ237" s="23">
        <v>0</v>
      </c>
      <c r="AR237" s="23">
        <v>0</v>
      </c>
      <c r="AU237" s="23">
        <f t="shared" si="122"/>
        <v>4385.9649122807014</v>
      </c>
      <c r="AV237" s="23">
        <f t="shared" si="121"/>
        <v>4385.9649122807014</v>
      </c>
      <c r="AW237" s="23">
        <f>$E$23/($B$17-$B$16)*2</f>
        <v>8771.9298245614027</v>
      </c>
      <c r="AX237" s="23">
        <v>0</v>
      </c>
      <c r="AY237" s="23">
        <v>0</v>
      </c>
      <c r="AZ237" s="23">
        <v>0</v>
      </c>
    </row>
    <row r="238" spans="1:52" x14ac:dyDescent="0.25">
      <c r="A238" s="68">
        <f t="shared" si="114"/>
        <v>215</v>
      </c>
      <c r="B238" s="68" t="str">
        <f t="shared" si="115"/>
        <v>amortização</v>
      </c>
      <c r="C238" s="156">
        <f t="shared" si="116"/>
        <v>0</v>
      </c>
      <c r="D238" s="156">
        <f t="shared" si="117"/>
        <v>4385.9649122807014</v>
      </c>
      <c r="E238" s="157">
        <f t="shared" si="118"/>
        <v>109649.12280702233</v>
      </c>
      <c r="F238" s="158">
        <f t="shared" si="119"/>
        <v>4385.9649122807014</v>
      </c>
      <c r="G238" s="160">
        <f t="shared" si="120"/>
        <v>4385.9649122807014</v>
      </c>
      <c r="AA238" s="2">
        <f t="shared" si="127"/>
        <v>209</v>
      </c>
      <c r="AC238" s="9" t="str">
        <f t="shared" si="134"/>
        <v/>
      </c>
      <c r="AD238" s="9">
        <f t="shared" si="125"/>
        <v>4385.9649122807014</v>
      </c>
      <c r="AG238" s="9" t="str">
        <f t="shared" si="128"/>
        <v/>
      </c>
      <c r="AH238" s="9" t="str">
        <f t="shared" si="129"/>
        <v/>
      </c>
      <c r="AL238" s="23">
        <f t="shared" si="133"/>
        <v>0</v>
      </c>
      <c r="AM238" s="23">
        <f t="shared" si="113"/>
        <v>0</v>
      </c>
      <c r="AN238" s="23">
        <f t="shared" si="130"/>
        <v>0</v>
      </c>
      <c r="AO238" s="23">
        <v>0</v>
      </c>
      <c r="AP238" s="23">
        <v>0</v>
      </c>
      <c r="AQ238" s="23">
        <v>0</v>
      </c>
      <c r="AR238" s="23">
        <v>0</v>
      </c>
      <c r="AU238" s="23">
        <f t="shared" si="122"/>
        <v>4385.9649122807014</v>
      </c>
      <c r="AV238" s="23">
        <f t="shared" si="121"/>
        <v>4385.9649122807014</v>
      </c>
      <c r="AW238" s="23">
        <v>0</v>
      </c>
      <c r="AX238" s="23">
        <v>0</v>
      </c>
      <c r="AY238" s="23">
        <v>0</v>
      </c>
      <c r="AZ238" s="23">
        <v>0</v>
      </c>
    </row>
    <row r="239" spans="1:52" x14ac:dyDescent="0.25">
      <c r="A239" s="68">
        <f t="shared" si="114"/>
        <v>216</v>
      </c>
      <c r="B239" s="68" t="str">
        <f t="shared" si="115"/>
        <v>amortização</v>
      </c>
      <c r="C239" s="156">
        <f t="shared" si="116"/>
        <v>0</v>
      </c>
      <c r="D239" s="156">
        <f t="shared" si="117"/>
        <v>4385.9649122807014</v>
      </c>
      <c r="E239" s="157">
        <f t="shared" si="118"/>
        <v>105263.15789474163</v>
      </c>
      <c r="F239" s="158">
        <f t="shared" si="119"/>
        <v>4385.9649122807014</v>
      </c>
      <c r="G239" s="160">
        <f t="shared" si="120"/>
        <v>4385.9649122807014</v>
      </c>
      <c r="AA239" s="2">
        <f t="shared" si="127"/>
        <v>210</v>
      </c>
      <c r="AC239" s="9" t="str">
        <f t="shared" si="134"/>
        <v/>
      </c>
      <c r="AD239" s="9">
        <f t="shared" si="125"/>
        <v>4385.9649122807014</v>
      </c>
      <c r="AG239" s="9" t="str">
        <f t="shared" si="128"/>
        <v/>
      </c>
      <c r="AH239" s="9" t="str">
        <f t="shared" si="129"/>
        <v/>
      </c>
      <c r="AL239" s="23">
        <f t="shared" si="133"/>
        <v>0</v>
      </c>
      <c r="AM239" s="23">
        <f t="shared" si="113"/>
        <v>0</v>
      </c>
      <c r="AN239" s="23">
        <f t="shared" si="130"/>
        <v>0</v>
      </c>
      <c r="AO239" s="23">
        <f t="shared" si="135"/>
        <v>0</v>
      </c>
      <c r="AP239" s="23">
        <f t="shared" si="131"/>
        <v>0</v>
      </c>
      <c r="AQ239" s="23">
        <f t="shared" ref="AQ239" si="136">E233*((1+$C$23)^6-1)</f>
        <v>0</v>
      </c>
      <c r="AR239" s="23">
        <f>E227*((1+$C$23)^12-1)</f>
        <v>0</v>
      </c>
      <c r="AU239" s="23">
        <f t="shared" si="122"/>
        <v>4385.9649122807014</v>
      </c>
      <c r="AV239" s="23">
        <f t="shared" si="121"/>
        <v>4385.9649122807014</v>
      </c>
      <c r="AW239" s="23">
        <f>$E$23/($B$17-$B$16)*2</f>
        <v>8771.9298245614027</v>
      </c>
      <c r="AX239" s="23">
        <f>$E$23/($B$17-$B$16)*3</f>
        <v>13157.894736842103</v>
      </c>
      <c r="AY239" s="23">
        <f>$E$23/($B$17-$B$16)*6</f>
        <v>26315.789473684206</v>
      </c>
      <c r="AZ239" s="23">
        <f>$E$23/($B$17-$B$16)*12</f>
        <v>52631.578947368413</v>
      </c>
    </row>
    <row r="240" spans="1:52" x14ac:dyDescent="0.25">
      <c r="A240" s="68">
        <f t="shared" si="114"/>
        <v>217</v>
      </c>
      <c r="B240" s="68" t="str">
        <f t="shared" si="115"/>
        <v>amortização</v>
      </c>
      <c r="C240" s="156">
        <f t="shared" si="116"/>
        <v>0</v>
      </c>
      <c r="D240" s="156">
        <f t="shared" si="117"/>
        <v>4385.9649122807014</v>
      </c>
      <c r="E240" s="157">
        <f t="shared" si="118"/>
        <v>100877.19298246093</v>
      </c>
      <c r="F240" s="158">
        <f t="shared" si="119"/>
        <v>4385.9649122807014</v>
      </c>
      <c r="G240" s="160">
        <f t="shared" si="120"/>
        <v>4385.9649122807014</v>
      </c>
      <c r="AA240" s="2">
        <f t="shared" si="127"/>
        <v>211</v>
      </c>
      <c r="AC240" s="9" t="str">
        <f t="shared" si="134"/>
        <v/>
      </c>
      <c r="AD240" s="9">
        <f t="shared" si="125"/>
        <v>4385.9649122807014</v>
      </c>
      <c r="AG240" s="9" t="str">
        <f t="shared" si="128"/>
        <v/>
      </c>
      <c r="AH240" s="9" t="str">
        <f t="shared" si="129"/>
        <v/>
      </c>
      <c r="AL240" s="23">
        <f t="shared" si="133"/>
        <v>0</v>
      </c>
      <c r="AM240" s="23">
        <f>IF($AN$17=1,AN240,IF($AN$17=2,AO240,IF($AN$17=3,AP240,IF($AN$17=4,AQ240,IF($AN$17=5,AR240)))))</f>
        <v>0</v>
      </c>
      <c r="AN240" s="23">
        <f t="shared" si="130"/>
        <v>0</v>
      </c>
      <c r="AO240" s="23">
        <v>0</v>
      </c>
      <c r="AP240" s="23">
        <v>0</v>
      </c>
      <c r="AQ240" s="23">
        <v>0</v>
      </c>
      <c r="AR240" s="23">
        <v>0</v>
      </c>
      <c r="AU240" s="23">
        <f t="shared" si="122"/>
        <v>4385.9649122807014</v>
      </c>
      <c r="AV240" s="23">
        <f t="shared" si="121"/>
        <v>4385.9649122807014</v>
      </c>
      <c r="AW240" s="23">
        <v>0</v>
      </c>
      <c r="AX240" s="23">
        <v>0</v>
      </c>
      <c r="AY240" s="23">
        <v>0</v>
      </c>
      <c r="AZ240" s="23">
        <v>0</v>
      </c>
    </row>
    <row r="241" spans="1:52" x14ac:dyDescent="0.25">
      <c r="A241" s="68">
        <f t="shared" si="114"/>
        <v>218</v>
      </c>
      <c r="B241" s="68" t="str">
        <f t="shared" si="115"/>
        <v>amortização</v>
      </c>
      <c r="C241" s="156">
        <f t="shared" si="116"/>
        <v>0</v>
      </c>
      <c r="D241" s="156">
        <f t="shared" si="117"/>
        <v>4385.9649122807014</v>
      </c>
      <c r="E241" s="157">
        <f t="shared" si="118"/>
        <v>96491.228070180223</v>
      </c>
      <c r="F241" s="158">
        <f t="shared" si="119"/>
        <v>4385.9649122807014</v>
      </c>
      <c r="G241" s="160">
        <f t="shared" si="120"/>
        <v>4385.9649122807014</v>
      </c>
      <c r="AA241" s="2">
        <f t="shared" si="127"/>
        <v>212</v>
      </c>
      <c r="AC241" s="9" t="str">
        <f t="shared" si="134"/>
        <v/>
      </c>
      <c r="AD241" s="9">
        <f t="shared" si="125"/>
        <v>4385.9649122807014</v>
      </c>
      <c r="AG241" s="9" t="str">
        <f t="shared" si="128"/>
        <v/>
      </c>
      <c r="AH241" s="9" t="str">
        <f t="shared" si="129"/>
        <v/>
      </c>
      <c r="AL241" s="23">
        <f t="shared" si="133"/>
        <v>0</v>
      </c>
      <c r="AM241" s="23">
        <f t="shared" ref="AM241:AM266" si="137">IF($AN$17=1,AN241,IF($AN$17=2,AO241,IF($AN$17=3,AP241,IF($AN$17=4,AQ241,IF($AN$17=5,AR241)))))</f>
        <v>0</v>
      </c>
      <c r="AN241" s="23">
        <f t="shared" si="130"/>
        <v>0</v>
      </c>
      <c r="AO241" s="23">
        <f t="shared" si="135"/>
        <v>0</v>
      </c>
      <c r="AP241" s="23">
        <v>0</v>
      </c>
      <c r="AQ241" s="23">
        <v>0</v>
      </c>
      <c r="AR241" s="23">
        <v>0</v>
      </c>
      <c r="AU241" s="23">
        <f t="shared" si="122"/>
        <v>4385.9649122807014</v>
      </c>
      <c r="AV241" s="23">
        <f t="shared" si="121"/>
        <v>4385.9649122807014</v>
      </c>
      <c r="AW241" s="23">
        <f>$E$23/($B$17-$B$16)*2</f>
        <v>8771.9298245614027</v>
      </c>
      <c r="AX241" s="23">
        <v>0</v>
      </c>
      <c r="AY241" s="23">
        <v>0</v>
      </c>
      <c r="AZ241" s="23">
        <v>0</v>
      </c>
    </row>
    <row r="242" spans="1:52" x14ac:dyDescent="0.25">
      <c r="A242" s="68">
        <f t="shared" si="114"/>
        <v>219</v>
      </c>
      <c r="B242" s="68" t="str">
        <f t="shared" si="115"/>
        <v>amortização</v>
      </c>
      <c r="C242" s="156">
        <f t="shared" si="116"/>
        <v>0</v>
      </c>
      <c r="D242" s="156">
        <f t="shared" si="117"/>
        <v>4385.9649122807014</v>
      </c>
      <c r="E242" s="157">
        <f t="shared" si="118"/>
        <v>92105.263157899521</v>
      </c>
      <c r="F242" s="158">
        <f t="shared" si="119"/>
        <v>4385.9649122807014</v>
      </c>
      <c r="G242" s="160">
        <f t="shared" si="120"/>
        <v>4385.9649122807014</v>
      </c>
      <c r="AA242" s="2">
        <f t="shared" si="127"/>
        <v>213</v>
      </c>
      <c r="AC242" s="9" t="str">
        <f t="shared" si="134"/>
        <v/>
      </c>
      <c r="AD242" s="9">
        <f t="shared" si="125"/>
        <v>4385.9649122807014</v>
      </c>
      <c r="AG242" s="9" t="str">
        <f t="shared" si="128"/>
        <v/>
      </c>
      <c r="AH242" s="9" t="str">
        <f t="shared" si="129"/>
        <v/>
      </c>
      <c r="AL242" s="23">
        <f t="shared" si="133"/>
        <v>0</v>
      </c>
      <c r="AM242" s="23">
        <f t="shared" si="137"/>
        <v>0</v>
      </c>
      <c r="AN242" s="23">
        <f t="shared" si="130"/>
        <v>0</v>
      </c>
      <c r="AO242" s="23">
        <v>0</v>
      </c>
      <c r="AP242" s="23">
        <f>E239*((1+$C$23)^3-1)</f>
        <v>0</v>
      </c>
      <c r="AQ242" s="23">
        <v>0</v>
      </c>
      <c r="AR242" s="23">
        <v>0</v>
      </c>
      <c r="AU242" s="23">
        <f t="shared" si="122"/>
        <v>4385.9649122807014</v>
      </c>
      <c r="AV242" s="23">
        <f t="shared" si="121"/>
        <v>4385.9649122807014</v>
      </c>
      <c r="AW242" s="23">
        <v>0</v>
      </c>
      <c r="AX242" s="23">
        <f>$E$23/($B$17-$B$16)*3</f>
        <v>13157.894736842103</v>
      </c>
      <c r="AY242" s="23">
        <v>0</v>
      </c>
      <c r="AZ242" s="23">
        <v>0</v>
      </c>
    </row>
    <row r="243" spans="1:52" x14ac:dyDescent="0.25">
      <c r="A243" s="68">
        <f t="shared" si="114"/>
        <v>220</v>
      </c>
      <c r="B243" s="68" t="str">
        <f t="shared" si="115"/>
        <v>amortização</v>
      </c>
      <c r="C243" s="156">
        <f t="shared" si="116"/>
        <v>0</v>
      </c>
      <c r="D243" s="156">
        <f t="shared" si="117"/>
        <v>4385.9649122807014</v>
      </c>
      <c r="E243" s="157">
        <f t="shared" si="118"/>
        <v>87719.298245618818</v>
      </c>
      <c r="F243" s="158">
        <f t="shared" si="119"/>
        <v>4385.9649122807014</v>
      </c>
      <c r="G243" s="160">
        <f t="shared" si="120"/>
        <v>4385.9649122807014</v>
      </c>
      <c r="AA243" s="2">
        <f t="shared" si="127"/>
        <v>214</v>
      </c>
      <c r="AC243" s="9" t="str">
        <f t="shared" si="134"/>
        <v/>
      </c>
      <c r="AD243" s="9">
        <f t="shared" si="125"/>
        <v>4385.9649122807014</v>
      </c>
      <c r="AG243" s="9" t="str">
        <f t="shared" si="128"/>
        <v/>
      </c>
      <c r="AH243" s="9" t="str">
        <f t="shared" si="129"/>
        <v/>
      </c>
      <c r="AL243" s="23">
        <f t="shared" si="133"/>
        <v>0</v>
      </c>
      <c r="AM243" s="23">
        <f t="shared" si="137"/>
        <v>0</v>
      </c>
      <c r="AN243" s="23">
        <f t="shared" si="130"/>
        <v>0</v>
      </c>
      <c r="AO243" s="23">
        <f t="shared" si="135"/>
        <v>0</v>
      </c>
      <c r="AP243" s="23">
        <v>0</v>
      </c>
      <c r="AQ243" s="23">
        <v>0</v>
      </c>
      <c r="AR243" s="23">
        <v>0</v>
      </c>
      <c r="AU243" s="23">
        <f t="shared" si="122"/>
        <v>4385.9649122807014</v>
      </c>
      <c r="AV243" s="23">
        <f t="shared" si="121"/>
        <v>4385.9649122807014</v>
      </c>
      <c r="AW243" s="23">
        <f>$E$23/($B$17-$B$16)*2</f>
        <v>8771.9298245614027</v>
      </c>
      <c r="AX243" s="23">
        <v>0</v>
      </c>
      <c r="AY243" s="23">
        <v>0</v>
      </c>
      <c r="AZ243" s="23">
        <v>0</v>
      </c>
    </row>
    <row r="244" spans="1:52" x14ac:dyDescent="0.25">
      <c r="A244" s="68">
        <f t="shared" si="114"/>
        <v>221</v>
      </c>
      <c r="B244" s="68" t="str">
        <f t="shared" si="115"/>
        <v>amortização</v>
      </c>
      <c r="C244" s="156">
        <f t="shared" si="116"/>
        <v>0</v>
      </c>
      <c r="D244" s="156">
        <f t="shared" si="117"/>
        <v>4385.9649122807014</v>
      </c>
      <c r="E244" s="157">
        <f t="shared" si="118"/>
        <v>83333.333333338116</v>
      </c>
      <c r="F244" s="158">
        <f t="shared" si="119"/>
        <v>4385.9649122807014</v>
      </c>
      <c r="G244" s="160">
        <f t="shared" si="120"/>
        <v>4385.9649122807014</v>
      </c>
      <c r="AA244" s="2">
        <f t="shared" si="127"/>
        <v>215</v>
      </c>
      <c r="AC244" s="9" t="str">
        <f t="shared" si="134"/>
        <v/>
      </c>
      <c r="AD244" s="9">
        <f t="shared" si="125"/>
        <v>4385.9649122807014</v>
      </c>
      <c r="AG244" s="9" t="str">
        <f t="shared" si="128"/>
        <v/>
      </c>
      <c r="AH244" s="9" t="str">
        <f t="shared" si="129"/>
        <v/>
      </c>
      <c r="AL244" s="23">
        <f t="shared" si="133"/>
        <v>0</v>
      </c>
      <c r="AM244" s="23">
        <f t="shared" si="137"/>
        <v>0</v>
      </c>
      <c r="AN244" s="23">
        <f t="shared" si="130"/>
        <v>0</v>
      </c>
      <c r="AO244" s="23">
        <v>0</v>
      </c>
      <c r="AP244" s="23">
        <v>0</v>
      </c>
      <c r="AQ244" s="23">
        <v>0</v>
      </c>
      <c r="AR244" s="23">
        <v>0</v>
      </c>
      <c r="AU244" s="23">
        <f t="shared" si="122"/>
        <v>4385.9649122807014</v>
      </c>
      <c r="AV244" s="23">
        <f t="shared" si="121"/>
        <v>4385.9649122807014</v>
      </c>
      <c r="AW244" s="23">
        <v>0</v>
      </c>
      <c r="AX244" s="23">
        <v>0</v>
      </c>
      <c r="AY244" s="23">
        <v>0</v>
      </c>
      <c r="AZ244" s="23">
        <v>0</v>
      </c>
    </row>
    <row r="245" spans="1:52" x14ac:dyDescent="0.25">
      <c r="A245" s="68">
        <f t="shared" si="114"/>
        <v>222</v>
      </c>
      <c r="B245" s="68" t="str">
        <f t="shared" si="115"/>
        <v>amortização</v>
      </c>
      <c r="C245" s="156">
        <f t="shared" si="116"/>
        <v>0</v>
      </c>
      <c r="D245" s="156">
        <f t="shared" si="117"/>
        <v>4385.9649122807014</v>
      </c>
      <c r="E245" s="157">
        <f t="shared" si="118"/>
        <v>78947.368421057414</v>
      </c>
      <c r="F245" s="158">
        <f t="shared" si="119"/>
        <v>4385.9649122807014</v>
      </c>
      <c r="G245" s="160">
        <f t="shared" si="120"/>
        <v>4385.9649122807014</v>
      </c>
      <c r="AA245" s="2">
        <f t="shared" si="127"/>
        <v>216</v>
      </c>
      <c r="AD245" s="9">
        <f t="shared" si="125"/>
        <v>4385.9649122807014</v>
      </c>
      <c r="AG245" s="9" t="str">
        <f t="shared" si="128"/>
        <v/>
      </c>
      <c r="AH245" s="9" t="str">
        <f t="shared" si="129"/>
        <v/>
      </c>
      <c r="AL245" s="23">
        <f t="shared" si="133"/>
        <v>0</v>
      </c>
      <c r="AM245" s="23">
        <f t="shared" si="137"/>
        <v>0</v>
      </c>
      <c r="AN245" s="23">
        <f t="shared" si="130"/>
        <v>0</v>
      </c>
      <c r="AO245" s="23">
        <f t="shared" ref="AO245:AO257" si="138">E243*((1+$C$23)^2-1)</f>
        <v>0</v>
      </c>
      <c r="AP245" s="23">
        <f t="shared" ref="AP245:AP251" si="139">E242*((1+$C$23)^3-1)</f>
        <v>0</v>
      </c>
      <c r="AQ245" s="23">
        <f t="shared" ref="AQ245" si="140">E239*((1+$C$23)^6-1)</f>
        <v>0</v>
      </c>
      <c r="AR245" s="23">
        <v>0</v>
      </c>
      <c r="AU245" s="23">
        <f t="shared" si="122"/>
        <v>4385.9649122807014</v>
      </c>
      <c r="AV245" s="23">
        <f t="shared" si="121"/>
        <v>4385.9649122807014</v>
      </c>
      <c r="AW245" s="23">
        <f>$E$23/($B$17-$B$16)*2</f>
        <v>8771.9298245614027</v>
      </c>
      <c r="AX245" s="23">
        <f>$E$23/($B$17-$B$16)*3</f>
        <v>13157.894736842103</v>
      </c>
      <c r="AY245" s="23">
        <f>$E$23/($B$17-$B$16)*6</f>
        <v>26315.789473684206</v>
      </c>
      <c r="AZ245" s="23">
        <v>0</v>
      </c>
    </row>
    <row r="246" spans="1:52" x14ac:dyDescent="0.25">
      <c r="A246" s="68">
        <f t="shared" si="114"/>
        <v>223</v>
      </c>
      <c r="B246" s="68" t="str">
        <f t="shared" si="115"/>
        <v>amortização</v>
      </c>
      <c r="C246" s="156">
        <f t="shared" si="116"/>
        <v>0</v>
      </c>
      <c r="D246" s="156">
        <f t="shared" si="117"/>
        <v>4385.9649122807014</v>
      </c>
      <c r="E246" s="157">
        <f t="shared" si="118"/>
        <v>74561.403508776712</v>
      </c>
      <c r="F246" s="158">
        <f t="shared" si="119"/>
        <v>4385.9649122807014</v>
      </c>
      <c r="G246" s="160">
        <f t="shared" si="120"/>
        <v>4385.9649122807014</v>
      </c>
      <c r="AD246" s="9" t="str">
        <f t="shared" si="125"/>
        <v/>
      </c>
      <c r="AG246" s="9" t="str">
        <f t="shared" si="128"/>
        <v/>
      </c>
      <c r="AH246" s="9" t="str">
        <f t="shared" si="129"/>
        <v/>
      </c>
      <c r="AL246" s="23">
        <f t="shared" si="133"/>
        <v>0</v>
      </c>
      <c r="AM246" s="23">
        <f t="shared" si="137"/>
        <v>0</v>
      </c>
      <c r="AN246" s="23">
        <f t="shared" si="130"/>
        <v>0</v>
      </c>
      <c r="AO246" s="23">
        <v>0</v>
      </c>
      <c r="AP246" s="23">
        <v>0</v>
      </c>
      <c r="AQ246" s="23">
        <v>0</v>
      </c>
      <c r="AR246" s="23">
        <v>0</v>
      </c>
      <c r="AU246" s="23">
        <f t="shared" si="122"/>
        <v>4385.9649122807014</v>
      </c>
      <c r="AV246" s="23">
        <f t="shared" si="121"/>
        <v>4385.9649122807014</v>
      </c>
      <c r="AW246" s="23">
        <v>0</v>
      </c>
      <c r="AX246" s="23">
        <v>0</v>
      </c>
      <c r="AY246" s="23">
        <v>0</v>
      </c>
      <c r="AZ246" s="23">
        <v>0</v>
      </c>
    </row>
    <row r="247" spans="1:52" x14ac:dyDescent="0.25">
      <c r="A247" s="68">
        <f t="shared" si="114"/>
        <v>224</v>
      </c>
      <c r="B247" s="68" t="str">
        <f t="shared" si="115"/>
        <v>amortização</v>
      </c>
      <c r="C247" s="156">
        <f t="shared" si="116"/>
        <v>0</v>
      </c>
      <c r="D247" s="156">
        <f t="shared" si="117"/>
        <v>4385.9649122807014</v>
      </c>
      <c r="E247" s="157">
        <f t="shared" si="118"/>
        <v>70175.438596496009</v>
      </c>
      <c r="F247" s="158">
        <f t="shared" si="119"/>
        <v>4385.9649122807014</v>
      </c>
      <c r="G247" s="160">
        <f t="shared" si="120"/>
        <v>4385.9649122807014</v>
      </c>
      <c r="AD247" s="9" t="str">
        <f t="shared" si="125"/>
        <v/>
      </c>
      <c r="AG247" s="9" t="str">
        <f t="shared" si="128"/>
        <v/>
      </c>
      <c r="AH247" s="9" t="str">
        <f t="shared" si="129"/>
        <v/>
      </c>
      <c r="AL247" s="23">
        <f t="shared" si="133"/>
        <v>0</v>
      </c>
      <c r="AM247" s="23">
        <f t="shared" si="137"/>
        <v>0</v>
      </c>
      <c r="AN247" s="23">
        <f t="shared" si="130"/>
        <v>0</v>
      </c>
      <c r="AO247" s="23">
        <f t="shared" si="138"/>
        <v>0</v>
      </c>
      <c r="AP247" s="23">
        <v>0</v>
      </c>
      <c r="AQ247" s="23">
        <v>0</v>
      </c>
      <c r="AR247" s="23">
        <v>0</v>
      </c>
      <c r="AU247" s="23">
        <f t="shared" si="122"/>
        <v>4385.9649122807014</v>
      </c>
      <c r="AV247" s="23">
        <f t="shared" si="121"/>
        <v>4385.9649122807014</v>
      </c>
      <c r="AW247" s="23">
        <f>$E$23/($B$17-$B$16)*2</f>
        <v>8771.9298245614027</v>
      </c>
      <c r="AX247" s="23">
        <v>0</v>
      </c>
      <c r="AY247" s="23">
        <v>0</v>
      </c>
      <c r="AZ247" s="23">
        <v>0</v>
      </c>
    </row>
    <row r="248" spans="1:52" x14ac:dyDescent="0.25">
      <c r="A248" s="68">
        <f t="shared" si="114"/>
        <v>225</v>
      </c>
      <c r="B248" s="68" t="str">
        <f t="shared" si="115"/>
        <v>amortização</v>
      </c>
      <c r="C248" s="156">
        <f t="shared" si="116"/>
        <v>0</v>
      </c>
      <c r="D248" s="156">
        <f t="shared" si="117"/>
        <v>4385.9649122807014</v>
      </c>
      <c r="E248" s="157">
        <f t="shared" si="118"/>
        <v>65789.473684215307</v>
      </c>
      <c r="F248" s="158">
        <f t="shared" si="119"/>
        <v>4385.9649122807014</v>
      </c>
      <c r="G248" s="160">
        <f t="shared" si="120"/>
        <v>4385.9649122807014</v>
      </c>
      <c r="AD248" s="9" t="str">
        <f t="shared" si="125"/>
        <v/>
      </c>
      <c r="AG248" s="9" t="str">
        <f t="shared" si="128"/>
        <v/>
      </c>
      <c r="AH248" s="9" t="str">
        <f t="shared" si="129"/>
        <v/>
      </c>
      <c r="AL248" s="23">
        <f t="shared" si="133"/>
        <v>0</v>
      </c>
      <c r="AM248" s="23">
        <f t="shared" si="137"/>
        <v>0</v>
      </c>
      <c r="AN248" s="23">
        <f t="shared" si="130"/>
        <v>0</v>
      </c>
      <c r="AO248" s="23">
        <v>0</v>
      </c>
      <c r="AP248" s="23">
        <f t="shared" si="139"/>
        <v>0</v>
      </c>
      <c r="AQ248" s="23">
        <v>0</v>
      </c>
      <c r="AR248" s="23">
        <v>0</v>
      </c>
      <c r="AU248" s="23">
        <f t="shared" si="122"/>
        <v>4385.9649122807014</v>
      </c>
      <c r="AV248" s="23">
        <f t="shared" si="121"/>
        <v>4385.9649122807014</v>
      </c>
      <c r="AW248" s="23">
        <v>0</v>
      </c>
      <c r="AX248" s="23">
        <f>$E$23/($B$17-$B$16)*3</f>
        <v>13157.894736842103</v>
      </c>
      <c r="AY248" s="23">
        <v>0</v>
      </c>
      <c r="AZ248" s="23">
        <v>0</v>
      </c>
    </row>
    <row r="249" spans="1:52" x14ac:dyDescent="0.25">
      <c r="A249" s="68">
        <f t="shared" si="114"/>
        <v>226</v>
      </c>
      <c r="B249" s="68" t="str">
        <f t="shared" si="115"/>
        <v>amortização</v>
      </c>
      <c r="C249" s="156">
        <f t="shared" si="116"/>
        <v>0</v>
      </c>
      <c r="D249" s="156">
        <f t="shared" si="117"/>
        <v>4385.9649122807014</v>
      </c>
      <c r="E249" s="157">
        <f t="shared" si="118"/>
        <v>61403.508771934605</v>
      </c>
      <c r="F249" s="158">
        <f t="shared" si="119"/>
        <v>4385.9649122807014</v>
      </c>
      <c r="G249" s="160">
        <f t="shared" si="120"/>
        <v>4385.9649122807014</v>
      </c>
      <c r="AD249" s="9" t="str">
        <f t="shared" si="125"/>
        <v/>
      </c>
      <c r="AG249" s="9" t="str">
        <f t="shared" si="128"/>
        <v/>
      </c>
      <c r="AH249" s="9" t="str">
        <f t="shared" si="129"/>
        <v/>
      </c>
      <c r="AL249" s="23">
        <f t="shared" si="133"/>
        <v>0</v>
      </c>
      <c r="AM249" s="23">
        <f t="shared" si="137"/>
        <v>0</v>
      </c>
      <c r="AN249" s="23">
        <f>E248*$C$23</f>
        <v>0</v>
      </c>
      <c r="AO249" s="23">
        <f t="shared" si="138"/>
        <v>0</v>
      </c>
      <c r="AP249" s="23">
        <v>0</v>
      </c>
      <c r="AQ249" s="23">
        <v>0</v>
      </c>
      <c r="AR249" s="23">
        <v>0</v>
      </c>
      <c r="AU249" s="23">
        <f t="shared" si="122"/>
        <v>4385.9649122807014</v>
      </c>
      <c r="AV249" s="23">
        <f t="shared" si="121"/>
        <v>4385.9649122807014</v>
      </c>
      <c r="AW249" s="23">
        <f>$E$23/($B$17-$B$16)*2</f>
        <v>8771.9298245614027</v>
      </c>
      <c r="AX249" s="23">
        <v>0</v>
      </c>
      <c r="AY249" s="23">
        <v>0</v>
      </c>
      <c r="AZ249" s="23">
        <v>0</v>
      </c>
    </row>
    <row r="250" spans="1:52" x14ac:dyDescent="0.25">
      <c r="A250" s="68">
        <f t="shared" si="114"/>
        <v>227</v>
      </c>
      <c r="B250" s="68" t="str">
        <f t="shared" si="115"/>
        <v>amortização</v>
      </c>
      <c r="C250" s="156">
        <f t="shared" si="116"/>
        <v>0</v>
      </c>
      <c r="D250" s="156">
        <f t="shared" si="117"/>
        <v>4385.9649122807014</v>
      </c>
      <c r="E250" s="157">
        <f t="shared" si="118"/>
        <v>57017.543859653902</v>
      </c>
      <c r="F250" s="158">
        <f t="shared" si="119"/>
        <v>4385.9649122807014</v>
      </c>
      <c r="G250" s="160">
        <f t="shared" si="120"/>
        <v>4385.9649122807014</v>
      </c>
      <c r="AD250" s="9" t="str">
        <f t="shared" si="125"/>
        <v/>
      </c>
      <c r="AG250" s="9" t="str">
        <f t="shared" si="128"/>
        <v/>
      </c>
      <c r="AH250" s="9" t="str">
        <f t="shared" si="129"/>
        <v/>
      </c>
      <c r="AL250" s="23">
        <f t="shared" si="133"/>
        <v>0</v>
      </c>
      <c r="AM250" s="23">
        <f t="shared" si="137"/>
        <v>0</v>
      </c>
      <c r="AN250" s="23">
        <f t="shared" ref="AN250:AN273" si="141">E249*$C$23</f>
        <v>0</v>
      </c>
      <c r="AO250" s="23">
        <v>0</v>
      </c>
      <c r="AP250" s="23">
        <v>0</v>
      </c>
      <c r="AQ250" s="23">
        <v>0</v>
      </c>
      <c r="AR250" s="23">
        <v>0</v>
      </c>
      <c r="AU250" s="23">
        <f t="shared" si="122"/>
        <v>4385.9649122807014</v>
      </c>
      <c r="AV250" s="23">
        <f t="shared" si="121"/>
        <v>4385.9649122807014</v>
      </c>
      <c r="AW250" s="23">
        <v>0</v>
      </c>
      <c r="AX250" s="23">
        <v>0</v>
      </c>
      <c r="AY250" s="23">
        <v>0</v>
      </c>
      <c r="AZ250" s="23">
        <v>0</v>
      </c>
    </row>
    <row r="251" spans="1:52" x14ac:dyDescent="0.25">
      <c r="A251" s="68">
        <f t="shared" si="114"/>
        <v>228</v>
      </c>
      <c r="B251" s="68" t="str">
        <f t="shared" si="115"/>
        <v>amortização</v>
      </c>
      <c r="C251" s="156">
        <f t="shared" si="116"/>
        <v>0</v>
      </c>
      <c r="D251" s="156">
        <f t="shared" si="117"/>
        <v>4385.9649122807014</v>
      </c>
      <c r="E251" s="157">
        <f t="shared" si="118"/>
        <v>52631.5789473732</v>
      </c>
      <c r="F251" s="158">
        <f t="shared" si="119"/>
        <v>4385.9649122807014</v>
      </c>
      <c r="G251" s="160">
        <f t="shared" si="120"/>
        <v>4385.9649122807014</v>
      </c>
      <c r="AD251" s="9" t="str">
        <f t="shared" si="125"/>
        <v/>
      </c>
      <c r="AG251" s="9" t="str">
        <f t="shared" si="128"/>
        <v/>
      </c>
      <c r="AH251" s="9" t="str">
        <f t="shared" si="129"/>
        <v/>
      </c>
      <c r="AL251" s="23">
        <f t="shared" si="133"/>
        <v>0</v>
      </c>
      <c r="AM251" s="23">
        <f t="shared" si="137"/>
        <v>0</v>
      </c>
      <c r="AN251" s="23">
        <f t="shared" si="141"/>
        <v>0</v>
      </c>
      <c r="AO251" s="23">
        <f t="shared" si="138"/>
        <v>0</v>
      </c>
      <c r="AP251" s="23">
        <f t="shared" si="139"/>
        <v>0</v>
      </c>
      <c r="AQ251" s="23">
        <f>E245*((1+$C$23)^6-1)</f>
        <v>0</v>
      </c>
      <c r="AR251" s="23">
        <f>E239*((1+$C$23)^12-1)</f>
        <v>0</v>
      </c>
      <c r="AU251" s="23">
        <f t="shared" si="122"/>
        <v>4385.9649122807014</v>
      </c>
      <c r="AV251" s="23">
        <f t="shared" si="121"/>
        <v>4385.9649122807014</v>
      </c>
      <c r="AW251" s="23">
        <f>$E$23/($B$17-$B$16)*2</f>
        <v>8771.9298245614027</v>
      </c>
      <c r="AX251" s="23">
        <f>$E$23/($B$17-$B$16)*3</f>
        <v>13157.894736842103</v>
      </c>
      <c r="AY251" s="23">
        <f>$E$23/($B$17-$B$16)*6</f>
        <v>26315.789473684206</v>
      </c>
      <c r="AZ251" s="23">
        <f>$E$23/($B$17-$B$16)*12</f>
        <v>52631.578947368413</v>
      </c>
    </row>
    <row r="252" spans="1:52" x14ac:dyDescent="0.25">
      <c r="A252" s="68">
        <f t="shared" si="114"/>
        <v>229</v>
      </c>
      <c r="B252" s="68" t="str">
        <f t="shared" si="115"/>
        <v>amortização</v>
      </c>
      <c r="C252" s="156">
        <f t="shared" si="116"/>
        <v>0</v>
      </c>
      <c r="D252" s="156">
        <f t="shared" si="117"/>
        <v>4385.9649122807014</v>
      </c>
      <c r="E252" s="157">
        <f t="shared" si="118"/>
        <v>48245.614035092498</v>
      </c>
      <c r="F252" s="158">
        <f t="shared" si="119"/>
        <v>4385.9649122807014</v>
      </c>
      <c r="G252" s="160">
        <f t="shared" si="120"/>
        <v>4385.9649122807014</v>
      </c>
      <c r="AD252" s="9" t="str">
        <f t="shared" si="125"/>
        <v/>
      </c>
      <c r="AG252" s="9" t="str">
        <f t="shared" si="128"/>
        <v/>
      </c>
      <c r="AH252" s="9" t="str">
        <f t="shared" si="129"/>
        <v/>
      </c>
      <c r="AL252" s="23">
        <f t="shared" si="133"/>
        <v>0</v>
      </c>
      <c r="AM252" s="23">
        <f t="shared" si="137"/>
        <v>0</v>
      </c>
      <c r="AN252" s="23">
        <f t="shared" si="141"/>
        <v>0</v>
      </c>
      <c r="AO252" s="23">
        <v>0</v>
      </c>
      <c r="AP252" s="23">
        <v>0</v>
      </c>
      <c r="AQ252" s="23">
        <v>0</v>
      </c>
      <c r="AR252" s="23">
        <v>0</v>
      </c>
      <c r="AU252" s="23">
        <f t="shared" si="122"/>
        <v>4385.9649122807014</v>
      </c>
      <c r="AV252" s="23">
        <f t="shared" si="121"/>
        <v>4385.9649122807014</v>
      </c>
      <c r="AW252" s="23">
        <v>0</v>
      </c>
      <c r="AX252" s="23">
        <v>0</v>
      </c>
      <c r="AY252" s="23">
        <v>0</v>
      </c>
      <c r="AZ252" s="23">
        <v>0</v>
      </c>
    </row>
    <row r="253" spans="1:52" x14ac:dyDescent="0.25">
      <c r="A253" s="68">
        <f t="shared" si="114"/>
        <v>230</v>
      </c>
      <c r="B253" s="68" t="str">
        <f t="shared" si="115"/>
        <v>amortização</v>
      </c>
      <c r="C253" s="156">
        <f t="shared" si="116"/>
        <v>0</v>
      </c>
      <c r="D253" s="156">
        <f t="shared" si="117"/>
        <v>4385.9649122807014</v>
      </c>
      <c r="E253" s="157">
        <f t="shared" si="118"/>
        <v>43859.649122811796</v>
      </c>
      <c r="F253" s="158">
        <f t="shared" si="119"/>
        <v>4385.9649122807014</v>
      </c>
      <c r="G253" s="160">
        <f t="shared" si="120"/>
        <v>4385.9649122807014</v>
      </c>
      <c r="AD253" s="9" t="str">
        <f t="shared" si="125"/>
        <v/>
      </c>
      <c r="AG253" s="9" t="str">
        <f t="shared" si="128"/>
        <v/>
      </c>
      <c r="AH253" s="9" t="str">
        <f t="shared" si="129"/>
        <v/>
      </c>
      <c r="AL253" s="23">
        <f t="shared" si="133"/>
        <v>0</v>
      </c>
      <c r="AM253" s="23">
        <f t="shared" si="137"/>
        <v>0</v>
      </c>
      <c r="AN253" s="23">
        <f t="shared" si="141"/>
        <v>0</v>
      </c>
      <c r="AO253" s="23">
        <f t="shared" si="138"/>
        <v>0</v>
      </c>
      <c r="AP253" s="23">
        <v>0</v>
      </c>
      <c r="AQ253" s="23">
        <v>0</v>
      </c>
      <c r="AR253" s="23">
        <v>0</v>
      </c>
      <c r="AU253" s="23">
        <f t="shared" si="122"/>
        <v>4385.9649122807014</v>
      </c>
      <c r="AV253" s="23">
        <f t="shared" si="121"/>
        <v>4385.9649122807014</v>
      </c>
      <c r="AW253" s="23">
        <f>$E$23/($B$17-$B$16)*2</f>
        <v>8771.9298245614027</v>
      </c>
      <c r="AX253" s="23">
        <v>0</v>
      </c>
      <c r="AY253" s="23">
        <v>0</v>
      </c>
      <c r="AZ253" s="23">
        <v>0</v>
      </c>
    </row>
    <row r="254" spans="1:52" x14ac:dyDescent="0.25">
      <c r="A254" s="68">
        <f t="shared" si="114"/>
        <v>231</v>
      </c>
      <c r="B254" s="68" t="str">
        <f t="shared" si="115"/>
        <v>amortização</v>
      </c>
      <c r="C254" s="156">
        <f t="shared" si="116"/>
        <v>0</v>
      </c>
      <c r="D254" s="156">
        <f t="shared" si="117"/>
        <v>4385.9649122807014</v>
      </c>
      <c r="E254" s="157">
        <f t="shared" si="118"/>
        <v>39473.684210531093</v>
      </c>
      <c r="F254" s="158">
        <f t="shared" si="119"/>
        <v>4385.9649122807014</v>
      </c>
      <c r="G254" s="160">
        <f t="shared" si="120"/>
        <v>4385.9649122807014</v>
      </c>
      <c r="AD254" s="9" t="str">
        <f t="shared" si="125"/>
        <v/>
      </c>
      <c r="AG254" s="9" t="str">
        <f t="shared" si="128"/>
        <v/>
      </c>
      <c r="AH254" s="9" t="str">
        <f t="shared" si="129"/>
        <v/>
      </c>
      <c r="AL254" s="23">
        <f t="shared" si="133"/>
        <v>0</v>
      </c>
      <c r="AM254" s="23">
        <f t="shared" si="137"/>
        <v>0</v>
      </c>
      <c r="AN254" s="23">
        <f t="shared" si="141"/>
        <v>0</v>
      </c>
      <c r="AO254" s="23">
        <v>0</v>
      </c>
      <c r="AP254" s="23">
        <f t="shared" ref="AP254:AP266" si="142">E251*((1+$C$23)^3-1)</f>
        <v>0</v>
      </c>
      <c r="AQ254" s="23">
        <v>0</v>
      </c>
      <c r="AR254" s="23">
        <v>0</v>
      </c>
      <c r="AU254" s="23">
        <f t="shared" si="122"/>
        <v>4385.9649122807014</v>
      </c>
      <c r="AV254" s="23">
        <f t="shared" si="121"/>
        <v>4385.9649122807014</v>
      </c>
      <c r="AW254" s="23">
        <v>0</v>
      </c>
      <c r="AX254" s="23">
        <f>$E$23/($B$17-$B$16)*3</f>
        <v>13157.894736842103</v>
      </c>
      <c r="AY254" s="23">
        <v>0</v>
      </c>
      <c r="AZ254" s="23">
        <v>0</v>
      </c>
    </row>
    <row r="255" spans="1:52" x14ac:dyDescent="0.25">
      <c r="A255" s="68">
        <f t="shared" si="114"/>
        <v>232</v>
      </c>
      <c r="B255" s="68" t="str">
        <f t="shared" si="115"/>
        <v>amortização</v>
      </c>
      <c r="C255" s="156">
        <f t="shared" si="116"/>
        <v>0</v>
      </c>
      <c r="D255" s="156">
        <f t="shared" si="117"/>
        <v>4385.9649122807014</v>
      </c>
      <c r="E255" s="157">
        <f t="shared" si="118"/>
        <v>35087.719298250391</v>
      </c>
      <c r="F255" s="158">
        <f t="shared" si="119"/>
        <v>4385.9649122807014</v>
      </c>
      <c r="G255" s="160">
        <f t="shared" si="120"/>
        <v>4385.9649122807014</v>
      </c>
      <c r="AD255" s="9" t="str">
        <f t="shared" si="125"/>
        <v/>
      </c>
      <c r="AG255" s="9" t="str">
        <f t="shared" si="128"/>
        <v/>
      </c>
      <c r="AH255" s="9" t="str">
        <f t="shared" si="129"/>
        <v/>
      </c>
      <c r="AL255" s="23">
        <f t="shared" si="133"/>
        <v>0</v>
      </c>
      <c r="AM255" s="23">
        <f t="shared" si="137"/>
        <v>0</v>
      </c>
      <c r="AN255" s="23">
        <f t="shared" si="141"/>
        <v>0</v>
      </c>
      <c r="AO255" s="23">
        <f t="shared" si="138"/>
        <v>0</v>
      </c>
      <c r="AP255" s="23">
        <v>0</v>
      </c>
      <c r="AQ255" s="23">
        <v>0</v>
      </c>
      <c r="AR255" s="23">
        <v>0</v>
      </c>
      <c r="AU255" s="23">
        <f t="shared" si="122"/>
        <v>4385.9649122807014</v>
      </c>
      <c r="AV255" s="23">
        <f t="shared" si="121"/>
        <v>4385.9649122807014</v>
      </c>
      <c r="AW255" s="23">
        <f>$E$23/($B$17-$B$16)*2</f>
        <v>8771.9298245614027</v>
      </c>
      <c r="AX255" s="23">
        <v>0</v>
      </c>
      <c r="AY255" s="23">
        <v>0</v>
      </c>
      <c r="AZ255" s="23">
        <v>0</v>
      </c>
    </row>
    <row r="256" spans="1:52" x14ac:dyDescent="0.25">
      <c r="A256" s="68">
        <f t="shared" si="114"/>
        <v>233</v>
      </c>
      <c r="B256" s="68" t="str">
        <f t="shared" si="115"/>
        <v>amortização</v>
      </c>
      <c r="C256" s="156">
        <f t="shared" si="116"/>
        <v>0</v>
      </c>
      <c r="D256" s="156">
        <f t="shared" si="117"/>
        <v>4385.9649122807014</v>
      </c>
      <c r="E256" s="157">
        <f t="shared" si="118"/>
        <v>30701.754385969689</v>
      </c>
      <c r="F256" s="158">
        <f t="shared" si="119"/>
        <v>4385.9649122807014</v>
      </c>
      <c r="G256" s="160">
        <f t="shared" si="120"/>
        <v>4385.9649122807014</v>
      </c>
      <c r="AD256" s="9" t="str">
        <f t="shared" si="125"/>
        <v/>
      </c>
      <c r="AG256" s="9" t="str">
        <f t="shared" si="128"/>
        <v/>
      </c>
      <c r="AH256" s="9" t="str">
        <f t="shared" si="129"/>
        <v/>
      </c>
      <c r="AL256" s="23">
        <f t="shared" si="133"/>
        <v>0</v>
      </c>
      <c r="AM256" s="23">
        <f t="shared" si="137"/>
        <v>0</v>
      </c>
      <c r="AN256" s="23">
        <f t="shared" si="141"/>
        <v>0</v>
      </c>
      <c r="AO256" s="23">
        <v>0</v>
      </c>
      <c r="AP256" s="23">
        <v>0</v>
      </c>
      <c r="AQ256" s="23">
        <v>0</v>
      </c>
      <c r="AR256" s="23">
        <v>0</v>
      </c>
      <c r="AU256" s="23">
        <f t="shared" si="122"/>
        <v>4385.9649122807014</v>
      </c>
      <c r="AV256" s="23">
        <f t="shared" si="121"/>
        <v>4385.9649122807014</v>
      </c>
      <c r="AW256" s="23">
        <v>0</v>
      </c>
      <c r="AX256" s="23">
        <v>0</v>
      </c>
      <c r="AY256" s="23">
        <v>0</v>
      </c>
      <c r="AZ256" s="23">
        <v>0</v>
      </c>
    </row>
    <row r="257" spans="1:52" x14ac:dyDescent="0.25">
      <c r="A257" s="68">
        <f t="shared" si="114"/>
        <v>234</v>
      </c>
      <c r="B257" s="68" t="str">
        <f t="shared" si="115"/>
        <v>amortização</v>
      </c>
      <c r="C257" s="156">
        <f t="shared" si="116"/>
        <v>0</v>
      </c>
      <c r="D257" s="156">
        <f t="shared" si="117"/>
        <v>4385.9649122807014</v>
      </c>
      <c r="E257" s="157">
        <f t="shared" si="118"/>
        <v>26315.789473688987</v>
      </c>
      <c r="F257" s="158">
        <f t="shared" si="119"/>
        <v>4385.9649122807014</v>
      </c>
      <c r="G257" s="160">
        <f t="shared" si="120"/>
        <v>4385.9649122807014</v>
      </c>
      <c r="AD257" s="9" t="str">
        <f t="shared" si="125"/>
        <v/>
      </c>
      <c r="AG257" s="9" t="str">
        <f t="shared" si="128"/>
        <v/>
      </c>
      <c r="AH257" s="9" t="str">
        <f t="shared" si="129"/>
        <v/>
      </c>
      <c r="AL257" s="23">
        <f t="shared" si="133"/>
        <v>0</v>
      </c>
      <c r="AM257" s="23">
        <f t="shared" si="137"/>
        <v>0</v>
      </c>
      <c r="AN257" s="23">
        <f t="shared" si="141"/>
        <v>0</v>
      </c>
      <c r="AO257" s="23">
        <f t="shared" si="138"/>
        <v>0</v>
      </c>
      <c r="AP257" s="23">
        <f t="shared" si="142"/>
        <v>0</v>
      </c>
      <c r="AQ257" s="23">
        <f t="shared" ref="AQ257" si="143">E251*((1+$C$23)^6-1)</f>
        <v>0</v>
      </c>
      <c r="AR257" s="23">
        <v>0</v>
      </c>
      <c r="AU257" s="23">
        <f t="shared" si="122"/>
        <v>4385.9649122807014</v>
      </c>
      <c r="AV257" s="23">
        <f t="shared" si="121"/>
        <v>4385.9649122807014</v>
      </c>
      <c r="AW257" s="23">
        <f>$E$23/($B$17-$B$16)*2</f>
        <v>8771.9298245614027</v>
      </c>
      <c r="AX257" s="23">
        <f>$E$23/($B$17-$B$16)*3</f>
        <v>13157.894736842103</v>
      </c>
      <c r="AY257" s="23">
        <f>$E$23/($B$17-$B$16)*6</f>
        <v>26315.789473684206</v>
      </c>
      <c r="AZ257" s="23">
        <v>0</v>
      </c>
    </row>
    <row r="258" spans="1:52" x14ac:dyDescent="0.25">
      <c r="A258" s="68">
        <f t="shared" si="114"/>
        <v>235</v>
      </c>
      <c r="B258" s="68" t="str">
        <f t="shared" si="115"/>
        <v>amortização</v>
      </c>
      <c r="C258" s="156">
        <f t="shared" si="116"/>
        <v>0</v>
      </c>
      <c r="D258" s="156">
        <f t="shared" si="117"/>
        <v>4385.9649122807014</v>
      </c>
      <c r="E258" s="157">
        <f t="shared" si="118"/>
        <v>21929.824561408284</v>
      </c>
      <c r="F258" s="158">
        <f t="shared" si="119"/>
        <v>4385.9649122807014</v>
      </c>
      <c r="G258" s="160">
        <f t="shared" si="120"/>
        <v>4385.9649122807014</v>
      </c>
      <c r="AD258" s="9" t="str">
        <f t="shared" ref="AD258:AD321" si="144">IF(AC258="","",C253)</f>
        <v/>
      </c>
      <c r="AG258" s="9" t="str">
        <f t="shared" si="128"/>
        <v/>
      </c>
      <c r="AH258" s="9" t="str">
        <f t="shared" si="129"/>
        <v/>
      </c>
      <c r="AL258" s="23">
        <f t="shared" si="133"/>
        <v>0</v>
      </c>
      <c r="AM258" s="23">
        <f t="shared" si="137"/>
        <v>0</v>
      </c>
      <c r="AN258" s="23">
        <f t="shared" si="141"/>
        <v>0</v>
      </c>
      <c r="AO258" s="23">
        <v>0</v>
      </c>
      <c r="AP258" s="23">
        <v>0</v>
      </c>
      <c r="AQ258" s="23">
        <v>0</v>
      </c>
      <c r="AR258" s="23">
        <v>0</v>
      </c>
      <c r="AU258" s="23">
        <f t="shared" si="122"/>
        <v>4385.9649122807014</v>
      </c>
      <c r="AV258" s="23">
        <f t="shared" si="121"/>
        <v>4385.9649122807014</v>
      </c>
      <c r="AW258" s="23">
        <v>0</v>
      </c>
      <c r="AX258" s="23">
        <v>0</v>
      </c>
      <c r="AY258" s="23">
        <v>0</v>
      </c>
      <c r="AZ258" s="23">
        <v>0</v>
      </c>
    </row>
    <row r="259" spans="1:52" x14ac:dyDescent="0.25">
      <c r="A259" s="68">
        <f t="shared" si="114"/>
        <v>236</v>
      </c>
      <c r="B259" s="68" t="str">
        <f t="shared" si="115"/>
        <v>amortização</v>
      </c>
      <c r="C259" s="156">
        <f t="shared" si="116"/>
        <v>0</v>
      </c>
      <c r="D259" s="156">
        <f t="shared" si="117"/>
        <v>4385.9649122807014</v>
      </c>
      <c r="E259" s="157">
        <f t="shared" si="118"/>
        <v>17543.859649127582</v>
      </c>
      <c r="F259" s="158">
        <f t="shared" si="119"/>
        <v>4385.9649122807014</v>
      </c>
      <c r="G259" s="160">
        <f t="shared" si="120"/>
        <v>4385.9649122807014</v>
      </c>
      <c r="AD259" s="9" t="str">
        <f t="shared" si="144"/>
        <v/>
      </c>
      <c r="AG259" s="9" t="str">
        <f t="shared" si="128"/>
        <v/>
      </c>
      <c r="AH259" s="9" t="str">
        <f t="shared" si="129"/>
        <v/>
      </c>
      <c r="AL259" s="23">
        <f t="shared" si="133"/>
        <v>0</v>
      </c>
      <c r="AM259" s="23">
        <f t="shared" si="137"/>
        <v>0</v>
      </c>
      <c r="AN259" s="23">
        <f t="shared" si="141"/>
        <v>0</v>
      </c>
      <c r="AO259" s="23">
        <f>E257*((1+$C$23)^2-1)</f>
        <v>0</v>
      </c>
      <c r="AP259" s="23">
        <v>0</v>
      </c>
      <c r="AQ259" s="23">
        <v>0</v>
      </c>
      <c r="AR259" s="23">
        <v>0</v>
      </c>
      <c r="AU259" s="23">
        <f t="shared" si="122"/>
        <v>4385.9649122807014</v>
      </c>
      <c r="AV259" s="23">
        <f t="shared" si="121"/>
        <v>4385.9649122807014</v>
      </c>
      <c r="AW259" s="23">
        <f>$E$23/($B$17-$B$16)*2</f>
        <v>8771.9298245614027</v>
      </c>
      <c r="AX259" s="23">
        <v>0</v>
      </c>
      <c r="AY259" s="23">
        <v>0</v>
      </c>
      <c r="AZ259" s="23">
        <v>0</v>
      </c>
    </row>
    <row r="260" spans="1:52" x14ac:dyDescent="0.25">
      <c r="A260" s="68">
        <f t="shared" si="114"/>
        <v>237</v>
      </c>
      <c r="B260" s="68" t="str">
        <f t="shared" si="115"/>
        <v>amortização</v>
      </c>
      <c r="C260" s="156">
        <f t="shared" si="116"/>
        <v>0</v>
      </c>
      <c r="D260" s="156">
        <f t="shared" si="117"/>
        <v>4385.9649122807014</v>
      </c>
      <c r="E260" s="157">
        <f t="shared" si="118"/>
        <v>13157.89473684688</v>
      </c>
      <c r="F260" s="158">
        <f t="shared" si="119"/>
        <v>4385.9649122807014</v>
      </c>
      <c r="G260" s="160">
        <f t="shared" si="120"/>
        <v>4385.9649122807014</v>
      </c>
      <c r="AD260" s="9" t="str">
        <f t="shared" si="144"/>
        <v/>
      </c>
      <c r="AG260" s="9" t="str">
        <f t="shared" si="128"/>
        <v/>
      </c>
      <c r="AH260" s="9" t="str">
        <f t="shared" si="129"/>
        <v/>
      </c>
      <c r="AL260" s="23">
        <f t="shared" si="133"/>
        <v>0</v>
      </c>
      <c r="AM260" s="23">
        <f t="shared" si="137"/>
        <v>0</v>
      </c>
      <c r="AN260" s="23">
        <f t="shared" si="141"/>
        <v>0</v>
      </c>
      <c r="AO260" s="23">
        <v>0</v>
      </c>
      <c r="AP260" s="23">
        <f t="shared" si="142"/>
        <v>0</v>
      </c>
      <c r="AQ260" s="23">
        <v>0</v>
      </c>
      <c r="AR260" s="23">
        <v>0</v>
      </c>
      <c r="AU260" s="23">
        <f t="shared" si="122"/>
        <v>4385.9649122807014</v>
      </c>
      <c r="AV260" s="23">
        <f t="shared" si="121"/>
        <v>4385.9649122807014</v>
      </c>
      <c r="AW260" s="23">
        <v>0</v>
      </c>
      <c r="AX260" s="23">
        <f>$E$23/($B$17-$B$16)*3</f>
        <v>13157.894736842103</v>
      </c>
      <c r="AY260" s="23">
        <v>0</v>
      </c>
      <c r="AZ260" s="23">
        <v>0</v>
      </c>
    </row>
    <row r="261" spans="1:52" x14ac:dyDescent="0.25">
      <c r="A261" s="68">
        <f t="shared" si="114"/>
        <v>238</v>
      </c>
      <c r="B261" s="68" t="str">
        <f t="shared" si="115"/>
        <v>amortização</v>
      </c>
      <c r="C261" s="156">
        <f t="shared" si="116"/>
        <v>0</v>
      </c>
      <c r="D261" s="156">
        <f t="shared" si="117"/>
        <v>4385.9649122807014</v>
      </c>
      <c r="E261" s="157">
        <f t="shared" si="118"/>
        <v>8771.9298245661776</v>
      </c>
      <c r="F261" s="158">
        <f t="shared" si="119"/>
        <v>4385.9649122807014</v>
      </c>
      <c r="G261" s="160">
        <f t="shared" si="120"/>
        <v>4385.9649122807014</v>
      </c>
      <c r="AD261" s="9" t="str">
        <f t="shared" si="144"/>
        <v/>
      </c>
      <c r="AG261" s="9" t="str">
        <f t="shared" si="128"/>
        <v/>
      </c>
      <c r="AH261" s="9" t="str">
        <f t="shared" si="129"/>
        <v/>
      </c>
      <c r="AL261" s="23">
        <f t="shared" si="133"/>
        <v>0</v>
      </c>
      <c r="AM261" s="23">
        <f t="shared" si="137"/>
        <v>0</v>
      </c>
      <c r="AN261" s="23">
        <f t="shared" si="141"/>
        <v>0</v>
      </c>
      <c r="AO261" s="23">
        <f t="shared" ref="AO261:AO269" si="145">E259*((1+$C$23)^2-1)</f>
        <v>0</v>
      </c>
      <c r="AP261" s="23">
        <v>0</v>
      </c>
      <c r="AQ261" s="23">
        <v>0</v>
      </c>
      <c r="AR261" s="23">
        <v>0</v>
      </c>
      <c r="AU261" s="23">
        <f t="shared" si="122"/>
        <v>4385.9649122807014</v>
      </c>
      <c r="AV261" s="23">
        <f t="shared" si="121"/>
        <v>4385.9649122807014</v>
      </c>
      <c r="AW261" s="23">
        <f>$E$23/($B$17-$B$16)*2</f>
        <v>8771.9298245614027</v>
      </c>
      <c r="AX261" s="23">
        <v>0</v>
      </c>
      <c r="AY261" s="23">
        <v>0</v>
      </c>
      <c r="AZ261" s="23">
        <v>0</v>
      </c>
    </row>
    <row r="262" spans="1:52" x14ac:dyDescent="0.25">
      <c r="A262" s="68">
        <f t="shared" si="114"/>
        <v>239</v>
      </c>
      <c r="B262" s="68" t="str">
        <f t="shared" si="115"/>
        <v>amortização</v>
      </c>
      <c r="C262" s="156">
        <f t="shared" si="116"/>
        <v>0</v>
      </c>
      <c r="D262" s="156">
        <f t="shared" si="117"/>
        <v>4385.9649122807014</v>
      </c>
      <c r="E262" s="157">
        <f t="shared" si="118"/>
        <v>4385.9649122854762</v>
      </c>
      <c r="F262" s="158">
        <f t="shared" si="119"/>
        <v>4385.9649122807014</v>
      </c>
      <c r="G262" s="160">
        <f t="shared" si="120"/>
        <v>4385.9649122807014</v>
      </c>
      <c r="AD262" s="9" t="str">
        <f t="shared" si="144"/>
        <v/>
      </c>
      <c r="AG262" s="9" t="str">
        <f t="shared" si="128"/>
        <v/>
      </c>
      <c r="AH262" s="9" t="str">
        <f t="shared" si="129"/>
        <v/>
      </c>
      <c r="AL262" s="23">
        <f t="shared" si="133"/>
        <v>0</v>
      </c>
      <c r="AM262" s="23">
        <f t="shared" si="137"/>
        <v>0</v>
      </c>
      <c r="AN262" s="23">
        <f t="shared" si="141"/>
        <v>0</v>
      </c>
      <c r="AO262" s="23">
        <v>0</v>
      </c>
      <c r="AP262" s="23">
        <v>0</v>
      </c>
      <c r="AQ262" s="23">
        <v>0</v>
      </c>
      <c r="AR262" s="23">
        <v>0</v>
      </c>
      <c r="AU262" s="23">
        <f t="shared" si="122"/>
        <v>4385.9649122807014</v>
      </c>
      <c r="AV262" s="23">
        <f t="shared" si="121"/>
        <v>4385.9649122807014</v>
      </c>
      <c r="AW262" s="23">
        <v>0</v>
      </c>
      <c r="AX262" s="23">
        <v>0</v>
      </c>
      <c r="AY262" s="23">
        <v>0</v>
      </c>
      <c r="AZ262" s="23">
        <v>0</v>
      </c>
    </row>
    <row r="263" spans="1:52" x14ac:dyDescent="0.25">
      <c r="A263" s="68">
        <f t="shared" si="114"/>
        <v>240</v>
      </c>
      <c r="B263" s="68" t="str">
        <f t="shared" si="115"/>
        <v>amortização</v>
      </c>
      <c r="C263" s="156">
        <f t="shared" si="116"/>
        <v>0</v>
      </c>
      <c r="D263" s="156">
        <f t="shared" si="117"/>
        <v>4385.9649122807014</v>
      </c>
      <c r="E263" s="157">
        <f t="shared" si="118"/>
        <v>4.7748471843078732E-9</v>
      </c>
      <c r="F263" s="158">
        <f t="shared" si="119"/>
        <v>4385.9649122807014</v>
      </c>
      <c r="G263" s="160">
        <f t="shared" si="120"/>
        <v>4385.9649122807014</v>
      </c>
      <c r="AD263" s="9" t="str">
        <f t="shared" si="144"/>
        <v/>
      </c>
      <c r="AG263" s="9" t="str">
        <f t="shared" si="128"/>
        <v/>
      </c>
      <c r="AH263" s="9" t="str">
        <f t="shared" si="129"/>
        <v/>
      </c>
      <c r="AL263" s="23">
        <f t="shared" si="133"/>
        <v>0</v>
      </c>
      <c r="AM263" s="23">
        <f t="shared" si="137"/>
        <v>0</v>
      </c>
      <c r="AN263" s="23">
        <f t="shared" si="141"/>
        <v>0</v>
      </c>
      <c r="AO263" s="23">
        <f t="shared" si="145"/>
        <v>0</v>
      </c>
      <c r="AP263" s="23">
        <f t="shared" si="142"/>
        <v>0</v>
      </c>
      <c r="AQ263" s="23">
        <f t="shared" ref="AQ263" si="146">E257*((1+$C$23)^6-1)</f>
        <v>0</v>
      </c>
      <c r="AR263" s="23">
        <f>E251*((1+$C$23)^12-1)</f>
        <v>0</v>
      </c>
      <c r="AU263" s="23">
        <f t="shared" si="122"/>
        <v>4385.9649122807014</v>
      </c>
      <c r="AV263" s="23">
        <f t="shared" si="121"/>
        <v>4385.9649122807014</v>
      </c>
      <c r="AW263" s="23">
        <f>$E$23/($B$17-$B$16)*2</f>
        <v>8771.9298245614027</v>
      </c>
      <c r="AX263" s="23">
        <f>$E$23/($B$17-$B$16)*3</f>
        <v>13157.894736842103</v>
      </c>
      <c r="AY263" s="23">
        <f>$E$23/($B$17-$B$16)*6</f>
        <v>26315.789473684206</v>
      </c>
      <c r="AZ263" s="23">
        <f>$E$23/($B$17-$B$16)*12</f>
        <v>52631.578947368413</v>
      </c>
    </row>
    <row r="264" spans="1:52" x14ac:dyDescent="0.25">
      <c r="A264" s="68" t="str">
        <f t="shared" si="114"/>
        <v/>
      </c>
      <c r="B264" s="68" t="str">
        <f t="shared" si="115"/>
        <v/>
      </c>
      <c r="C264" s="156" t="str">
        <f t="shared" si="116"/>
        <v/>
      </c>
      <c r="D264" s="156" t="str">
        <f t="shared" si="117"/>
        <v/>
      </c>
      <c r="E264" s="157" t="str">
        <f t="shared" si="118"/>
        <v/>
      </c>
      <c r="F264" s="158" t="str">
        <f t="shared" si="119"/>
        <v/>
      </c>
      <c r="G264" s="160" t="str">
        <f t="shared" si="120"/>
        <v/>
      </c>
      <c r="AD264" s="9" t="str">
        <f t="shared" si="144"/>
        <v/>
      </c>
      <c r="AG264" s="9" t="str">
        <f t="shared" si="128"/>
        <v/>
      </c>
      <c r="AH264" s="9" t="str">
        <f t="shared" si="129"/>
        <v/>
      </c>
      <c r="AL264" s="23">
        <f t="shared" si="133"/>
        <v>0</v>
      </c>
      <c r="AM264" s="23">
        <f t="shared" si="137"/>
        <v>0</v>
      </c>
      <c r="AN264" s="23">
        <f t="shared" si="141"/>
        <v>0</v>
      </c>
      <c r="AO264" s="23">
        <v>0</v>
      </c>
      <c r="AP264" s="23">
        <v>0</v>
      </c>
      <c r="AQ264" s="23">
        <v>0</v>
      </c>
      <c r="AR264" s="23">
        <v>0</v>
      </c>
      <c r="AU264" s="23">
        <f t="shared" si="122"/>
        <v>4385.9649122807014</v>
      </c>
      <c r="AV264" s="23">
        <f t="shared" si="121"/>
        <v>4385.9649122807014</v>
      </c>
      <c r="AW264" s="23">
        <v>0</v>
      </c>
      <c r="AX264" s="23">
        <v>0</v>
      </c>
      <c r="AY264" s="23">
        <v>0</v>
      </c>
      <c r="AZ264" s="23">
        <v>0</v>
      </c>
    </row>
    <row r="265" spans="1:52" x14ac:dyDescent="0.25">
      <c r="A265" s="68" t="str">
        <f t="shared" si="114"/>
        <v/>
      </c>
      <c r="B265" s="68" t="str">
        <f t="shared" si="115"/>
        <v/>
      </c>
      <c r="C265" s="156" t="str">
        <f t="shared" si="116"/>
        <v/>
      </c>
      <c r="D265" s="156" t="str">
        <f t="shared" si="117"/>
        <v/>
      </c>
      <c r="E265" s="157" t="str">
        <f t="shared" si="118"/>
        <v/>
      </c>
      <c r="F265" s="158" t="str">
        <f t="shared" si="119"/>
        <v/>
      </c>
      <c r="G265" s="160" t="str">
        <f t="shared" si="120"/>
        <v/>
      </c>
      <c r="AD265" s="9" t="str">
        <f t="shared" si="144"/>
        <v/>
      </c>
      <c r="AG265" s="9" t="str">
        <f t="shared" si="128"/>
        <v/>
      </c>
      <c r="AH265" s="9" t="str">
        <f t="shared" si="129"/>
        <v/>
      </c>
      <c r="AL265" s="23" t="e">
        <f t="shared" si="133"/>
        <v>#VALUE!</v>
      </c>
      <c r="AM265" s="23">
        <f t="shared" si="137"/>
        <v>0</v>
      </c>
      <c r="AN265" s="23" t="e">
        <f t="shared" si="141"/>
        <v>#VALUE!</v>
      </c>
      <c r="AO265" s="23">
        <f t="shared" si="145"/>
        <v>0</v>
      </c>
      <c r="AP265" s="23">
        <v>0</v>
      </c>
      <c r="AQ265" s="23">
        <v>0</v>
      </c>
      <c r="AR265" s="23">
        <v>0</v>
      </c>
      <c r="AU265" s="23">
        <f t="shared" si="122"/>
        <v>4385.9649122807014</v>
      </c>
      <c r="AV265" s="23">
        <f t="shared" si="121"/>
        <v>4385.9649122807014</v>
      </c>
      <c r="AW265" s="23">
        <f>$E$23/($B$17-$B$16)*2</f>
        <v>8771.9298245614027</v>
      </c>
      <c r="AX265" s="23">
        <v>0</v>
      </c>
      <c r="AY265" s="23">
        <v>0</v>
      </c>
      <c r="AZ265" s="23">
        <v>0</v>
      </c>
    </row>
    <row r="266" spans="1:52" x14ac:dyDescent="0.25">
      <c r="A266" s="68" t="str">
        <f t="shared" si="114"/>
        <v/>
      </c>
      <c r="B266" s="68" t="str">
        <f t="shared" si="115"/>
        <v/>
      </c>
      <c r="C266" s="156" t="str">
        <f t="shared" si="116"/>
        <v/>
      </c>
      <c r="D266" s="156" t="str">
        <f t="shared" si="117"/>
        <v/>
      </c>
      <c r="E266" s="157" t="str">
        <f t="shared" si="118"/>
        <v/>
      </c>
      <c r="F266" s="158" t="str">
        <f t="shared" si="119"/>
        <v/>
      </c>
      <c r="G266" s="160" t="str">
        <f t="shared" si="120"/>
        <v/>
      </c>
      <c r="AD266" s="9" t="str">
        <f t="shared" si="144"/>
        <v/>
      </c>
      <c r="AG266" s="9" t="str">
        <f t="shared" si="128"/>
        <v/>
      </c>
      <c r="AH266" s="9" t="str">
        <f t="shared" si="129"/>
        <v/>
      </c>
      <c r="AL266" s="23" t="e">
        <f t="shared" si="133"/>
        <v>#VALUE!</v>
      </c>
      <c r="AM266" s="23">
        <f t="shared" si="137"/>
        <v>0</v>
      </c>
      <c r="AN266" s="23" t="e">
        <f t="shared" si="141"/>
        <v>#VALUE!</v>
      </c>
      <c r="AO266" s="23">
        <v>0</v>
      </c>
      <c r="AP266" s="23">
        <f t="shared" si="142"/>
        <v>0</v>
      </c>
      <c r="AQ266" s="23">
        <v>0</v>
      </c>
      <c r="AR266" s="23">
        <v>0</v>
      </c>
      <c r="AU266" s="23">
        <f t="shared" si="122"/>
        <v>4385.9649122807014</v>
      </c>
      <c r="AV266" s="23">
        <f t="shared" si="121"/>
        <v>4385.9649122807014</v>
      </c>
      <c r="AW266" s="23">
        <v>0</v>
      </c>
      <c r="AX266" s="23">
        <f>$E$23/($B$17-$B$16)*3</f>
        <v>13157.894736842103</v>
      </c>
      <c r="AY266" s="23">
        <v>0</v>
      </c>
      <c r="AZ266" s="23">
        <v>0</v>
      </c>
    </row>
    <row r="267" spans="1:52" x14ac:dyDescent="0.25">
      <c r="A267" s="68" t="str">
        <f t="shared" si="114"/>
        <v/>
      </c>
      <c r="B267" s="68" t="str">
        <f t="shared" si="115"/>
        <v/>
      </c>
      <c r="C267" s="156" t="str">
        <f t="shared" si="116"/>
        <v/>
      </c>
      <c r="D267" s="156" t="str">
        <f t="shared" si="117"/>
        <v/>
      </c>
      <c r="E267" s="157" t="str">
        <f t="shared" si="118"/>
        <v/>
      </c>
      <c r="F267" s="158" t="str">
        <f t="shared" si="119"/>
        <v/>
      </c>
      <c r="G267" s="160" t="str">
        <f t="shared" si="120"/>
        <v/>
      </c>
      <c r="AD267" s="9" t="str">
        <f t="shared" si="144"/>
        <v/>
      </c>
      <c r="AG267" s="9" t="str">
        <f t="shared" si="128"/>
        <v/>
      </c>
      <c r="AH267" s="9" t="str">
        <f t="shared" si="129"/>
        <v/>
      </c>
      <c r="AL267" s="23" t="e">
        <f t="shared" si="133"/>
        <v>#VALUE!</v>
      </c>
      <c r="AM267" s="23">
        <f>IF($AN$17=1,AN267,IF($AN$17=2,AO267,IF($AN$17=3,AP267,IF($AN$17=4,AQ267,IF($AN$17=5,AR267)))))</f>
        <v>0</v>
      </c>
      <c r="AN267" s="23" t="e">
        <f t="shared" si="141"/>
        <v>#VALUE!</v>
      </c>
      <c r="AO267" s="23" t="e">
        <f t="shared" si="145"/>
        <v>#VALUE!</v>
      </c>
      <c r="AP267" s="23">
        <v>0</v>
      </c>
      <c r="AQ267" s="23">
        <v>0</v>
      </c>
      <c r="AR267" s="23">
        <v>0</v>
      </c>
      <c r="AU267" s="23">
        <f t="shared" si="122"/>
        <v>4385.9649122807014</v>
      </c>
      <c r="AV267" s="23">
        <f t="shared" si="121"/>
        <v>4385.9649122807014</v>
      </c>
      <c r="AW267" s="23">
        <f>$E$23/($B$17-$B$16)*2</f>
        <v>8771.9298245614027</v>
      </c>
      <c r="AX267" s="23">
        <v>0</v>
      </c>
      <c r="AY267" s="23">
        <v>0</v>
      </c>
      <c r="AZ267" s="23">
        <v>0</v>
      </c>
    </row>
    <row r="268" spans="1:52" x14ac:dyDescent="0.25">
      <c r="A268" s="68" t="str">
        <f t="shared" si="114"/>
        <v/>
      </c>
      <c r="B268" s="68" t="str">
        <f t="shared" si="115"/>
        <v/>
      </c>
      <c r="C268" s="156" t="str">
        <f t="shared" si="116"/>
        <v/>
      </c>
      <c r="D268" s="156" t="str">
        <f t="shared" si="117"/>
        <v/>
      </c>
      <c r="E268" s="157" t="str">
        <f t="shared" si="118"/>
        <v/>
      </c>
      <c r="F268" s="158" t="str">
        <f t="shared" si="119"/>
        <v/>
      </c>
      <c r="G268" s="160" t="str">
        <f t="shared" si="120"/>
        <v/>
      </c>
      <c r="AD268" s="9" t="str">
        <f t="shared" si="144"/>
        <v/>
      </c>
      <c r="AG268" s="9" t="str">
        <f t="shared" si="128"/>
        <v/>
      </c>
      <c r="AH268" s="9" t="str">
        <f t="shared" si="129"/>
        <v/>
      </c>
      <c r="AL268" s="23" t="e">
        <f t="shared" si="133"/>
        <v>#VALUE!</v>
      </c>
      <c r="AM268" s="23">
        <f t="shared" ref="AM268:AM286" si="147">IF($AN$17=1,AN268,IF($AN$17=2,AO268,IF($AN$17=3,AP268,IF($AN$17=4,AQ268,IF($AN$17=5,AR268)))))</f>
        <v>0</v>
      </c>
      <c r="AN268" s="23" t="e">
        <f t="shared" si="141"/>
        <v>#VALUE!</v>
      </c>
      <c r="AO268" s="23">
        <v>0</v>
      </c>
      <c r="AP268" s="23">
        <v>0</v>
      </c>
      <c r="AQ268" s="23">
        <v>0</v>
      </c>
      <c r="AR268" s="23">
        <v>0</v>
      </c>
      <c r="AU268" s="23">
        <f t="shared" si="122"/>
        <v>4385.9649122807014</v>
      </c>
      <c r="AV268" s="23">
        <f t="shared" si="121"/>
        <v>4385.9649122807014</v>
      </c>
      <c r="AW268" s="23">
        <v>0</v>
      </c>
      <c r="AX268" s="23">
        <v>0</v>
      </c>
      <c r="AY268" s="23">
        <v>0</v>
      </c>
      <c r="AZ268" s="23">
        <v>0</v>
      </c>
    </row>
    <row r="269" spans="1:52" x14ac:dyDescent="0.25">
      <c r="A269" s="68" t="str">
        <f t="shared" si="114"/>
        <v/>
      </c>
      <c r="B269" s="68" t="str">
        <f t="shared" si="115"/>
        <v/>
      </c>
      <c r="C269" s="156" t="str">
        <f t="shared" si="116"/>
        <v/>
      </c>
      <c r="D269" s="156" t="str">
        <f t="shared" si="117"/>
        <v/>
      </c>
      <c r="E269" s="157" t="str">
        <f t="shared" si="118"/>
        <v/>
      </c>
      <c r="F269" s="158" t="str">
        <f t="shared" si="119"/>
        <v/>
      </c>
      <c r="G269" s="160" t="str">
        <f t="shared" si="120"/>
        <v/>
      </c>
      <c r="AD269" s="9" t="str">
        <f t="shared" si="144"/>
        <v/>
      </c>
      <c r="AG269" s="9" t="str">
        <f t="shared" si="128"/>
        <v/>
      </c>
      <c r="AH269" s="9" t="str">
        <f t="shared" si="129"/>
        <v/>
      </c>
      <c r="AL269" s="23" t="e">
        <f t="shared" si="133"/>
        <v>#VALUE!</v>
      </c>
      <c r="AM269" s="23">
        <f t="shared" si="147"/>
        <v>0</v>
      </c>
      <c r="AN269" s="23" t="e">
        <f t="shared" si="141"/>
        <v>#VALUE!</v>
      </c>
      <c r="AO269" s="23" t="e">
        <f t="shared" si="145"/>
        <v>#VALUE!</v>
      </c>
      <c r="AP269" s="23" t="e">
        <f>E266*((1+$C$23)^3-1)</f>
        <v>#VALUE!</v>
      </c>
      <c r="AQ269" s="23">
        <f>E263*((1+$C$23)^6-1)</f>
        <v>0</v>
      </c>
      <c r="AR269" s="23">
        <v>0</v>
      </c>
      <c r="AU269" s="23">
        <f t="shared" si="122"/>
        <v>4385.9649122807014</v>
      </c>
      <c r="AV269" s="23">
        <f t="shared" si="121"/>
        <v>4385.9649122807014</v>
      </c>
      <c r="AW269" s="23">
        <f>$E$23/($B$17-$B$16)*2</f>
        <v>8771.9298245614027</v>
      </c>
      <c r="AX269" s="23">
        <f>$E$23/($B$17-$B$16)*3</f>
        <v>13157.894736842103</v>
      </c>
      <c r="AY269" s="23">
        <f>$E$23/($B$17-$B$16)*6</f>
        <v>26315.789473684206</v>
      </c>
      <c r="AZ269" s="23">
        <v>0</v>
      </c>
    </row>
    <row r="270" spans="1:52" x14ac:dyDescent="0.25">
      <c r="A270" s="68" t="str">
        <f t="shared" si="114"/>
        <v/>
      </c>
      <c r="B270" s="68" t="str">
        <f t="shared" si="115"/>
        <v/>
      </c>
      <c r="C270" s="156" t="str">
        <f t="shared" si="116"/>
        <v/>
      </c>
      <c r="D270" s="156" t="str">
        <f t="shared" si="117"/>
        <v/>
      </c>
      <c r="E270" s="157" t="str">
        <f t="shared" si="118"/>
        <v/>
      </c>
      <c r="F270" s="158" t="str">
        <f t="shared" si="119"/>
        <v/>
      </c>
      <c r="G270" s="160" t="str">
        <f t="shared" si="120"/>
        <v/>
      </c>
      <c r="AD270" s="9" t="str">
        <f t="shared" si="144"/>
        <v/>
      </c>
      <c r="AG270" s="9" t="str">
        <f t="shared" si="128"/>
        <v/>
      </c>
      <c r="AH270" s="9" t="str">
        <f t="shared" si="129"/>
        <v/>
      </c>
      <c r="AL270" s="23" t="e">
        <f t="shared" si="133"/>
        <v>#VALUE!</v>
      </c>
      <c r="AM270" s="23">
        <f t="shared" si="147"/>
        <v>0</v>
      </c>
      <c r="AN270" s="23" t="e">
        <f t="shared" si="141"/>
        <v>#VALUE!</v>
      </c>
      <c r="AO270" s="23">
        <v>0</v>
      </c>
      <c r="AP270" s="23">
        <v>0</v>
      </c>
      <c r="AQ270" s="23">
        <v>0</v>
      </c>
      <c r="AR270" s="23">
        <v>0</v>
      </c>
      <c r="AU270" s="23">
        <f t="shared" si="122"/>
        <v>4385.9649122807014</v>
      </c>
      <c r="AV270" s="23">
        <f t="shared" si="121"/>
        <v>4385.9649122807014</v>
      </c>
      <c r="AW270" s="23">
        <v>0</v>
      </c>
      <c r="AX270" s="23">
        <v>0</v>
      </c>
      <c r="AY270" s="23">
        <v>0</v>
      </c>
      <c r="AZ270" s="23">
        <v>0</v>
      </c>
    </row>
    <row r="271" spans="1:52" x14ac:dyDescent="0.25">
      <c r="A271" s="68" t="str">
        <f t="shared" si="114"/>
        <v/>
      </c>
      <c r="B271" s="68" t="str">
        <f t="shared" si="115"/>
        <v/>
      </c>
      <c r="C271" s="156" t="str">
        <f t="shared" si="116"/>
        <v/>
      </c>
      <c r="D271" s="156" t="str">
        <f t="shared" si="117"/>
        <v/>
      </c>
      <c r="E271" s="157" t="str">
        <f t="shared" si="118"/>
        <v/>
      </c>
      <c r="F271" s="158" t="str">
        <f t="shared" si="119"/>
        <v/>
      </c>
      <c r="G271" s="160" t="str">
        <f t="shared" si="120"/>
        <v/>
      </c>
      <c r="AD271" s="9" t="str">
        <f t="shared" si="144"/>
        <v/>
      </c>
      <c r="AG271" s="9" t="str">
        <f t="shared" si="128"/>
        <v/>
      </c>
      <c r="AH271" s="9" t="str">
        <f t="shared" si="129"/>
        <v/>
      </c>
      <c r="AL271" s="23" t="e">
        <f t="shared" si="133"/>
        <v>#VALUE!</v>
      </c>
      <c r="AM271" s="23">
        <f t="shared" si="147"/>
        <v>0</v>
      </c>
      <c r="AN271" s="23" t="e">
        <f t="shared" si="141"/>
        <v>#VALUE!</v>
      </c>
      <c r="AO271" s="23" t="e">
        <f t="shared" ref="AO271:AO283" si="148">E269*((1+$C$23)^2-1)</f>
        <v>#VALUE!</v>
      </c>
      <c r="AP271" s="23">
        <v>0</v>
      </c>
      <c r="AQ271" s="23">
        <v>0</v>
      </c>
      <c r="AR271" s="23">
        <v>0</v>
      </c>
      <c r="AU271" s="23">
        <f t="shared" si="122"/>
        <v>4385.9649122807014</v>
      </c>
      <c r="AV271" s="23">
        <f t="shared" si="121"/>
        <v>4385.9649122807014</v>
      </c>
      <c r="AW271" s="23">
        <f>$E$23/($B$17-$B$16)*2</f>
        <v>8771.9298245614027</v>
      </c>
      <c r="AX271" s="23">
        <v>0</v>
      </c>
      <c r="AY271" s="23">
        <v>0</v>
      </c>
      <c r="AZ271" s="23">
        <v>0</v>
      </c>
    </row>
    <row r="272" spans="1:52" x14ac:dyDescent="0.25">
      <c r="A272" s="68" t="str">
        <f t="shared" si="114"/>
        <v/>
      </c>
      <c r="B272" s="68" t="str">
        <f t="shared" si="115"/>
        <v/>
      </c>
      <c r="C272" s="156" t="str">
        <f t="shared" si="116"/>
        <v/>
      </c>
      <c r="D272" s="156" t="str">
        <f t="shared" si="117"/>
        <v/>
      </c>
      <c r="E272" s="157" t="str">
        <f t="shared" si="118"/>
        <v/>
      </c>
      <c r="F272" s="158" t="str">
        <f t="shared" si="119"/>
        <v/>
      </c>
      <c r="G272" s="160" t="str">
        <f t="shared" si="120"/>
        <v/>
      </c>
      <c r="AD272" s="9" t="str">
        <f t="shared" si="144"/>
        <v/>
      </c>
      <c r="AG272" s="9" t="str">
        <f t="shared" si="128"/>
        <v/>
      </c>
      <c r="AH272" s="9" t="str">
        <f t="shared" si="129"/>
        <v/>
      </c>
      <c r="AL272" s="23" t="e">
        <f t="shared" si="133"/>
        <v>#VALUE!</v>
      </c>
      <c r="AM272" s="23">
        <f t="shared" si="147"/>
        <v>0</v>
      </c>
      <c r="AN272" s="23" t="e">
        <f t="shared" si="141"/>
        <v>#VALUE!</v>
      </c>
      <c r="AO272" s="23">
        <v>0</v>
      </c>
      <c r="AP272" s="23" t="e">
        <f t="shared" ref="AP272:AP278" si="149">E269*((1+$C$23)^3-1)</f>
        <v>#VALUE!</v>
      </c>
      <c r="AQ272" s="23">
        <v>0</v>
      </c>
      <c r="AR272" s="23">
        <v>0</v>
      </c>
      <c r="AU272" s="23">
        <f t="shared" si="122"/>
        <v>4385.9649122807014</v>
      </c>
      <c r="AV272" s="23">
        <f t="shared" si="121"/>
        <v>4385.9649122807014</v>
      </c>
      <c r="AW272" s="23">
        <v>0</v>
      </c>
      <c r="AX272" s="23">
        <f>$E$23/($B$17-$B$16)*3</f>
        <v>13157.894736842103</v>
      </c>
      <c r="AY272" s="23">
        <v>0</v>
      </c>
      <c r="AZ272" s="23">
        <v>0</v>
      </c>
    </row>
    <row r="273" spans="1:52" x14ac:dyDescent="0.25">
      <c r="A273" s="68" t="str">
        <f t="shared" si="114"/>
        <v/>
      </c>
      <c r="B273" s="68" t="str">
        <f t="shared" si="115"/>
        <v/>
      </c>
      <c r="C273" s="156" t="str">
        <f t="shared" si="116"/>
        <v/>
      </c>
      <c r="D273" s="156" t="str">
        <f t="shared" si="117"/>
        <v/>
      </c>
      <c r="E273" s="157" t="str">
        <f t="shared" si="118"/>
        <v/>
      </c>
      <c r="F273" s="158" t="str">
        <f t="shared" si="119"/>
        <v/>
      </c>
      <c r="G273" s="160" t="str">
        <f t="shared" si="120"/>
        <v/>
      </c>
      <c r="AD273" s="9" t="str">
        <f t="shared" si="144"/>
        <v/>
      </c>
      <c r="AG273" s="9" t="str">
        <f t="shared" si="128"/>
        <v/>
      </c>
      <c r="AH273" s="9" t="str">
        <f t="shared" si="129"/>
        <v/>
      </c>
      <c r="AL273" s="23" t="e">
        <f t="shared" si="133"/>
        <v>#VALUE!</v>
      </c>
      <c r="AM273" s="23">
        <f t="shared" si="147"/>
        <v>0</v>
      </c>
      <c r="AN273" s="23" t="e">
        <f t="shared" si="141"/>
        <v>#VALUE!</v>
      </c>
      <c r="AO273" s="23" t="e">
        <f t="shared" si="148"/>
        <v>#VALUE!</v>
      </c>
      <c r="AP273" s="23">
        <v>0</v>
      </c>
      <c r="AQ273" s="23">
        <v>0</v>
      </c>
      <c r="AR273" s="23">
        <v>0</v>
      </c>
      <c r="AU273" s="23">
        <f t="shared" si="122"/>
        <v>4385.9649122807014</v>
      </c>
      <c r="AV273" s="23">
        <f t="shared" si="121"/>
        <v>4385.9649122807014</v>
      </c>
      <c r="AW273" s="23">
        <f>$E$23/($B$17-$B$16)*2</f>
        <v>8771.9298245614027</v>
      </c>
      <c r="AX273" s="23">
        <v>0</v>
      </c>
      <c r="AY273" s="23">
        <v>0</v>
      </c>
      <c r="AZ273" s="23">
        <v>0</v>
      </c>
    </row>
    <row r="274" spans="1:52" x14ac:dyDescent="0.25">
      <c r="A274" s="68" t="str">
        <f t="shared" si="114"/>
        <v/>
      </c>
      <c r="B274" s="68" t="str">
        <f t="shared" si="115"/>
        <v/>
      </c>
      <c r="C274" s="156" t="str">
        <f t="shared" si="116"/>
        <v/>
      </c>
      <c r="D274" s="156" t="str">
        <f t="shared" si="117"/>
        <v/>
      </c>
      <c r="E274" s="157" t="str">
        <f t="shared" si="118"/>
        <v/>
      </c>
      <c r="F274" s="158" t="str">
        <f t="shared" si="119"/>
        <v/>
      </c>
      <c r="G274" s="160" t="str">
        <f t="shared" si="120"/>
        <v/>
      </c>
      <c r="AD274" s="9" t="str">
        <f t="shared" si="144"/>
        <v/>
      </c>
      <c r="AG274" s="9" t="str">
        <f t="shared" si="128"/>
        <v/>
      </c>
      <c r="AH274" s="9" t="str">
        <f t="shared" si="129"/>
        <v/>
      </c>
      <c r="AL274" s="23" t="e">
        <f t="shared" si="133"/>
        <v>#VALUE!</v>
      </c>
      <c r="AM274" s="23">
        <f t="shared" si="147"/>
        <v>0</v>
      </c>
      <c r="AN274" s="23" t="e">
        <f>E273*$C$23</f>
        <v>#VALUE!</v>
      </c>
      <c r="AO274" s="23">
        <v>0</v>
      </c>
      <c r="AP274" s="23">
        <v>0</v>
      </c>
      <c r="AQ274" s="23">
        <v>0</v>
      </c>
      <c r="AR274" s="23">
        <v>0</v>
      </c>
      <c r="AU274" s="23">
        <f t="shared" si="122"/>
        <v>4385.9649122807014</v>
      </c>
      <c r="AV274" s="23">
        <f t="shared" si="121"/>
        <v>4385.9649122807014</v>
      </c>
      <c r="AW274" s="23">
        <v>0</v>
      </c>
      <c r="AX274" s="23">
        <v>0</v>
      </c>
      <c r="AY274" s="23">
        <v>0</v>
      </c>
      <c r="AZ274" s="23">
        <v>0</v>
      </c>
    </row>
    <row r="275" spans="1:52" x14ac:dyDescent="0.25">
      <c r="A275" s="68" t="str">
        <f t="shared" si="114"/>
        <v/>
      </c>
      <c r="B275" s="68" t="str">
        <f t="shared" si="115"/>
        <v/>
      </c>
      <c r="C275" s="156" t="str">
        <f t="shared" si="116"/>
        <v/>
      </c>
      <c r="D275" s="156" t="str">
        <f t="shared" si="117"/>
        <v/>
      </c>
      <c r="E275" s="157" t="str">
        <f t="shared" si="118"/>
        <v/>
      </c>
      <c r="F275" s="158" t="str">
        <f t="shared" si="119"/>
        <v/>
      </c>
      <c r="G275" s="160" t="str">
        <f t="shared" si="120"/>
        <v/>
      </c>
      <c r="AD275" s="9" t="str">
        <f t="shared" si="144"/>
        <v/>
      </c>
      <c r="AG275" s="9" t="str">
        <f t="shared" si="128"/>
        <v/>
      </c>
      <c r="AH275" s="9" t="str">
        <f t="shared" si="129"/>
        <v/>
      </c>
      <c r="AL275" s="23" t="e">
        <f t="shared" si="133"/>
        <v>#VALUE!</v>
      </c>
      <c r="AM275" s="23">
        <f t="shared" si="147"/>
        <v>0</v>
      </c>
      <c r="AN275" s="23" t="e">
        <f t="shared" ref="AN275:AN286" si="150">E274*$C$23</f>
        <v>#VALUE!</v>
      </c>
      <c r="AO275" s="23" t="e">
        <f t="shared" si="148"/>
        <v>#VALUE!</v>
      </c>
      <c r="AP275" s="23" t="e">
        <f t="shared" si="149"/>
        <v>#VALUE!</v>
      </c>
      <c r="AQ275" s="23" t="e">
        <f t="shared" ref="AQ275" si="151">E269*((1+$C$23)^6-1)</f>
        <v>#VALUE!</v>
      </c>
      <c r="AR275" s="23">
        <f>E263*((1+$C$23)^12-1)</f>
        <v>0</v>
      </c>
      <c r="AU275" s="23">
        <f t="shared" si="122"/>
        <v>4385.9649122807014</v>
      </c>
      <c r="AV275" s="23">
        <f t="shared" si="121"/>
        <v>4385.9649122807014</v>
      </c>
      <c r="AW275" s="23">
        <f>$E$23/($B$17-$B$16)*2</f>
        <v>8771.9298245614027</v>
      </c>
      <c r="AX275" s="23">
        <f>$E$23/($B$17-$B$16)*3</f>
        <v>13157.894736842103</v>
      </c>
      <c r="AY275" s="23">
        <f>$E$23/($B$17-$B$16)*6</f>
        <v>26315.789473684206</v>
      </c>
      <c r="AZ275" s="23">
        <f>$E$23/($B$17-$B$16)*12</f>
        <v>52631.578947368413</v>
      </c>
    </row>
    <row r="276" spans="1:52" x14ac:dyDescent="0.25">
      <c r="A276" s="68" t="str">
        <f t="shared" si="114"/>
        <v/>
      </c>
      <c r="B276" s="68" t="str">
        <f t="shared" si="115"/>
        <v/>
      </c>
      <c r="C276" s="156" t="str">
        <f t="shared" si="116"/>
        <v/>
      </c>
      <c r="D276" s="156" t="str">
        <f t="shared" si="117"/>
        <v/>
      </c>
      <c r="E276" s="157" t="str">
        <f t="shared" si="118"/>
        <v/>
      </c>
      <c r="F276" s="158" t="str">
        <f t="shared" si="119"/>
        <v/>
      </c>
      <c r="G276" s="160" t="str">
        <f t="shared" si="120"/>
        <v/>
      </c>
      <c r="AD276" s="9" t="str">
        <f t="shared" si="144"/>
        <v/>
      </c>
      <c r="AG276" s="9" t="str">
        <f t="shared" si="128"/>
        <v/>
      </c>
      <c r="AH276" s="9" t="str">
        <f t="shared" si="129"/>
        <v/>
      </c>
      <c r="AL276" s="23" t="e">
        <f t="shared" si="133"/>
        <v>#VALUE!</v>
      </c>
      <c r="AM276" s="23">
        <f t="shared" si="147"/>
        <v>0</v>
      </c>
      <c r="AN276" s="23" t="e">
        <f t="shared" si="150"/>
        <v>#VALUE!</v>
      </c>
      <c r="AO276" s="23">
        <v>0</v>
      </c>
      <c r="AP276" s="23">
        <v>0</v>
      </c>
      <c r="AQ276" s="23">
        <v>0</v>
      </c>
      <c r="AR276" s="23">
        <v>0</v>
      </c>
      <c r="AU276" s="23">
        <f t="shared" si="122"/>
        <v>4385.9649122807014</v>
      </c>
      <c r="AV276" s="23">
        <f t="shared" si="121"/>
        <v>4385.9649122807014</v>
      </c>
      <c r="AW276" s="23">
        <v>0</v>
      </c>
      <c r="AX276" s="23">
        <v>0</v>
      </c>
      <c r="AY276" s="23">
        <v>0</v>
      </c>
      <c r="AZ276" s="23">
        <v>0</v>
      </c>
    </row>
    <row r="277" spans="1:52" x14ac:dyDescent="0.25">
      <c r="A277" s="68" t="str">
        <f t="shared" si="114"/>
        <v/>
      </c>
      <c r="B277" s="68" t="str">
        <f t="shared" si="115"/>
        <v/>
      </c>
      <c r="C277" s="156" t="str">
        <f t="shared" si="116"/>
        <v/>
      </c>
      <c r="D277" s="156" t="str">
        <f t="shared" si="117"/>
        <v/>
      </c>
      <c r="E277" s="157" t="str">
        <f t="shared" si="118"/>
        <v/>
      </c>
      <c r="F277" s="158" t="str">
        <f t="shared" si="119"/>
        <v/>
      </c>
      <c r="G277" s="160" t="str">
        <f t="shared" si="120"/>
        <v/>
      </c>
      <c r="AD277" s="9" t="str">
        <f t="shared" si="144"/>
        <v/>
      </c>
      <c r="AG277" s="9" t="str">
        <f t="shared" si="128"/>
        <v/>
      </c>
      <c r="AH277" s="9" t="str">
        <f t="shared" si="129"/>
        <v/>
      </c>
      <c r="AL277" s="23" t="e">
        <f t="shared" si="133"/>
        <v>#VALUE!</v>
      </c>
      <c r="AM277" s="23">
        <f t="shared" si="147"/>
        <v>0</v>
      </c>
      <c r="AN277" s="23" t="e">
        <f t="shared" si="150"/>
        <v>#VALUE!</v>
      </c>
      <c r="AO277" s="23" t="e">
        <f t="shared" si="148"/>
        <v>#VALUE!</v>
      </c>
      <c r="AP277" s="23">
        <v>0</v>
      </c>
      <c r="AQ277" s="23">
        <v>0</v>
      </c>
      <c r="AR277" s="23">
        <v>0</v>
      </c>
      <c r="AU277" s="23">
        <f t="shared" si="122"/>
        <v>4385.9649122807014</v>
      </c>
      <c r="AV277" s="23">
        <f t="shared" si="121"/>
        <v>4385.9649122807014</v>
      </c>
      <c r="AW277" s="23">
        <f>$E$23/($B$17-$B$16)*2</f>
        <v>8771.9298245614027</v>
      </c>
      <c r="AX277" s="23">
        <v>0</v>
      </c>
      <c r="AY277" s="23">
        <v>0</v>
      </c>
      <c r="AZ277" s="23">
        <v>0</v>
      </c>
    </row>
    <row r="278" spans="1:52" x14ac:dyDescent="0.25">
      <c r="A278" s="68" t="str">
        <f t="shared" si="114"/>
        <v/>
      </c>
      <c r="B278" s="68" t="str">
        <f t="shared" si="115"/>
        <v/>
      </c>
      <c r="C278" s="156" t="str">
        <f t="shared" si="116"/>
        <v/>
      </c>
      <c r="D278" s="156" t="str">
        <f t="shared" si="117"/>
        <v/>
      </c>
      <c r="E278" s="157" t="str">
        <f t="shared" si="118"/>
        <v/>
      </c>
      <c r="F278" s="158" t="str">
        <f t="shared" si="119"/>
        <v/>
      </c>
      <c r="G278" s="160" t="str">
        <f t="shared" si="120"/>
        <v/>
      </c>
      <c r="AD278" s="9" t="str">
        <f t="shared" si="144"/>
        <v/>
      </c>
      <c r="AG278" s="9" t="str">
        <f t="shared" si="128"/>
        <v/>
      </c>
      <c r="AH278" s="9" t="str">
        <f t="shared" si="129"/>
        <v/>
      </c>
      <c r="AL278" s="23" t="e">
        <f t="shared" si="133"/>
        <v>#VALUE!</v>
      </c>
      <c r="AM278" s="23">
        <f t="shared" si="147"/>
        <v>0</v>
      </c>
      <c r="AN278" s="23" t="e">
        <f t="shared" si="150"/>
        <v>#VALUE!</v>
      </c>
      <c r="AO278" s="23">
        <v>0</v>
      </c>
      <c r="AP278" s="23" t="e">
        <f t="shared" si="149"/>
        <v>#VALUE!</v>
      </c>
      <c r="AQ278" s="23">
        <v>0</v>
      </c>
      <c r="AR278" s="23">
        <v>0</v>
      </c>
      <c r="AU278" s="23">
        <f t="shared" si="122"/>
        <v>4385.9649122807014</v>
      </c>
      <c r="AV278" s="23">
        <f t="shared" si="121"/>
        <v>4385.9649122807014</v>
      </c>
      <c r="AW278" s="23">
        <v>0</v>
      </c>
      <c r="AX278" s="23">
        <f>$E$23/($B$17-$B$16)*3</f>
        <v>13157.894736842103</v>
      </c>
      <c r="AY278" s="23">
        <v>0</v>
      </c>
      <c r="AZ278" s="23">
        <v>0</v>
      </c>
    </row>
    <row r="279" spans="1:52" x14ac:dyDescent="0.25">
      <c r="A279" s="68" t="str">
        <f t="shared" ref="A279:A303" si="152">IF(A278&lt;B$17,A278+1,"")</f>
        <v/>
      </c>
      <c r="B279" s="68" t="str">
        <f t="shared" ref="B279:B303" si="153">IF(A279="","",IF(A279&lt;=B$16,"carência","amortização"))</f>
        <v/>
      </c>
      <c r="C279" s="156" t="str">
        <f t="shared" ref="C279:C303" si="154">IF(B279="","",IF($AN$18=TRUE,AL279,AM279))</f>
        <v/>
      </c>
      <c r="D279" s="156" t="str">
        <f t="shared" ref="D279:D303" si="155">IF(C279="","",IF(A279&lt;=B$16,0,AU279))</f>
        <v/>
      </c>
      <c r="E279" s="157" t="str">
        <f t="shared" ref="E279:E303" si="156">IF(F279="","",E278-D279)</f>
        <v/>
      </c>
      <c r="F279" s="158" t="str">
        <f t="shared" ref="F279:F303" si="157">IF(D279="","",D279+C279)</f>
        <v/>
      </c>
      <c r="G279" s="160" t="str">
        <f t="shared" ref="G279:G303" si="158">IF(E279="","",D279+C279)</f>
        <v/>
      </c>
      <c r="AD279" s="9" t="str">
        <f t="shared" si="144"/>
        <v/>
      </c>
      <c r="AG279" s="9" t="str">
        <f t="shared" si="128"/>
        <v/>
      </c>
      <c r="AH279" s="9" t="str">
        <f t="shared" si="129"/>
        <v/>
      </c>
      <c r="AL279" s="23" t="e">
        <f t="shared" si="133"/>
        <v>#VALUE!</v>
      </c>
      <c r="AM279" s="23">
        <f t="shared" si="147"/>
        <v>0</v>
      </c>
      <c r="AN279" s="23" t="e">
        <f t="shared" si="150"/>
        <v>#VALUE!</v>
      </c>
      <c r="AO279" s="23" t="e">
        <f t="shared" si="148"/>
        <v>#VALUE!</v>
      </c>
      <c r="AP279" s="23">
        <v>0</v>
      </c>
      <c r="AQ279" s="23">
        <v>0</v>
      </c>
      <c r="AR279" s="23">
        <v>0</v>
      </c>
      <c r="AU279" s="23">
        <f t="shared" si="122"/>
        <v>4385.9649122807014</v>
      </c>
      <c r="AV279" s="23">
        <f t="shared" si="121"/>
        <v>4385.9649122807014</v>
      </c>
      <c r="AW279" s="23">
        <f>$E$23/($B$17-$B$16)*2</f>
        <v>8771.9298245614027</v>
      </c>
      <c r="AX279" s="23">
        <v>0</v>
      </c>
      <c r="AY279" s="23">
        <v>0</v>
      </c>
      <c r="AZ279" s="23">
        <v>0</v>
      </c>
    </row>
    <row r="280" spans="1:52" x14ac:dyDescent="0.25">
      <c r="A280" s="68" t="str">
        <f t="shared" si="152"/>
        <v/>
      </c>
      <c r="B280" s="68" t="str">
        <f t="shared" si="153"/>
        <v/>
      </c>
      <c r="C280" s="156" t="str">
        <f t="shared" si="154"/>
        <v/>
      </c>
      <c r="D280" s="156" t="str">
        <f t="shared" si="155"/>
        <v/>
      </c>
      <c r="E280" s="157" t="str">
        <f t="shared" si="156"/>
        <v/>
      </c>
      <c r="F280" s="158" t="str">
        <f t="shared" si="157"/>
        <v/>
      </c>
      <c r="G280" s="160" t="str">
        <f t="shared" si="158"/>
        <v/>
      </c>
      <c r="AD280" s="9" t="str">
        <f t="shared" si="144"/>
        <v/>
      </c>
      <c r="AG280" s="9" t="str">
        <f t="shared" si="128"/>
        <v/>
      </c>
      <c r="AH280" s="9" t="str">
        <f t="shared" si="129"/>
        <v/>
      </c>
      <c r="AL280" s="23" t="e">
        <f t="shared" si="133"/>
        <v>#VALUE!</v>
      </c>
      <c r="AM280" s="23">
        <f t="shared" si="147"/>
        <v>0</v>
      </c>
      <c r="AN280" s="23" t="e">
        <f t="shared" si="150"/>
        <v>#VALUE!</v>
      </c>
      <c r="AO280" s="23">
        <v>0</v>
      </c>
      <c r="AP280" s="23">
        <v>0</v>
      </c>
      <c r="AQ280" s="23">
        <v>0</v>
      </c>
      <c r="AR280" s="23">
        <v>0</v>
      </c>
      <c r="AU280" s="23">
        <f t="shared" si="122"/>
        <v>4385.9649122807014</v>
      </c>
      <c r="AV280" s="23">
        <f t="shared" ref="AV280:AV286" si="159">$E$23/($B$17-$B$16)</f>
        <v>4385.9649122807014</v>
      </c>
      <c r="AW280" s="23">
        <v>0</v>
      </c>
      <c r="AX280" s="23">
        <v>0</v>
      </c>
      <c r="AY280" s="23">
        <v>0</v>
      </c>
      <c r="AZ280" s="23">
        <v>0</v>
      </c>
    </row>
    <row r="281" spans="1:52" x14ac:dyDescent="0.25">
      <c r="A281" s="68" t="str">
        <f t="shared" si="152"/>
        <v/>
      </c>
      <c r="B281" s="68" t="str">
        <f t="shared" si="153"/>
        <v/>
      </c>
      <c r="C281" s="156" t="str">
        <f t="shared" si="154"/>
        <v/>
      </c>
      <c r="D281" s="156" t="str">
        <f t="shared" si="155"/>
        <v/>
      </c>
      <c r="E281" s="157" t="str">
        <f t="shared" si="156"/>
        <v/>
      </c>
      <c r="F281" s="158" t="str">
        <f t="shared" si="157"/>
        <v/>
      </c>
      <c r="G281" s="160" t="str">
        <f t="shared" si="158"/>
        <v/>
      </c>
      <c r="AD281" s="9" t="str">
        <f t="shared" si="144"/>
        <v/>
      </c>
      <c r="AG281" s="9" t="str">
        <f t="shared" si="128"/>
        <v/>
      </c>
      <c r="AH281" s="9" t="str">
        <f t="shared" si="129"/>
        <v/>
      </c>
      <c r="AL281" s="23" t="e">
        <f t="shared" si="133"/>
        <v>#VALUE!</v>
      </c>
      <c r="AM281" s="23">
        <f t="shared" si="147"/>
        <v>0</v>
      </c>
      <c r="AN281" s="23" t="e">
        <f t="shared" si="150"/>
        <v>#VALUE!</v>
      </c>
      <c r="AO281" s="23" t="e">
        <f t="shared" si="148"/>
        <v>#VALUE!</v>
      </c>
      <c r="AP281" s="23" t="e">
        <f t="shared" ref="AP281:AP284" si="160">E278*((1+$C$23)^3-1)</f>
        <v>#VALUE!</v>
      </c>
      <c r="AQ281" s="23" t="e">
        <f t="shared" ref="AQ281" si="161">E275*((1+$C$23)^6-1)</f>
        <v>#VALUE!</v>
      </c>
      <c r="AR281" s="23">
        <v>0</v>
      </c>
      <c r="AU281" s="23">
        <f t="shared" ref="AU281:AU286" si="162">IF($AV$17=1,AV281,IF($AV$17=2,AW281,IF($AV$17=3,AX281,IF($AV$17=4,AY281,IF($AV$17=5,AZ281)))))</f>
        <v>4385.9649122807014</v>
      </c>
      <c r="AV281" s="23">
        <f t="shared" si="159"/>
        <v>4385.9649122807014</v>
      </c>
      <c r="AW281" s="23">
        <f>$E$23/($B$17-$B$16)*2</f>
        <v>8771.9298245614027</v>
      </c>
      <c r="AX281" s="23">
        <f>$E$23/($B$17-$B$16)*3</f>
        <v>13157.894736842103</v>
      </c>
      <c r="AY281" s="23">
        <f>$E$23/($B$17-$B$16)*6</f>
        <v>26315.789473684206</v>
      </c>
      <c r="AZ281" s="23">
        <v>0</v>
      </c>
    </row>
    <row r="282" spans="1:52" x14ac:dyDescent="0.25">
      <c r="A282" s="68" t="str">
        <f t="shared" si="152"/>
        <v/>
      </c>
      <c r="B282" s="68" t="str">
        <f t="shared" si="153"/>
        <v/>
      </c>
      <c r="C282" s="156" t="str">
        <f t="shared" si="154"/>
        <v/>
      </c>
      <c r="D282" s="156" t="str">
        <f t="shared" si="155"/>
        <v/>
      </c>
      <c r="E282" s="157" t="str">
        <f t="shared" si="156"/>
        <v/>
      </c>
      <c r="F282" s="158" t="str">
        <f t="shared" si="157"/>
        <v/>
      </c>
      <c r="G282" s="160" t="str">
        <f t="shared" si="158"/>
        <v/>
      </c>
      <c r="AD282" s="9" t="str">
        <f t="shared" si="144"/>
        <v/>
      </c>
      <c r="AG282" s="9" t="str">
        <f t="shared" si="128"/>
        <v/>
      </c>
      <c r="AH282" s="9" t="str">
        <f t="shared" si="129"/>
        <v/>
      </c>
      <c r="AL282" s="23" t="e">
        <f t="shared" si="133"/>
        <v>#VALUE!</v>
      </c>
      <c r="AM282" s="23">
        <f t="shared" si="147"/>
        <v>0</v>
      </c>
      <c r="AN282" s="23" t="e">
        <f t="shared" si="150"/>
        <v>#VALUE!</v>
      </c>
      <c r="AO282" s="23">
        <v>0</v>
      </c>
      <c r="AP282" s="23">
        <v>0</v>
      </c>
      <c r="AQ282" s="23">
        <v>0</v>
      </c>
      <c r="AR282" s="23">
        <v>0</v>
      </c>
      <c r="AU282" s="23">
        <f t="shared" si="162"/>
        <v>4385.9649122807014</v>
      </c>
      <c r="AV282" s="23">
        <f t="shared" si="159"/>
        <v>4385.9649122807014</v>
      </c>
      <c r="AW282" s="23">
        <v>0</v>
      </c>
      <c r="AX282" s="23">
        <v>0</v>
      </c>
      <c r="AY282" s="23">
        <v>0</v>
      </c>
      <c r="AZ282" s="23">
        <v>0</v>
      </c>
    </row>
    <row r="283" spans="1:52" x14ac:dyDescent="0.25">
      <c r="A283" s="68" t="str">
        <f t="shared" si="152"/>
        <v/>
      </c>
      <c r="B283" s="68" t="str">
        <f t="shared" si="153"/>
        <v/>
      </c>
      <c r="C283" s="156" t="str">
        <f t="shared" si="154"/>
        <v/>
      </c>
      <c r="D283" s="156" t="str">
        <f t="shared" si="155"/>
        <v/>
      </c>
      <c r="E283" s="157" t="str">
        <f t="shared" si="156"/>
        <v/>
      </c>
      <c r="F283" s="158" t="str">
        <f t="shared" si="157"/>
        <v/>
      </c>
      <c r="G283" s="160" t="str">
        <f t="shared" si="158"/>
        <v/>
      </c>
      <c r="AD283" s="9" t="str">
        <f t="shared" si="144"/>
        <v/>
      </c>
      <c r="AG283" s="9" t="str">
        <f t="shared" si="128"/>
        <v/>
      </c>
      <c r="AH283" s="9" t="str">
        <f t="shared" si="129"/>
        <v/>
      </c>
      <c r="AL283" s="23" t="e">
        <f t="shared" si="133"/>
        <v>#VALUE!</v>
      </c>
      <c r="AM283" s="23">
        <f t="shared" si="147"/>
        <v>0</v>
      </c>
      <c r="AN283" s="23" t="e">
        <f t="shared" si="150"/>
        <v>#VALUE!</v>
      </c>
      <c r="AO283" s="23" t="e">
        <f t="shared" si="148"/>
        <v>#VALUE!</v>
      </c>
      <c r="AP283" s="23">
        <v>0</v>
      </c>
      <c r="AQ283" s="23">
        <v>0</v>
      </c>
      <c r="AR283" s="23">
        <v>0</v>
      </c>
      <c r="AU283" s="23">
        <f t="shared" si="162"/>
        <v>4385.9649122807014</v>
      </c>
      <c r="AV283" s="23">
        <f t="shared" si="159"/>
        <v>4385.9649122807014</v>
      </c>
      <c r="AW283" s="23">
        <f>$E$23/($B$17-$B$16)*2</f>
        <v>8771.9298245614027</v>
      </c>
      <c r="AX283" s="23">
        <v>0</v>
      </c>
      <c r="AY283" s="23">
        <v>0</v>
      </c>
      <c r="AZ283" s="23">
        <v>0</v>
      </c>
    </row>
    <row r="284" spans="1:52" x14ac:dyDescent="0.25">
      <c r="A284" s="68" t="str">
        <f t="shared" si="152"/>
        <v/>
      </c>
      <c r="B284" s="68" t="str">
        <f t="shared" si="153"/>
        <v/>
      </c>
      <c r="C284" s="156" t="str">
        <f t="shared" si="154"/>
        <v/>
      </c>
      <c r="D284" s="156" t="str">
        <f t="shared" si="155"/>
        <v/>
      </c>
      <c r="E284" s="157" t="str">
        <f t="shared" si="156"/>
        <v/>
      </c>
      <c r="F284" s="158" t="str">
        <f t="shared" si="157"/>
        <v/>
      </c>
      <c r="G284" s="160" t="str">
        <f t="shared" si="158"/>
        <v/>
      </c>
      <c r="AD284" s="9" t="str">
        <f t="shared" si="144"/>
        <v/>
      </c>
      <c r="AG284" s="9" t="str">
        <f t="shared" si="128"/>
        <v/>
      </c>
      <c r="AH284" s="9" t="str">
        <f t="shared" si="129"/>
        <v/>
      </c>
      <c r="AL284" s="23" t="e">
        <f t="shared" si="133"/>
        <v>#VALUE!</v>
      </c>
      <c r="AM284" s="23">
        <f t="shared" si="147"/>
        <v>0</v>
      </c>
      <c r="AN284" s="23" t="e">
        <f t="shared" si="150"/>
        <v>#VALUE!</v>
      </c>
      <c r="AO284" s="23">
        <v>0</v>
      </c>
      <c r="AP284" s="23" t="e">
        <f t="shared" si="160"/>
        <v>#VALUE!</v>
      </c>
      <c r="AQ284" s="23">
        <v>0</v>
      </c>
      <c r="AR284" s="23">
        <v>0</v>
      </c>
      <c r="AU284" s="23">
        <f t="shared" si="162"/>
        <v>4385.9649122807014</v>
      </c>
      <c r="AV284" s="23">
        <f t="shared" si="159"/>
        <v>4385.9649122807014</v>
      </c>
      <c r="AW284" s="23">
        <v>0</v>
      </c>
      <c r="AX284" s="23">
        <f>$E$23/($B$17-$B$16)*3</f>
        <v>13157.894736842103</v>
      </c>
      <c r="AY284" s="23">
        <v>0</v>
      </c>
      <c r="AZ284" s="23">
        <v>0</v>
      </c>
    </row>
    <row r="285" spans="1:52" x14ac:dyDescent="0.25">
      <c r="A285" s="68" t="str">
        <f t="shared" si="152"/>
        <v/>
      </c>
      <c r="B285" s="68" t="str">
        <f t="shared" si="153"/>
        <v/>
      </c>
      <c r="C285" s="156" t="str">
        <f t="shared" si="154"/>
        <v/>
      </c>
      <c r="D285" s="156" t="str">
        <f t="shared" si="155"/>
        <v/>
      </c>
      <c r="E285" s="157" t="str">
        <f t="shared" si="156"/>
        <v/>
      </c>
      <c r="F285" s="158" t="str">
        <f t="shared" si="157"/>
        <v/>
      </c>
      <c r="G285" s="160" t="str">
        <f t="shared" si="158"/>
        <v/>
      </c>
      <c r="AD285" s="9" t="str">
        <f t="shared" si="144"/>
        <v/>
      </c>
      <c r="AG285" s="9" t="str">
        <f t="shared" si="128"/>
        <v/>
      </c>
      <c r="AH285" s="9" t="str">
        <f t="shared" si="129"/>
        <v/>
      </c>
      <c r="AL285" s="23" t="e">
        <f t="shared" si="133"/>
        <v>#VALUE!</v>
      </c>
      <c r="AM285" s="23">
        <f t="shared" si="147"/>
        <v>0</v>
      </c>
      <c r="AN285" s="23" t="e">
        <f t="shared" si="150"/>
        <v>#VALUE!</v>
      </c>
      <c r="AO285" s="23" t="e">
        <f>E283*((1+$C$23)^2-1)</f>
        <v>#VALUE!</v>
      </c>
      <c r="AP285" s="23">
        <v>0</v>
      </c>
      <c r="AQ285" s="23">
        <v>0</v>
      </c>
      <c r="AR285" s="23">
        <v>0</v>
      </c>
      <c r="AU285" s="23">
        <f t="shared" si="162"/>
        <v>4385.9649122807014</v>
      </c>
      <c r="AV285" s="23">
        <f t="shared" si="159"/>
        <v>4385.9649122807014</v>
      </c>
      <c r="AW285" s="23">
        <f>$E$23/($B$17-$B$16)*2</f>
        <v>8771.9298245614027</v>
      </c>
      <c r="AX285" s="23">
        <v>0</v>
      </c>
      <c r="AY285" s="23">
        <v>0</v>
      </c>
      <c r="AZ285" s="23">
        <v>0</v>
      </c>
    </row>
    <row r="286" spans="1:52" x14ac:dyDescent="0.25">
      <c r="A286" s="68" t="str">
        <f t="shared" si="152"/>
        <v/>
      </c>
      <c r="B286" s="68" t="str">
        <f t="shared" si="153"/>
        <v/>
      </c>
      <c r="C286" s="156" t="str">
        <f t="shared" si="154"/>
        <v/>
      </c>
      <c r="D286" s="156" t="str">
        <f t="shared" si="155"/>
        <v/>
      </c>
      <c r="E286" s="157" t="str">
        <f t="shared" si="156"/>
        <v/>
      </c>
      <c r="F286" s="158" t="str">
        <f t="shared" si="157"/>
        <v/>
      </c>
      <c r="G286" s="160" t="str">
        <f t="shared" si="158"/>
        <v/>
      </c>
      <c r="AD286" s="9" t="str">
        <f t="shared" si="144"/>
        <v/>
      </c>
      <c r="AG286" s="9" t="str">
        <f t="shared" si="128"/>
        <v/>
      </c>
      <c r="AH286" s="9" t="str">
        <f t="shared" si="129"/>
        <v/>
      </c>
      <c r="AL286" s="23" t="e">
        <f t="shared" si="133"/>
        <v>#VALUE!</v>
      </c>
      <c r="AM286" s="23">
        <f t="shared" si="147"/>
        <v>0</v>
      </c>
      <c r="AN286" s="23" t="e">
        <f t="shared" si="150"/>
        <v>#VALUE!</v>
      </c>
      <c r="AO286" s="23">
        <v>0</v>
      </c>
      <c r="AP286" s="23">
        <v>0</v>
      </c>
      <c r="AQ286" s="23">
        <v>0</v>
      </c>
      <c r="AR286" s="23">
        <v>0</v>
      </c>
      <c r="AU286" s="23">
        <f t="shared" si="162"/>
        <v>4385.9649122807014</v>
      </c>
      <c r="AV286" s="23">
        <f t="shared" si="159"/>
        <v>4385.9649122807014</v>
      </c>
      <c r="AW286" s="23">
        <v>0</v>
      </c>
      <c r="AX286" s="23">
        <v>0</v>
      </c>
      <c r="AY286" s="23">
        <v>0</v>
      </c>
      <c r="AZ286" s="23">
        <v>0</v>
      </c>
    </row>
    <row r="287" spans="1:52" x14ac:dyDescent="0.25">
      <c r="A287" s="68" t="str">
        <f t="shared" si="152"/>
        <v/>
      </c>
      <c r="B287" s="68" t="str">
        <f t="shared" si="153"/>
        <v/>
      </c>
      <c r="C287" s="156" t="str">
        <f t="shared" si="154"/>
        <v/>
      </c>
      <c r="D287" s="156" t="str">
        <f t="shared" si="155"/>
        <v/>
      </c>
      <c r="E287" s="157" t="str">
        <f t="shared" si="156"/>
        <v/>
      </c>
      <c r="F287" s="158" t="str">
        <f t="shared" si="157"/>
        <v/>
      </c>
      <c r="G287" s="160" t="str">
        <f t="shared" si="158"/>
        <v/>
      </c>
      <c r="AD287" s="9" t="str">
        <f t="shared" si="144"/>
        <v/>
      </c>
      <c r="AG287" s="9" t="str">
        <f t="shared" ref="AG287:AG350" si="163">IF(AF287="","",IF(AF287&lt;365,AF287*AC$25*AD287,365*AD287*AC$25))</f>
        <v/>
      </c>
      <c r="AH287" s="9" t="str">
        <f t="shared" ref="AH287:AH310" si="164">IF(AF287="","",IF(AF287&lt;365,AF287*AC$26*AD287,365*AD287*AC$26))</f>
        <v/>
      </c>
      <c r="AM287" s="23"/>
      <c r="AN287" s="23"/>
      <c r="AO287" s="23"/>
      <c r="AP287" s="23"/>
      <c r="AQ287" s="23"/>
      <c r="AW287" s="23"/>
      <c r="AX287" s="23"/>
      <c r="AY287" s="23"/>
      <c r="AZ287" s="23"/>
    </row>
    <row r="288" spans="1:52" x14ac:dyDescent="0.25">
      <c r="A288" s="68" t="str">
        <f t="shared" si="152"/>
        <v/>
      </c>
      <c r="B288" s="68" t="str">
        <f t="shared" si="153"/>
        <v/>
      </c>
      <c r="C288" s="156" t="str">
        <f t="shared" si="154"/>
        <v/>
      </c>
      <c r="D288" s="156" t="str">
        <f t="shared" si="155"/>
        <v/>
      </c>
      <c r="E288" s="157" t="str">
        <f t="shared" si="156"/>
        <v/>
      </c>
      <c r="F288" s="158" t="str">
        <f t="shared" si="157"/>
        <v/>
      </c>
      <c r="G288" s="160" t="str">
        <f t="shared" si="158"/>
        <v/>
      </c>
      <c r="AD288" s="9" t="str">
        <f t="shared" si="144"/>
        <v/>
      </c>
      <c r="AG288" s="9" t="str">
        <f t="shared" si="163"/>
        <v/>
      </c>
      <c r="AH288" s="9" t="str">
        <f t="shared" si="164"/>
        <v/>
      </c>
      <c r="AM288" s="23"/>
      <c r="AN288" s="23"/>
      <c r="AO288" s="23"/>
      <c r="AP288" s="23"/>
      <c r="AQ288" s="23"/>
    </row>
    <row r="289" spans="1:43" x14ac:dyDescent="0.25">
      <c r="A289" s="68" t="str">
        <f t="shared" si="152"/>
        <v/>
      </c>
      <c r="B289" s="68" t="str">
        <f t="shared" si="153"/>
        <v/>
      </c>
      <c r="C289" s="156" t="str">
        <f t="shared" si="154"/>
        <v/>
      </c>
      <c r="D289" s="156" t="str">
        <f t="shared" si="155"/>
        <v/>
      </c>
      <c r="E289" s="157" t="str">
        <f t="shared" si="156"/>
        <v/>
      </c>
      <c r="F289" s="158" t="str">
        <f t="shared" si="157"/>
        <v/>
      </c>
      <c r="G289" s="160" t="str">
        <f t="shared" si="158"/>
        <v/>
      </c>
      <c r="AD289" s="9" t="str">
        <f t="shared" si="144"/>
        <v/>
      </c>
      <c r="AG289" s="9" t="str">
        <f t="shared" si="163"/>
        <v/>
      </c>
      <c r="AH289" s="9" t="str">
        <f t="shared" si="164"/>
        <v/>
      </c>
      <c r="AM289" s="23"/>
      <c r="AN289" s="23"/>
      <c r="AO289" s="23"/>
      <c r="AP289" s="23"/>
      <c r="AQ289" s="23"/>
    </row>
    <row r="290" spans="1:43" x14ac:dyDescent="0.25">
      <c r="A290" s="68" t="str">
        <f t="shared" si="152"/>
        <v/>
      </c>
      <c r="B290" s="68" t="str">
        <f t="shared" si="153"/>
        <v/>
      </c>
      <c r="C290" s="156" t="str">
        <f t="shared" si="154"/>
        <v/>
      </c>
      <c r="D290" s="156" t="str">
        <f t="shared" si="155"/>
        <v/>
      </c>
      <c r="E290" s="157" t="str">
        <f t="shared" si="156"/>
        <v/>
      </c>
      <c r="F290" s="158" t="str">
        <f t="shared" si="157"/>
        <v/>
      </c>
      <c r="G290" s="160" t="str">
        <f t="shared" si="158"/>
        <v/>
      </c>
      <c r="AD290" s="9" t="str">
        <f t="shared" si="144"/>
        <v/>
      </c>
      <c r="AG290" s="9" t="str">
        <f t="shared" si="163"/>
        <v/>
      </c>
      <c r="AH290" s="9" t="str">
        <f t="shared" si="164"/>
        <v/>
      </c>
      <c r="AM290" s="23"/>
      <c r="AN290" s="23"/>
      <c r="AO290" s="23"/>
      <c r="AP290" s="23"/>
      <c r="AQ290" s="23"/>
    </row>
    <row r="291" spans="1:43" x14ac:dyDescent="0.25">
      <c r="A291" s="68" t="str">
        <f t="shared" si="152"/>
        <v/>
      </c>
      <c r="B291" s="68" t="str">
        <f t="shared" si="153"/>
        <v/>
      </c>
      <c r="C291" s="156" t="str">
        <f t="shared" si="154"/>
        <v/>
      </c>
      <c r="D291" s="156" t="str">
        <f t="shared" si="155"/>
        <v/>
      </c>
      <c r="E291" s="157" t="str">
        <f t="shared" si="156"/>
        <v/>
      </c>
      <c r="F291" s="158" t="str">
        <f t="shared" si="157"/>
        <v/>
      </c>
      <c r="G291" s="160" t="str">
        <f t="shared" si="158"/>
        <v/>
      </c>
      <c r="AD291" s="9" t="str">
        <f t="shared" si="144"/>
        <v/>
      </c>
      <c r="AG291" s="9" t="str">
        <f t="shared" si="163"/>
        <v/>
      </c>
      <c r="AH291" s="9" t="str">
        <f t="shared" si="164"/>
        <v/>
      </c>
      <c r="AM291" s="23"/>
      <c r="AN291" s="23"/>
      <c r="AO291" s="23"/>
      <c r="AP291" s="23"/>
      <c r="AQ291" s="23"/>
    </row>
    <row r="292" spans="1:43" x14ac:dyDescent="0.25">
      <c r="A292" s="68" t="str">
        <f t="shared" si="152"/>
        <v/>
      </c>
      <c r="B292" s="68" t="str">
        <f t="shared" si="153"/>
        <v/>
      </c>
      <c r="C292" s="156" t="str">
        <f t="shared" si="154"/>
        <v/>
      </c>
      <c r="D292" s="156" t="str">
        <f t="shared" si="155"/>
        <v/>
      </c>
      <c r="E292" s="157" t="str">
        <f t="shared" si="156"/>
        <v/>
      </c>
      <c r="F292" s="158" t="str">
        <f t="shared" si="157"/>
        <v/>
      </c>
      <c r="G292" s="160" t="str">
        <f t="shared" si="158"/>
        <v/>
      </c>
      <c r="AD292" s="9" t="str">
        <f t="shared" si="144"/>
        <v/>
      </c>
      <c r="AG292" s="9" t="str">
        <f t="shared" si="163"/>
        <v/>
      </c>
      <c r="AH292" s="9" t="str">
        <f t="shared" si="164"/>
        <v/>
      </c>
      <c r="AM292" s="23"/>
      <c r="AN292" s="23"/>
      <c r="AO292" s="23"/>
      <c r="AP292" s="23"/>
      <c r="AQ292" s="23"/>
    </row>
    <row r="293" spans="1:43" x14ac:dyDescent="0.25">
      <c r="A293" s="68" t="str">
        <f t="shared" si="152"/>
        <v/>
      </c>
      <c r="B293" s="68" t="str">
        <f t="shared" si="153"/>
        <v/>
      </c>
      <c r="C293" s="156" t="str">
        <f t="shared" si="154"/>
        <v/>
      </c>
      <c r="D293" s="156" t="str">
        <f t="shared" si="155"/>
        <v/>
      </c>
      <c r="E293" s="157" t="str">
        <f t="shared" si="156"/>
        <v/>
      </c>
      <c r="F293" s="158" t="str">
        <f t="shared" si="157"/>
        <v/>
      </c>
      <c r="G293" s="160" t="str">
        <f t="shared" si="158"/>
        <v/>
      </c>
      <c r="AD293" s="9" t="str">
        <f t="shared" si="144"/>
        <v/>
      </c>
      <c r="AG293" s="9" t="str">
        <f t="shared" si="163"/>
        <v/>
      </c>
      <c r="AH293" s="9" t="str">
        <f t="shared" si="164"/>
        <v/>
      </c>
      <c r="AM293" s="23"/>
      <c r="AN293" s="23"/>
      <c r="AO293" s="23"/>
      <c r="AP293" s="23"/>
      <c r="AQ293" s="23"/>
    </row>
    <row r="294" spans="1:43" x14ac:dyDescent="0.25">
      <c r="A294" s="68" t="str">
        <f t="shared" si="152"/>
        <v/>
      </c>
      <c r="B294" s="68" t="str">
        <f t="shared" si="153"/>
        <v/>
      </c>
      <c r="C294" s="156" t="str">
        <f t="shared" si="154"/>
        <v/>
      </c>
      <c r="D294" s="156" t="str">
        <f t="shared" si="155"/>
        <v/>
      </c>
      <c r="E294" s="157" t="str">
        <f t="shared" si="156"/>
        <v/>
      </c>
      <c r="F294" s="158" t="str">
        <f t="shared" si="157"/>
        <v/>
      </c>
      <c r="G294" s="160" t="str">
        <f t="shared" si="158"/>
        <v/>
      </c>
      <c r="AD294" s="9" t="str">
        <f t="shared" si="144"/>
        <v/>
      </c>
      <c r="AG294" s="9" t="str">
        <f t="shared" si="163"/>
        <v/>
      </c>
      <c r="AH294" s="9" t="str">
        <f t="shared" si="164"/>
        <v/>
      </c>
      <c r="AN294" s="23"/>
      <c r="AO294" s="23"/>
    </row>
    <row r="295" spans="1:43" x14ac:dyDescent="0.25">
      <c r="A295" s="68" t="str">
        <f t="shared" si="152"/>
        <v/>
      </c>
      <c r="B295" s="68" t="str">
        <f t="shared" si="153"/>
        <v/>
      </c>
      <c r="C295" s="156" t="str">
        <f t="shared" si="154"/>
        <v/>
      </c>
      <c r="D295" s="156" t="str">
        <f t="shared" si="155"/>
        <v/>
      </c>
      <c r="E295" s="157" t="str">
        <f t="shared" si="156"/>
        <v/>
      </c>
      <c r="F295" s="158" t="str">
        <f t="shared" si="157"/>
        <v/>
      </c>
      <c r="G295" s="160" t="str">
        <f t="shared" si="158"/>
        <v/>
      </c>
      <c r="AD295" s="9" t="str">
        <f t="shared" si="144"/>
        <v/>
      </c>
      <c r="AG295" s="9" t="str">
        <f t="shared" si="163"/>
        <v/>
      </c>
      <c r="AH295" s="9" t="str">
        <f t="shared" si="164"/>
        <v/>
      </c>
      <c r="AN295" s="23"/>
      <c r="AO295" s="23"/>
    </row>
    <row r="296" spans="1:43" x14ac:dyDescent="0.25">
      <c r="A296" s="68" t="str">
        <f t="shared" si="152"/>
        <v/>
      </c>
      <c r="B296" s="68" t="str">
        <f t="shared" si="153"/>
        <v/>
      </c>
      <c r="C296" s="156" t="str">
        <f t="shared" si="154"/>
        <v/>
      </c>
      <c r="D296" s="156" t="str">
        <f t="shared" si="155"/>
        <v/>
      </c>
      <c r="E296" s="157" t="str">
        <f t="shared" si="156"/>
        <v/>
      </c>
      <c r="F296" s="158" t="str">
        <f t="shared" si="157"/>
        <v/>
      </c>
      <c r="G296" s="160" t="str">
        <f t="shared" si="158"/>
        <v/>
      </c>
      <c r="AD296" s="9" t="str">
        <f t="shared" si="144"/>
        <v/>
      </c>
      <c r="AG296" s="9" t="str">
        <f t="shared" si="163"/>
        <v/>
      </c>
      <c r="AH296" s="9" t="str">
        <f t="shared" si="164"/>
        <v/>
      </c>
      <c r="AN296" s="23"/>
      <c r="AO296" s="23"/>
    </row>
    <row r="297" spans="1:43" x14ac:dyDescent="0.25">
      <c r="A297" s="68" t="str">
        <f t="shared" si="152"/>
        <v/>
      </c>
      <c r="B297" s="68" t="str">
        <f t="shared" si="153"/>
        <v/>
      </c>
      <c r="C297" s="156" t="str">
        <f t="shared" si="154"/>
        <v/>
      </c>
      <c r="D297" s="156" t="str">
        <f t="shared" si="155"/>
        <v/>
      </c>
      <c r="E297" s="157" t="str">
        <f t="shared" si="156"/>
        <v/>
      </c>
      <c r="F297" s="158" t="str">
        <f t="shared" si="157"/>
        <v/>
      </c>
      <c r="G297" s="160" t="str">
        <f t="shared" si="158"/>
        <v/>
      </c>
      <c r="AD297" s="9" t="str">
        <f t="shared" si="144"/>
        <v/>
      </c>
      <c r="AG297" s="9" t="str">
        <f t="shared" si="163"/>
        <v/>
      </c>
      <c r="AH297" s="9" t="str">
        <f t="shared" si="164"/>
        <v/>
      </c>
      <c r="AN297" s="23"/>
      <c r="AO297" s="23"/>
    </row>
    <row r="298" spans="1:43" x14ac:dyDescent="0.25">
      <c r="A298" s="68" t="str">
        <f t="shared" si="152"/>
        <v/>
      </c>
      <c r="B298" s="68" t="str">
        <f t="shared" si="153"/>
        <v/>
      </c>
      <c r="C298" s="156" t="str">
        <f t="shared" si="154"/>
        <v/>
      </c>
      <c r="D298" s="156" t="str">
        <f t="shared" si="155"/>
        <v/>
      </c>
      <c r="E298" s="157" t="str">
        <f t="shared" si="156"/>
        <v/>
      </c>
      <c r="F298" s="158" t="str">
        <f t="shared" si="157"/>
        <v/>
      </c>
      <c r="G298" s="160" t="str">
        <f t="shared" si="158"/>
        <v/>
      </c>
      <c r="AD298" s="9" t="str">
        <f t="shared" si="144"/>
        <v/>
      </c>
      <c r="AG298" s="9" t="str">
        <f t="shared" si="163"/>
        <v/>
      </c>
      <c r="AH298" s="9" t="str">
        <f t="shared" si="164"/>
        <v/>
      </c>
      <c r="AN298" s="23"/>
      <c r="AO298" s="23"/>
    </row>
    <row r="299" spans="1:43" x14ac:dyDescent="0.25">
      <c r="A299" s="68" t="str">
        <f t="shared" si="152"/>
        <v/>
      </c>
      <c r="B299" s="68" t="str">
        <f t="shared" si="153"/>
        <v/>
      </c>
      <c r="C299" s="156" t="str">
        <f t="shared" si="154"/>
        <v/>
      </c>
      <c r="D299" s="156" t="str">
        <f t="shared" si="155"/>
        <v/>
      </c>
      <c r="E299" s="157" t="str">
        <f t="shared" si="156"/>
        <v/>
      </c>
      <c r="F299" s="158" t="str">
        <f t="shared" si="157"/>
        <v/>
      </c>
      <c r="G299" s="160" t="str">
        <f t="shared" si="158"/>
        <v/>
      </c>
      <c r="AD299" s="9" t="str">
        <f t="shared" si="144"/>
        <v/>
      </c>
      <c r="AG299" s="9" t="str">
        <f t="shared" si="163"/>
        <v/>
      </c>
      <c r="AH299" s="9" t="str">
        <f t="shared" si="164"/>
        <v/>
      </c>
      <c r="AO299" s="23"/>
    </row>
    <row r="300" spans="1:43" x14ac:dyDescent="0.25">
      <c r="A300" s="68" t="str">
        <f t="shared" si="152"/>
        <v/>
      </c>
      <c r="B300" s="68" t="str">
        <f t="shared" si="153"/>
        <v/>
      </c>
      <c r="C300" s="156" t="str">
        <f t="shared" si="154"/>
        <v/>
      </c>
      <c r="D300" s="156" t="str">
        <f t="shared" si="155"/>
        <v/>
      </c>
      <c r="E300" s="157" t="str">
        <f t="shared" si="156"/>
        <v/>
      </c>
      <c r="F300" s="158" t="str">
        <f t="shared" si="157"/>
        <v/>
      </c>
      <c r="G300" s="160" t="str">
        <f t="shared" si="158"/>
        <v/>
      </c>
      <c r="AD300" s="9" t="str">
        <f t="shared" si="144"/>
        <v/>
      </c>
      <c r="AG300" s="9" t="str">
        <f t="shared" si="163"/>
        <v/>
      </c>
      <c r="AH300" s="9" t="str">
        <f t="shared" si="164"/>
        <v/>
      </c>
      <c r="AO300" s="23"/>
    </row>
    <row r="301" spans="1:43" x14ac:dyDescent="0.25">
      <c r="A301" s="68" t="str">
        <f t="shared" si="152"/>
        <v/>
      </c>
      <c r="B301" s="68" t="str">
        <f t="shared" si="153"/>
        <v/>
      </c>
      <c r="C301" s="156" t="str">
        <f t="shared" si="154"/>
        <v/>
      </c>
      <c r="D301" s="156" t="str">
        <f t="shared" si="155"/>
        <v/>
      </c>
      <c r="E301" s="157" t="str">
        <f t="shared" si="156"/>
        <v/>
      </c>
      <c r="F301" s="158" t="str">
        <f t="shared" si="157"/>
        <v/>
      </c>
      <c r="G301" s="160" t="str">
        <f t="shared" si="158"/>
        <v/>
      </c>
      <c r="AD301" s="9" t="str">
        <f t="shared" si="144"/>
        <v/>
      </c>
      <c r="AG301" s="9" t="str">
        <f t="shared" si="163"/>
        <v/>
      </c>
      <c r="AH301" s="9" t="str">
        <f t="shared" si="164"/>
        <v/>
      </c>
      <c r="AO301" s="23"/>
    </row>
    <row r="302" spans="1:43" x14ac:dyDescent="0.25">
      <c r="A302" s="68" t="str">
        <f t="shared" si="152"/>
        <v/>
      </c>
      <c r="B302" s="68" t="str">
        <f t="shared" si="153"/>
        <v/>
      </c>
      <c r="C302" s="156" t="str">
        <f t="shared" si="154"/>
        <v/>
      </c>
      <c r="D302" s="156" t="str">
        <f t="shared" si="155"/>
        <v/>
      </c>
      <c r="E302" s="157" t="str">
        <f t="shared" si="156"/>
        <v/>
      </c>
      <c r="F302" s="158" t="str">
        <f t="shared" si="157"/>
        <v/>
      </c>
      <c r="G302" s="160" t="str">
        <f t="shared" si="158"/>
        <v/>
      </c>
      <c r="AD302" s="9" t="str">
        <f t="shared" si="144"/>
        <v/>
      </c>
      <c r="AG302" s="9" t="str">
        <f t="shared" si="163"/>
        <v/>
      </c>
      <c r="AH302" s="9" t="str">
        <f t="shared" si="164"/>
        <v/>
      </c>
      <c r="AO302" s="23"/>
    </row>
    <row r="303" spans="1:43" x14ac:dyDescent="0.25">
      <c r="A303" s="68" t="str">
        <f t="shared" si="152"/>
        <v/>
      </c>
      <c r="B303" s="68" t="str">
        <f t="shared" si="153"/>
        <v/>
      </c>
      <c r="C303" s="156" t="str">
        <f t="shared" si="154"/>
        <v/>
      </c>
      <c r="D303" s="156" t="str">
        <f t="shared" si="155"/>
        <v/>
      </c>
      <c r="E303" s="157" t="str">
        <f t="shared" si="156"/>
        <v/>
      </c>
      <c r="F303" s="158" t="str">
        <f t="shared" si="157"/>
        <v/>
      </c>
      <c r="G303" s="160" t="str">
        <f t="shared" si="158"/>
        <v/>
      </c>
      <c r="AD303" s="9" t="str">
        <f t="shared" si="144"/>
        <v/>
      </c>
      <c r="AG303" s="9" t="str">
        <f t="shared" si="163"/>
        <v/>
      </c>
      <c r="AH303" s="9" t="str">
        <f t="shared" si="164"/>
        <v/>
      </c>
      <c r="AO303" s="23"/>
    </row>
    <row r="304" spans="1:43" x14ac:dyDescent="0.25">
      <c r="A304" s="68"/>
      <c r="B304" s="68"/>
      <c r="C304" s="65"/>
      <c r="D304" s="65"/>
      <c r="E304" s="66"/>
      <c r="F304" s="65"/>
      <c r="G304" s="67"/>
      <c r="AD304" s="9" t="str">
        <f t="shared" si="144"/>
        <v/>
      </c>
      <c r="AG304" s="9" t="str">
        <f t="shared" si="163"/>
        <v/>
      </c>
      <c r="AH304" s="9" t="str">
        <f t="shared" si="164"/>
        <v/>
      </c>
      <c r="AO304" s="23"/>
    </row>
    <row r="305" spans="1:41" x14ac:dyDescent="0.25">
      <c r="A305" s="68"/>
      <c r="B305" s="68"/>
      <c r="C305" s="65"/>
      <c r="D305" s="65"/>
      <c r="E305" s="66"/>
      <c r="F305" s="65"/>
      <c r="G305" s="67"/>
      <c r="AD305" s="9" t="str">
        <f t="shared" si="144"/>
        <v/>
      </c>
      <c r="AG305" s="9" t="str">
        <f t="shared" si="163"/>
        <v/>
      </c>
      <c r="AH305" s="9" t="str">
        <f t="shared" si="164"/>
        <v/>
      </c>
      <c r="AO305" s="23"/>
    </row>
    <row r="306" spans="1:41" x14ac:dyDescent="0.25">
      <c r="A306" s="68"/>
      <c r="B306" s="68"/>
      <c r="C306" s="65"/>
      <c r="D306" s="65"/>
      <c r="E306" s="66"/>
      <c r="F306" s="65"/>
      <c r="G306" s="67"/>
      <c r="AD306" s="9" t="str">
        <f t="shared" si="144"/>
        <v/>
      </c>
      <c r="AG306" s="9" t="str">
        <f t="shared" si="163"/>
        <v/>
      </c>
      <c r="AH306" s="9" t="str">
        <f t="shared" si="164"/>
        <v/>
      </c>
      <c r="AO306" s="23"/>
    </row>
    <row r="307" spans="1:41" x14ac:dyDescent="0.25">
      <c r="A307" s="68"/>
      <c r="B307" s="68"/>
      <c r="C307" s="65"/>
      <c r="D307" s="65"/>
      <c r="E307" s="66"/>
      <c r="F307" s="65"/>
      <c r="G307" s="67"/>
      <c r="AD307" s="9" t="str">
        <f t="shared" si="144"/>
        <v/>
      </c>
      <c r="AG307" s="9" t="str">
        <f t="shared" si="163"/>
        <v/>
      </c>
      <c r="AH307" s="9" t="str">
        <f t="shared" si="164"/>
        <v/>
      </c>
      <c r="AO307" s="23"/>
    </row>
    <row r="308" spans="1:41" x14ac:dyDescent="0.25">
      <c r="A308" s="68"/>
      <c r="B308" s="68"/>
      <c r="C308" s="65"/>
      <c r="D308" s="65"/>
      <c r="E308" s="66"/>
      <c r="F308" s="65"/>
      <c r="G308" s="67"/>
      <c r="AD308" s="9" t="str">
        <f t="shared" si="144"/>
        <v/>
      </c>
      <c r="AG308" s="9" t="str">
        <f t="shared" si="163"/>
        <v/>
      </c>
      <c r="AH308" s="9" t="str">
        <f t="shared" si="164"/>
        <v/>
      </c>
      <c r="AO308" s="23"/>
    </row>
    <row r="309" spans="1:41" x14ac:dyDescent="0.25">
      <c r="A309" s="68"/>
      <c r="B309" s="68"/>
      <c r="C309" s="65"/>
      <c r="D309" s="65"/>
      <c r="E309" s="66"/>
      <c r="F309" s="65"/>
      <c r="G309" s="67"/>
      <c r="AD309" s="9" t="str">
        <f t="shared" si="144"/>
        <v/>
      </c>
      <c r="AG309" s="9" t="str">
        <f t="shared" si="163"/>
        <v/>
      </c>
      <c r="AH309" s="9" t="str">
        <f t="shared" si="164"/>
        <v/>
      </c>
      <c r="AO309" s="23"/>
    </row>
    <row r="310" spans="1:41" x14ac:dyDescent="0.25">
      <c r="A310" s="68"/>
      <c r="B310" s="68"/>
      <c r="C310" s="65"/>
      <c r="D310" s="65"/>
      <c r="E310" s="66"/>
      <c r="F310" s="65"/>
      <c r="G310" s="67"/>
      <c r="AD310" s="9" t="str">
        <f t="shared" si="144"/>
        <v/>
      </c>
      <c r="AG310" s="9" t="str">
        <f t="shared" si="163"/>
        <v/>
      </c>
      <c r="AH310" s="9" t="str">
        <f t="shared" si="164"/>
        <v/>
      </c>
    </row>
    <row r="311" spans="1:41" x14ac:dyDescent="0.25">
      <c r="A311" s="68"/>
      <c r="B311" s="68"/>
      <c r="C311" s="65"/>
      <c r="D311" s="65"/>
      <c r="E311" s="66"/>
      <c r="F311" s="65"/>
      <c r="G311" s="67"/>
      <c r="AD311" s="9" t="str">
        <f t="shared" si="144"/>
        <v/>
      </c>
      <c r="AG311" s="9" t="str">
        <f t="shared" si="163"/>
        <v/>
      </c>
    </row>
    <row r="312" spans="1:41" x14ac:dyDescent="0.25">
      <c r="A312" s="68"/>
      <c r="B312" s="68"/>
      <c r="C312" s="65"/>
      <c r="D312" s="65"/>
      <c r="E312" s="66"/>
      <c r="F312" s="65"/>
      <c r="G312" s="67"/>
      <c r="AD312" s="9" t="str">
        <f t="shared" si="144"/>
        <v/>
      </c>
      <c r="AG312" s="9" t="str">
        <f t="shared" si="163"/>
        <v/>
      </c>
    </row>
    <row r="313" spans="1:41" x14ac:dyDescent="0.25">
      <c r="A313" s="68"/>
      <c r="B313" s="68"/>
      <c r="C313" s="65"/>
      <c r="D313" s="65"/>
      <c r="E313" s="66"/>
      <c r="F313" s="65"/>
      <c r="G313" s="67"/>
      <c r="AD313" s="9" t="str">
        <f t="shared" si="144"/>
        <v/>
      </c>
      <c r="AG313" s="9" t="str">
        <f t="shared" si="163"/>
        <v/>
      </c>
    </row>
    <row r="314" spans="1:41" x14ac:dyDescent="0.25">
      <c r="A314" s="68"/>
      <c r="B314" s="68"/>
      <c r="C314" s="65"/>
      <c r="D314" s="65"/>
      <c r="E314" s="66"/>
      <c r="F314" s="65"/>
      <c r="G314" s="67"/>
      <c r="AD314" s="9" t="str">
        <f t="shared" si="144"/>
        <v/>
      </c>
      <c r="AG314" s="9" t="str">
        <f t="shared" si="163"/>
        <v/>
      </c>
    </row>
    <row r="315" spans="1:41" x14ac:dyDescent="0.25">
      <c r="A315" s="68"/>
      <c r="B315" s="68"/>
      <c r="C315" s="65"/>
      <c r="D315" s="65"/>
      <c r="E315" s="66"/>
      <c r="F315" s="65"/>
      <c r="G315" s="67"/>
      <c r="AD315" s="9" t="str">
        <f t="shared" si="144"/>
        <v/>
      </c>
      <c r="AG315" s="9" t="str">
        <f t="shared" si="163"/>
        <v/>
      </c>
    </row>
    <row r="316" spans="1:41" x14ac:dyDescent="0.25">
      <c r="A316" s="68"/>
      <c r="B316" s="68"/>
      <c r="C316" s="65"/>
      <c r="D316" s="65"/>
      <c r="E316" s="66"/>
      <c r="F316" s="65"/>
      <c r="G316" s="67"/>
      <c r="AD316" s="9" t="str">
        <f t="shared" si="144"/>
        <v/>
      </c>
      <c r="AG316" s="9" t="str">
        <f t="shared" si="163"/>
        <v/>
      </c>
    </row>
    <row r="317" spans="1:41" x14ac:dyDescent="0.25">
      <c r="A317" s="68"/>
      <c r="B317" s="68"/>
      <c r="C317" s="65"/>
      <c r="D317" s="65"/>
      <c r="E317" s="66"/>
      <c r="F317" s="65"/>
      <c r="G317" s="67"/>
      <c r="AD317" s="9" t="str">
        <f t="shared" si="144"/>
        <v/>
      </c>
      <c r="AG317" s="9" t="str">
        <f t="shared" si="163"/>
        <v/>
      </c>
    </row>
    <row r="318" spans="1:41" x14ac:dyDescent="0.25">
      <c r="A318" s="68"/>
      <c r="B318" s="68"/>
      <c r="C318" s="65"/>
      <c r="D318" s="65"/>
      <c r="E318" s="66"/>
      <c r="F318" s="65"/>
      <c r="G318" s="67"/>
      <c r="AD318" s="9" t="str">
        <f t="shared" si="144"/>
        <v/>
      </c>
      <c r="AG318" s="9" t="str">
        <f t="shared" si="163"/>
        <v/>
      </c>
    </row>
    <row r="319" spans="1:41" x14ac:dyDescent="0.25">
      <c r="A319" s="68"/>
      <c r="B319" s="68"/>
      <c r="C319" s="65"/>
      <c r="D319" s="65"/>
      <c r="E319" s="66"/>
      <c r="F319" s="65"/>
      <c r="G319" s="67"/>
      <c r="AD319" s="9" t="str">
        <f t="shared" si="144"/>
        <v/>
      </c>
      <c r="AG319" s="9" t="str">
        <f t="shared" si="163"/>
        <v/>
      </c>
    </row>
    <row r="320" spans="1:41" x14ac:dyDescent="0.25">
      <c r="A320" s="68"/>
      <c r="B320" s="68"/>
      <c r="C320" s="65"/>
      <c r="D320" s="65"/>
      <c r="E320" s="66"/>
      <c r="F320" s="65"/>
      <c r="G320" s="67"/>
      <c r="AD320" s="9" t="str">
        <f t="shared" si="144"/>
        <v/>
      </c>
      <c r="AG320" s="9" t="str">
        <f t="shared" si="163"/>
        <v/>
      </c>
    </row>
    <row r="321" spans="1:33" x14ac:dyDescent="0.25">
      <c r="A321" s="68"/>
      <c r="B321" s="68"/>
      <c r="C321" s="65"/>
      <c r="D321" s="65"/>
      <c r="E321" s="66"/>
      <c r="F321" s="65"/>
      <c r="G321" s="67"/>
      <c r="AD321" s="9" t="str">
        <f t="shared" si="144"/>
        <v/>
      </c>
      <c r="AG321" s="9" t="str">
        <f t="shared" si="163"/>
        <v/>
      </c>
    </row>
    <row r="322" spans="1:33" x14ac:dyDescent="0.25">
      <c r="A322" s="68"/>
      <c r="B322" s="68"/>
      <c r="C322" s="65"/>
      <c r="D322" s="65"/>
      <c r="E322" s="66"/>
      <c r="F322" s="65"/>
      <c r="G322" s="67"/>
      <c r="AD322" s="9" t="str">
        <f t="shared" ref="AD322:AD385" si="165">IF(AC322="","",C317)</f>
        <v/>
      </c>
      <c r="AG322" s="9" t="str">
        <f t="shared" si="163"/>
        <v/>
      </c>
    </row>
    <row r="323" spans="1:33" x14ac:dyDescent="0.25">
      <c r="A323" s="68"/>
      <c r="B323" s="68"/>
      <c r="C323" s="65"/>
      <c r="D323" s="65"/>
      <c r="E323" s="66"/>
      <c r="F323" s="65"/>
      <c r="G323" s="67"/>
      <c r="AD323" s="9" t="str">
        <f t="shared" si="165"/>
        <v/>
      </c>
      <c r="AG323" s="9" t="str">
        <f t="shared" si="163"/>
        <v/>
      </c>
    </row>
    <row r="324" spans="1:33" x14ac:dyDescent="0.25">
      <c r="A324" s="68"/>
      <c r="B324" s="68"/>
      <c r="C324" s="65"/>
      <c r="D324" s="65"/>
      <c r="E324" s="66"/>
      <c r="F324" s="65"/>
      <c r="G324" s="67"/>
      <c r="AD324" s="9" t="str">
        <f t="shared" si="165"/>
        <v/>
      </c>
      <c r="AG324" s="9" t="str">
        <f t="shared" si="163"/>
        <v/>
      </c>
    </row>
    <row r="325" spans="1:33" x14ac:dyDescent="0.25">
      <c r="A325" s="68"/>
      <c r="B325" s="68"/>
      <c r="C325" s="65"/>
      <c r="D325" s="65"/>
      <c r="E325" s="66"/>
      <c r="F325" s="65"/>
      <c r="G325" s="67"/>
      <c r="AD325" s="9" t="str">
        <f t="shared" si="165"/>
        <v/>
      </c>
      <c r="AG325" s="9" t="str">
        <f t="shared" si="163"/>
        <v/>
      </c>
    </row>
    <row r="326" spans="1:33" x14ac:dyDescent="0.25">
      <c r="A326" s="68"/>
      <c r="B326" s="68"/>
      <c r="C326" s="65"/>
      <c r="D326" s="65"/>
      <c r="E326" s="66"/>
      <c r="F326" s="65"/>
      <c r="G326" s="67"/>
      <c r="AD326" s="9" t="str">
        <f t="shared" si="165"/>
        <v/>
      </c>
      <c r="AG326" s="9" t="str">
        <f t="shared" si="163"/>
        <v/>
      </c>
    </row>
    <row r="327" spans="1:33" x14ac:dyDescent="0.25">
      <c r="A327" s="68"/>
      <c r="B327" s="68"/>
      <c r="C327" s="65"/>
      <c r="D327" s="65"/>
      <c r="E327" s="66"/>
      <c r="F327" s="65"/>
      <c r="G327" s="67"/>
      <c r="AD327" s="9" t="str">
        <f t="shared" si="165"/>
        <v/>
      </c>
      <c r="AG327" s="9" t="str">
        <f t="shared" si="163"/>
        <v/>
      </c>
    </row>
    <row r="328" spans="1:33" x14ac:dyDescent="0.25">
      <c r="A328" s="68"/>
      <c r="B328" s="68"/>
      <c r="C328" s="65"/>
      <c r="D328" s="65"/>
      <c r="E328" s="66"/>
      <c r="F328" s="65"/>
      <c r="G328" s="67"/>
      <c r="AD328" s="9" t="str">
        <f t="shared" si="165"/>
        <v/>
      </c>
      <c r="AG328" s="9" t="str">
        <f t="shared" si="163"/>
        <v/>
      </c>
    </row>
    <row r="329" spans="1:33" x14ac:dyDescent="0.25">
      <c r="A329" s="68"/>
      <c r="B329" s="68"/>
      <c r="C329" s="65"/>
      <c r="D329" s="65"/>
      <c r="E329" s="66"/>
      <c r="F329" s="65"/>
      <c r="G329" s="67"/>
      <c r="AD329" s="9" t="str">
        <f t="shared" si="165"/>
        <v/>
      </c>
      <c r="AG329" s="9" t="str">
        <f t="shared" si="163"/>
        <v/>
      </c>
    </row>
    <row r="330" spans="1:33" x14ac:dyDescent="0.25">
      <c r="A330" s="68"/>
      <c r="B330" s="68"/>
      <c r="C330" s="65"/>
      <c r="D330" s="65"/>
      <c r="E330" s="66"/>
      <c r="F330" s="65"/>
      <c r="G330" s="67"/>
      <c r="AD330" s="9" t="str">
        <f t="shared" si="165"/>
        <v/>
      </c>
      <c r="AG330" s="9" t="str">
        <f t="shared" si="163"/>
        <v/>
      </c>
    </row>
    <row r="331" spans="1:33" x14ac:dyDescent="0.25">
      <c r="A331" s="68"/>
      <c r="B331" s="68"/>
      <c r="C331" s="65"/>
      <c r="D331" s="65"/>
      <c r="E331" s="66"/>
      <c r="F331" s="65"/>
      <c r="G331" s="67"/>
      <c r="AD331" s="9" t="str">
        <f t="shared" si="165"/>
        <v/>
      </c>
      <c r="AG331" s="9" t="str">
        <f t="shared" si="163"/>
        <v/>
      </c>
    </row>
    <row r="332" spans="1:33" x14ac:dyDescent="0.25">
      <c r="A332" s="68"/>
      <c r="B332" s="68"/>
      <c r="C332" s="65"/>
      <c r="D332" s="65"/>
      <c r="E332" s="66"/>
      <c r="F332" s="65"/>
      <c r="G332" s="67"/>
      <c r="AD332" s="9" t="str">
        <f t="shared" si="165"/>
        <v/>
      </c>
      <c r="AG332" s="9" t="str">
        <f t="shared" si="163"/>
        <v/>
      </c>
    </row>
    <row r="333" spans="1:33" x14ac:dyDescent="0.25">
      <c r="A333" s="68"/>
      <c r="B333" s="68"/>
      <c r="C333" s="65"/>
      <c r="D333" s="65"/>
      <c r="E333" s="66"/>
      <c r="F333" s="65"/>
      <c r="G333" s="67"/>
      <c r="AD333" s="9" t="str">
        <f t="shared" si="165"/>
        <v/>
      </c>
      <c r="AG333" s="9" t="str">
        <f t="shared" si="163"/>
        <v/>
      </c>
    </row>
    <row r="334" spans="1:33" x14ac:dyDescent="0.25">
      <c r="A334" s="68"/>
      <c r="B334" s="68"/>
      <c r="C334" s="65"/>
      <c r="D334" s="65"/>
      <c r="E334" s="66"/>
      <c r="F334" s="65"/>
      <c r="G334" s="67"/>
      <c r="AD334" s="9" t="str">
        <f t="shared" si="165"/>
        <v/>
      </c>
      <c r="AG334" s="9" t="str">
        <f t="shared" si="163"/>
        <v/>
      </c>
    </row>
    <row r="335" spans="1:33" x14ac:dyDescent="0.25">
      <c r="A335" s="68"/>
      <c r="B335" s="68"/>
      <c r="C335" s="65"/>
      <c r="D335" s="65"/>
      <c r="E335" s="66"/>
      <c r="F335" s="65"/>
      <c r="G335" s="67"/>
      <c r="AD335" s="9" t="str">
        <f t="shared" si="165"/>
        <v/>
      </c>
      <c r="AG335" s="9" t="str">
        <f t="shared" si="163"/>
        <v/>
      </c>
    </row>
    <row r="336" spans="1:33" x14ac:dyDescent="0.25">
      <c r="A336" s="68"/>
      <c r="B336" s="68"/>
      <c r="C336" s="65"/>
      <c r="D336" s="65"/>
      <c r="E336" s="66"/>
      <c r="F336" s="65"/>
      <c r="G336" s="67"/>
      <c r="AD336" s="9" t="str">
        <f t="shared" si="165"/>
        <v/>
      </c>
      <c r="AG336" s="9" t="str">
        <f t="shared" si="163"/>
        <v/>
      </c>
    </row>
    <row r="337" spans="1:33" x14ac:dyDescent="0.25">
      <c r="A337" s="68"/>
      <c r="B337" s="68"/>
      <c r="C337" s="65"/>
      <c r="D337" s="65"/>
      <c r="E337" s="66"/>
      <c r="F337" s="65"/>
      <c r="G337" s="67"/>
      <c r="AD337" s="9" t="str">
        <f t="shared" si="165"/>
        <v/>
      </c>
      <c r="AG337" s="9" t="str">
        <f t="shared" si="163"/>
        <v/>
      </c>
    </row>
    <row r="338" spans="1:33" x14ac:dyDescent="0.25">
      <c r="A338" s="68"/>
      <c r="B338" s="68"/>
      <c r="C338" s="65"/>
      <c r="D338" s="65"/>
      <c r="E338" s="66"/>
      <c r="F338" s="65"/>
      <c r="G338" s="67"/>
      <c r="AD338" s="9" t="str">
        <f t="shared" si="165"/>
        <v/>
      </c>
      <c r="AG338" s="9" t="str">
        <f t="shared" si="163"/>
        <v/>
      </c>
    </row>
    <row r="339" spans="1:33" x14ac:dyDescent="0.25">
      <c r="A339" s="68"/>
      <c r="B339" s="68"/>
      <c r="C339" s="65"/>
      <c r="D339" s="65"/>
      <c r="E339" s="66"/>
      <c r="F339" s="65"/>
      <c r="G339" s="67"/>
      <c r="AD339" s="9" t="str">
        <f t="shared" si="165"/>
        <v/>
      </c>
      <c r="AG339" s="9" t="str">
        <f t="shared" si="163"/>
        <v/>
      </c>
    </row>
    <row r="340" spans="1:33" x14ac:dyDescent="0.25">
      <c r="A340" s="68"/>
      <c r="B340" s="68"/>
      <c r="C340" s="65"/>
      <c r="D340" s="65"/>
      <c r="E340" s="66"/>
      <c r="F340" s="65"/>
      <c r="G340" s="67"/>
      <c r="AD340" s="9" t="str">
        <f t="shared" si="165"/>
        <v/>
      </c>
      <c r="AG340" s="9" t="str">
        <f t="shared" si="163"/>
        <v/>
      </c>
    </row>
    <row r="341" spans="1:33" x14ac:dyDescent="0.25">
      <c r="A341" s="68"/>
      <c r="B341" s="68"/>
      <c r="C341" s="65"/>
      <c r="D341" s="65"/>
      <c r="E341" s="66"/>
      <c r="F341" s="65"/>
      <c r="G341" s="67"/>
      <c r="AD341" s="9" t="str">
        <f t="shared" si="165"/>
        <v/>
      </c>
      <c r="AG341" s="9" t="str">
        <f t="shared" si="163"/>
        <v/>
      </c>
    </row>
    <row r="342" spans="1:33" x14ac:dyDescent="0.25">
      <c r="A342" s="68"/>
      <c r="B342" s="68"/>
      <c r="C342" s="65"/>
      <c r="D342" s="65"/>
      <c r="E342" s="66"/>
      <c r="F342" s="65"/>
      <c r="G342" s="67"/>
      <c r="AD342" s="9" t="str">
        <f t="shared" si="165"/>
        <v/>
      </c>
      <c r="AG342" s="9" t="str">
        <f t="shared" si="163"/>
        <v/>
      </c>
    </row>
    <row r="343" spans="1:33" x14ac:dyDescent="0.25">
      <c r="A343" s="68"/>
      <c r="B343" s="68"/>
      <c r="C343" s="65"/>
      <c r="D343" s="65"/>
      <c r="E343" s="66"/>
      <c r="F343" s="65"/>
      <c r="G343" s="67"/>
      <c r="AD343" s="9" t="str">
        <f t="shared" si="165"/>
        <v/>
      </c>
      <c r="AG343" s="9" t="str">
        <f t="shared" si="163"/>
        <v/>
      </c>
    </row>
    <row r="344" spans="1:33" x14ac:dyDescent="0.25">
      <c r="A344" s="68"/>
      <c r="B344" s="68"/>
      <c r="C344" s="65"/>
      <c r="D344" s="65"/>
      <c r="E344" s="66"/>
      <c r="F344" s="65"/>
      <c r="G344" s="67"/>
      <c r="AD344" s="9" t="str">
        <f t="shared" si="165"/>
        <v/>
      </c>
      <c r="AG344" s="9" t="str">
        <f t="shared" si="163"/>
        <v/>
      </c>
    </row>
    <row r="345" spans="1:33" x14ac:dyDescent="0.25">
      <c r="A345" s="68"/>
      <c r="B345" s="68"/>
      <c r="C345" s="65"/>
      <c r="D345" s="65"/>
      <c r="E345" s="66"/>
      <c r="F345" s="65"/>
      <c r="G345" s="67"/>
      <c r="AD345" s="9" t="str">
        <f t="shared" si="165"/>
        <v/>
      </c>
      <c r="AG345" s="9" t="str">
        <f t="shared" si="163"/>
        <v/>
      </c>
    </row>
    <row r="346" spans="1:33" x14ac:dyDescent="0.25">
      <c r="A346" s="68"/>
      <c r="B346" s="68"/>
      <c r="C346" s="65"/>
      <c r="D346" s="65"/>
      <c r="E346" s="66"/>
      <c r="F346" s="65"/>
      <c r="G346" s="67"/>
      <c r="AD346" s="9" t="str">
        <f t="shared" si="165"/>
        <v/>
      </c>
      <c r="AG346" s="9" t="str">
        <f t="shared" si="163"/>
        <v/>
      </c>
    </row>
    <row r="347" spans="1:33" x14ac:dyDescent="0.25">
      <c r="A347" s="68"/>
      <c r="B347" s="68"/>
      <c r="C347" s="65"/>
      <c r="D347" s="65"/>
      <c r="E347" s="66"/>
      <c r="F347" s="65"/>
      <c r="G347" s="67"/>
      <c r="AD347" s="9" t="str">
        <f t="shared" si="165"/>
        <v/>
      </c>
      <c r="AG347" s="9" t="str">
        <f t="shared" si="163"/>
        <v/>
      </c>
    </row>
    <row r="348" spans="1:33" x14ac:dyDescent="0.25">
      <c r="A348" s="68"/>
      <c r="B348" s="68"/>
      <c r="C348" s="65"/>
      <c r="D348" s="65"/>
      <c r="E348" s="66"/>
      <c r="F348" s="65"/>
      <c r="G348" s="67"/>
      <c r="AD348" s="9" t="str">
        <f t="shared" si="165"/>
        <v/>
      </c>
      <c r="AG348" s="9" t="str">
        <f t="shared" si="163"/>
        <v/>
      </c>
    </row>
    <row r="349" spans="1:33" x14ac:dyDescent="0.25">
      <c r="A349" s="68"/>
      <c r="B349" s="68"/>
      <c r="C349" s="65"/>
      <c r="D349" s="65"/>
      <c r="E349" s="66"/>
      <c r="F349" s="65"/>
      <c r="G349" s="67"/>
      <c r="AD349" s="9" t="str">
        <f t="shared" si="165"/>
        <v/>
      </c>
      <c r="AG349" s="9" t="str">
        <f t="shared" si="163"/>
        <v/>
      </c>
    </row>
    <row r="350" spans="1:33" x14ac:dyDescent="0.25">
      <c r="AD350" s="9" t="str">
        <f t="shared" si="165"/>
        <v/>
      </c>
      <c r="AG350" s="9" t="str">
        <f t="shared" si="163"/>
        <v/>
      </c>
    </row>
    <row r="351" spans="1:33" x14ac:dyDescent="0.25">
      <c r="AD351" s="9" t="str">
        <f t="shared" si="165"/>
        <v/>
      </c>
      <c r="AG351" s="9" t="str">
        <f>IF(AF351="","",IF(AF351&lt;365,AF351*AC$25*AD351,365*AD351*AC$25))</f>
        <v/>
      </c>
    </row>
    <row r="352" spans="1:33" x14ac:dyDescent="0.25">
      <c r="AD352" s="9" t="str">
        <f t="shared" si="165"/>
        <v/>
      </c>
      <c r="AG352" s="9" t="str">
        <f>IF(AF352="","",IF(AF352&lt;365,AF352*AC$25*AD352,365*AD352*AC$25))</f>
        <v/>
      </c>
    </row>
    <row r="353" spans="30:33" x14ac:dyDescent="0.25">
      <c r="AD353" s="9" t="str">
        <f t="shared" si="165"/>
        <v/>
      </c>
      <c r="AG353" s="9" t="str">
        <f>IF(AF353="","",IF(AF353&lt;365,AF353*AC$25*AD353,365*AD353*AC$25))</f>
        <v/>
      </c>
    </row>
    <row r="354" spans="30:33" x14ac:dyDescent="0.25">
      <c r="AD354" s="9" t="str">
        <f t="shared" si="165"/>
        <v/>
      </c>
      <c r="AG354" s="9"/>
    </row>
    <row r="355" spans="30:33" x14ac:dyDescent="0.25">
      <c r="AD355" s="9" t="str">
        <f t="shared" si="165"/>
        <v/>
      </c>
      <c r="AG355" s="9"/>
    </row>
    <row r="356" spans="30:33" x14ac:dyDescent="0.25">
      <c r="AD356" s="9" t="str">
        <f t="shared" si="165"/>
        <v/>
      </c>
      <c r="AG356" s="9"/>
    </row>
    <row r="357" spans="30:33" x14ac:dyDescent="0.25">
      <c r="AD357" s="9" t="str">
        <f t="shared" si="165"/>
        <v/>
      </c>
      <c r="AG357" s="9"/>
    </row>
    <row r="358" spans="30:33" x14ac:dyDescent="0.25">
      <c r="AD358" s="9" t="str">
        <f t="shared" si="165"/>
        <v/>
      </c>
      <c r="AG358" s="9"/>
    </row>
    <row r="359" spans="30:33" x14ac:dyDescent="0.25">
      <c r="AD359" s="9" t="str">
        <f t="shared" si="165"/>
        <v/>
      </c>
      <c r="AG359" s="9"/>
    </row>
    <row r="360" spans="30:33" x14ac:dyDescent="0.25">
      <c r="AD360" s="9" t="str">
        <f t="shared" si="165"/>
        <v/>
      </c>
      <c r="AG360" s="9"/>
    </row>
    <row r="361" spans="30:33" x14ac:dyDescent="0.25">
      <c r="AD361" s="9" t="str">
        <f t="shared" si="165"/>
        <v/>
      </c>
      <c r="AG361" s="9"/>
    </row>
    <row r="362" spans="30:33" x14ac:dyDescent="0.25">
      <c r="AD362" s="9" t="str">
        <f t="shared" si="165"/>
        <v/>
      </c>
      <c r="AG362" s="9"/>
    </row>
    <row r="363" spans="30:33" x14ac:dyDescent="0.25">
      <c r="AD363" s="9" t="str">
        <f t="shared" si="165"/>
        <v/>
      </c>
      <c r="AG363" s="9"/>
    </row>
    <row r="364" spans="30:33" x14ac:dyDescent="0.25">
      <c r="AD364" s="9" t="str">
        <f t="shared" si="165"/>
        <v/>
      </c>
      <c r="AG364" s="9"/>
    </row>
    <row r="365" spans="30:33" x14ac:dyDescent="0.25">
      <c r="AD365" s="9" t="str">
        <f t="shared" si="165"/>
        <v/>
      </c>
      <c r="AG365" s="9"/>
    </row>
    <row r="366" spans="30:33" x14ac:dyDescent="0.25">
      <c r="AD366" s="9" t="str">
        <f t="shared" si="165"/>
        <v/>
      </c>
      <c r="AG366" s="9"/>
    </row>
    <row r="367" spans="30:33" x14ac:dyDescent="0.25">
      <c r="AD367" s="9" t="str">
        <f t="shared" si="165"/>
        <v/>
      </c>
      <c r="AG367" s="9"/>
    </row>
    <row r="368" spans="30:33" x14ac:dyDescent="0.25">
      <c r="AD368" s="9" t="str">
        <f t="shared" si="165"/>
        <v/>
      </c>
      <c r="AG368" s="9"/>
    </row>
    <row r="369" spans="30:33" x14ac:dyDescent="0.25">
      <c r="AD369" s="9" t="str">
        <f t="shared" si="165"/>
        <v/>
      </c>
      <c r="AG369" s="9"/>
    </row>
    <row r="370" spans="30:33" x14ac:dyDescent="0.25">
      <c r="AD370" s="9" t="str">
        <f t="shared" si="165"/>
        <v/>
      </c>
      <c r="AG370" s="9"/>
    </row>
    <row r="371" spans="30:33" x14ac:dyDescent="0.25">
      <c r="AD371" s="9" t="str">
        <f t="shared" si="165"/>
        <v/>
      </c>
      <c r="AG371" s="9"/>
    </row>
    <row r="372" spans="30:33" x14ac:dyDescent="0.25">
      <c r="AD372" s="9" t="str">
        <f t="shared" si="165"/>
        <v/>
      </c>
      <c r="AG372" s="9"/>
    </row>
    <row r="373" spans="30:33" x14ac:dyDescent="0.25">
      <c r="AD373" s="9" t="str">
        <f t="shared" si="165"/>
        <v/>
      </c>
      <c r="AG373" s="9"/>
    </row>
    <row r="374" spans="30:33" x14ac:dyDescent="0.25">
      <c r="AD374" s="9" t="str">
        <f t="shared" si="165"/>
        <v/>
      </c>
      <c r="AG374" s="9"/>
    </row>
    <row r="375" spans="30:33" x14ac:dyDescent="0.25">
      <c r="AD375" s="9" t="str">
        <f t="shared" si="165"/>
        <v/>
      </c>
      <c r="AG375" s="9"/>
    </row>
    <row r="376" spans="30:33" x14ac:dyDescent="0.25">
      <c r="AD376" s="9" t="str">
        <f t="shared" si="165"/>
        <v/>
      </c>
      <c r="AG376" s="9"/>
    </row>
    <row r="377" spans="30:33" x14ac:dyDescent="0.25">
      <c r="AD377" s="9" t="str">
        <f t="shared" si="165"/>
        <v/>
      </c>
      <c r="AG377" s="9"/>
    </row>
    <row r="378" spans="30:33" x14ac:dyDescent="0.25">
      <c r="AD378" s="9" t="str">
        <f t="shared" si="165"/>
        <v/>
      </c>
      <c r="AG378" s="9"/>
    </row>
    <row r="379" spans="30:33" x14ac:dyDescent="0.25">
      <c r="AD379" s="9" t="str">
        <f t="shared" si="165"/>
        <v/>
      </c>
      <c r="AG379" s="9"/>
    </row>
    <row r="380" spans="30:33" x14ac:dyDescent="0.25">
      <c r="AD380" s="9" t="str">
        <f t="shared" si="165"/>
        <v/>
      </c>
      <c r="AG380" s="9"/>
    </row>
    <row r="381" spans="30:33" x14ac:dyDescent="0.25">
      <c r="AD381" s="9" t="str">
        <f t="shared" si="165"/>
        <v/>
      </c>
      <c r="AG381" s="9"/>
    </row>
    <row r="382" spans="30:33" x14ac:dyDescent="0.25">
      <c r="AD382" s="9" t="str">
        <f t="shared" si="165"/>
        <v/>
      </c>
      <c r="AG382" s="9"/>
    </row>
    <row r="383" spans="30:33" x14ac:dyDescent="0.25">
      <c r="AD383" s="9" t="str">
        <f t="shared" si="165"/>
        <v/>
      </c>
      <c r="AG383" s="9"/>
    </row>
    <row r="384" spans="30:33" x14ac:dyDescent="0.25">
      <c r="AD384" s="9" t="str">
        <f t="shared" si="165"/>
        <v/>
      </c>
      <c r="AG384" s="9"/>
    </row>
    <row r="385" spans="30:33" x14ac:dyDescent="0.25">
      <c r="AD385" s="9" t="str">
        <f t="shared" si="165"/>
        <v/>
      </c>
      <c r="AG385" s="9"/>
    </row>
    <row r="386" spans="30:33" x14ac:dyDescent="0.25">
      <c r="AD386" s="9" t="str">
        <f t="shared" ref="AD386:AD420" si="166">IF(AC386="","",C381)</f>
        <v/>
      </c>
      <c r="AG386" s="9"/>
    </row>
    <row r="387" spans="30:33" x14ac:dyDescent="0.25">
      <c r="AD387" s="9" t="str">
        <f t="shared" si="166"/>
        <v/>
      </c>
      <c r="AG387" s="9"/>
    </row>
    <row r="388" spans="30:33" x14ac:dyDescent="0.25">
      <c r="AD388" s="9" t="str">
        <f t="shared" si="166"/>
        <v/>
      </c>
      <c r="AG388" s="9"/>
    </row>
    <row r="389" spans="30:33" x14ac:dyDescent="0.25">
      <c r="AD389" s="9" t="str">
        <f t="shared" si="166"/>
        <v/>
      </c>
      <c r="AG389" s="9"/>
    </row>
    <row r="390" spans="30:33" x14ac:dyDescent="0.25">
      <c r="AD390" s="9" t="str">
        <f t="shared" si="166"/>
        <v/>
      </c>
      <c r="AG390" s="9"/>
    </row>
    <row r="391" spans="30:33" x14ac:dyDescent="0.25">
      <c r="AD391" s="9" t="str">
        <f t="shared" si="166"/>
        <v/>
      </c>
      <c r="AG391" s="9"/>
    </row>
    <row r="392" spans="30:33" x14ac:dyDescent="0.25">
      <c r="AD392" s="9" t="str">
        <f t="shared" si="166"/>
        <v/>
      </c>
      <c r="AG392" s="9"/>
    </row>
    <row r="393" spans="30:33" x14ac:dyDescent="0.25">
      <c r="AD393" s="9" t="str">
        <f t="shared" si="166"/>
        <v/>
      </c>
      <c r="AG393" s="9"/>
    </row>
    <row r="394" spans="30:33" x14ac:dyDescent="0.25">
      <c r="AD394" s="9" t="str">
        <f t="shared" si="166"/>
        <v/>
      </c>
      <c r="AG394" s="9"/>
    </row>
    <row r="395" spans="30:33" x14ac:dyDescent="0.25">
      <c r="AD395" s="9" t="str">
        <f t="shared" si="166"/>
        <v/>
      </c>
      <c r="AG395" s="9"/>
    </row>
    <row r="396" spans="30:33" x14ac:dyDescent="0.25">
      <c r="AD396" s="9" t="str">
        <f t="shared" si="166"/>
        <v/>
      </c>
      <c r="AG396" s="9"/>
    </row>
    <row r="397" spans="30:33" x14ac:dyDescent="0.25">
      <c r="AD397" s="9" t="str">
        <f t="shared" si="166"/>
        <v/>
      </c>
      <c r="AG397" s="9"/>
    </row>
    <row r="398" spans="30:33" x14ac:dyDescent="0.25">
      <c r="AD398" s="9" t="str">
        <f t="shared" si="166"/>
        <v/>
      </c>
      <c r="AG398" s="9"/>
    </row>
    <row r="399" spans="30:33" x14ac:dyDescent="0.25">
      <c r="AD399" s="9" t="str">
        <f t="shared" si="166"/>
        <v/>
      </c>
      <c r="AG399" s="9"/>
    </row>
    <row r="400" spans="30:33" x14ac:dyDescent="0.25">
      <c r="AD400" s="9" t="str">
        <f t="shared" si="166"/>
        <v/>
      </c>
      <c r="AG400" s="9"/>
    </row>
    <row r="401" spans="30:33" x14ac:dyDescent="0.25">
      <c r="AD401" s="9" t="str">
        <f t="shared" si="166"/>
        <v/>
      </c>
      <c r="AG401" s="9"/>
    </row>
    <row r="402" spans="30:33" x14ac:dyDescent="0.25">
      <c r="AD402" s="9" t="str">
        <f t="shared" si="166"/>
        <v/>
      </c>
      <c r="AG402" s="9"/>
    </row>
    <row r="403" spans="30:33" x14ac:dyDescent="0.25">
      <c r="AD403" s="9" t="str">
        <f t="shared" si="166"/>
        <v/>
      </c>
      <c r="AG403" s="9"/>
    </row>
    <row r="404" spans="30:33" x14ac:dyDescent="0.25">
      <c r="AD404" s="9" t="str">
        <f t="shared" si="166"/>
        <v/>
      </c>
      <c r="AG404" s="9"/>
    </row>
    <row r="405" spans="30:33" x14ac:dyDescent="0.25">
      <c r="AD405" s="9" t="str">
        <f t="shared" si="166"/>
        <v/>
      </c>
      <c r="AG405" s="9"/>
    </row>
    <row r="406" spans="30:33" x14ac:dyDescent="0.25">
      <c r="AD406" s="9" t="str">
        <f t="shared" si="166"/>
        <v/>
      </c>
      <c r="AG406" s="9"/>
    </row>
    <row r="407" spans="30:33" x14ac:dyDescent="0.25">
      <c r="AD407" s="9" t="str">
        <f t="shared" si="166"/>
        <v/>
      </c>
      <c r="AG407" s="9"/>
    </row>
    <row r="408" spans="30:33" x14ac:dyDescent="0.25">
      <c r="AD408" s="9" t="str">
        <f t="shared" si="166"/>
        <v/>
      </c>
      <c r="AG408" s="9"/>
    </row>
    <row r="409" spans="30:33" x14ac:dyDescent="0.25">
      <c r="AD409" s="9" t="str">
        <f t="shared" si="166"/>
        <v/>
      </c>
      <c r="AG409" s="9"/>
    </row>
    <row r="410" spans="30:33" x14ac:dyDescent="0.25">
      <c r="AD410" s="9" t="str">
        <f t="shared" si="166"/>
        <v/>
      </c>
      <c r="AG410" s="9"/>
    </row>
    <row r="411" spans="30:33" x14ac:dyDescent="0.25">
      <c r="AD411" s="9" t="str">
        <f t="shared" si="166"/>
        <v/>
      </c>
      <c r="AG411" s="9"/>
    </row>
    <row r="412" spans="30:33" x14ac:dyDescent="0.25">
      <c r="AD412" s="9" t="str">
        <f t="shared" si="166"/>
        <v/>
      </c>
      <c r="AG412" s="9"/>
    </row>
    <row r="413" spans="30:33" x14ac:dyDescent="0.25">
      <c r="AD413" s="9" t="str">
        <f t="shared" si="166"/>
        <v/>
      </c>
      <c r="AG413" s="9"/>
    </row>
    <row r="414" spans="30:33" x14ac:dyDescent="0.25">
      <c r="AD414" s="9" t="str">
        <f t="shared" si="166"/>
        <v/>
      </c>
      <c r="AG414" s="9"/>
    </row>
    <row r="415" spans="30:33" x14ac:dyDescent="0.25">
      <c r="AD415" s="9" t="str">
        <f t="shared" si="166"/>
        <v/>
      </c>
      <c r="AG415" s="9"/>
    </row>
    <row r="416" spans="30:33" x14ac:dyDescent="0.25">
      <c r="AD416" s="9" t="str">
        <f t="shared" si="166"/>
        <v/>
      </c>
      <c r="AG416" s="9"/>
    </row>
    <row r="417" spans="30:33" x14ac:dyDescent="0.25">
      <c r="AD417" s="9" t="str">
        <f t="shared" si="166"/>
        <v/>
      </c>
      <c r="AG417" s="9"/>
    </row>
    <row r="418" spans="30:33" x14ac:dyDescent="0.25">
      <c r="AD418" s="9" t="str">
        <f t="shared" si="166"/>
        <v/>
      </c>
      <c r="AG418" s="9"/>
    </row>
    <row r="419" spans="30:33" x14ac:dyDescent="0.25">
      <c r="AD419" s="9" t="str">
        <f t="shared" si="166"/>
        <v/>
      </c>
      <c r="AG419" s="9"/>
    </row>
    <row r="420" spans="30:33" x14ac:dyDescent="0.25">
      <c r="AD420" s="9" t="str">
        <f t="shared" si="166"/>
        <v/>
      </c>
      <c r="AG420" s="9"/>
    </row>
    <row r="421" spans="30:33" x14ac:dyDescent="0.25">
      <c r="AG421" s="9"/>
    </row>
    <row r="422" spans="30:33" x14ac:dyDescent="0.25">
      <c r="AG422" s="9"/>
    </row>
    <row r="423" spans="30:33" x14ac:dyDescent="0.25">
      <c r="AG423" s="9"/>
    </row>
    <row r="424" spans="30:33" x14ac:dyDescent="0.25">
      <c r="AG424" s="9"/>
    </row>
    <row r="425" spans="30:33" x14ac:dyDescent="0.25">
      <c r="AG425" s="9"/>
    </row>
    <row r="426" spans="30:33" x14ac:dyDescent="0.25">
      <c r="AG426" s="9"/>
    </row>
    <row r="427" spans="30:33" x14ac:dyDescent="0.25">
      <c r="AG427" s="9"/>
    </row>
    <row r="428" spans="30:33" x14ac:dyDescent="0.25">
      <c r="AG428" s="9" t="str">
        <f t="shared" ref="AG428:AG434" si="167">IF(AF428="","",AF428*AC$25*AD428)</f>
        <v/>
      </c>
    </row>
    <row r="429" spans="30:33" x14ac:dyDescent="0.25">
      <c r="AG429" s="9" t="str">
        <f t="shared" si="167"/>
        <v/>
      </c>
    </row>
    <row r="430" spans="30:33" x14ac:dyDescent="0.25">
      <c r="AG430" s="9" t="str">
        <f t="shared" si="167"/>
        <v/>
      </c>
    </row>
    <row r="431" spans="30:33" x14ac:dyDescent="0.25">
      <c r="AG431" s="9" t="str">
        <f t="shared" si="167"/>
        <v/>
      </c>
    </row>
    <row r="432" spans="30:33" x14ac:dyDescent="0.25">
      <c r="AG432" s="9" t="str">
        <f t="shared" si="167"/>
        <v/>
      </c>
    </row>
    <row r="433" spans="33:33" x14ac:dyDescent="0.25">
      <c r="AG433" s="9" t="str">
        <f t="shared" si="167"/>
        <v/>
      </c>
    </row>
    <row r="434" spans="33:33" x14ac:dyDescent="0.25">
      <c r="AG434" s="9" t="str">
        <f t="shared" si="167"/>
        <v/>
      </c>
    </row>
    <row r="435" spans="33:33" x14ac:dyDescent="0.25">
      <c r="AG435" s="9" t="str">
        <f>IF(AF435="","",AF435*AC$25*AD435)</f>
        <v/>
      </c>
    </row>
    <row r="436" spans="33:33" x14ac:dyDescent="0.25">
      <c r="AG436" s="9" t="str">
        <f>IF(AF436="","",AF436*AC$25*AD436)</f>
        <v/>
      </c>
    </row>
    <row r="437" spans="33:33" x14ac:dyDescent="0.25">
      <c r="AG437" s="9" t="str">
        <f>IF(AF437="","",AF437*AC$25*AD437)</f>
        <v/>
      </c>
    </row>
  </sheetData>
  <sheetProtection algorithmName="SHA-512" hashValue="Eyt1knWZT4Mdti+z2g/6tetoqq/PmgCyOjsLvO4GPI6uDAFAzTsLhO6dZtY76MfsgY7+lprv9Fp9G09zieNJgw==" saltValue="VlmN4K+cAkaFnu+SCiCXYw==" spinCount="100000" sheet="1" objects="1" scenarios="1"/>
  <protectedRanges>
    <protectedRange password="C474" sqref="D19" name="Intervalo1"/>
  </protectedRanges>
  <mergeCells count="9">
    <mergeCell ref="A20:G20"/>
    <mergeCell ref="E21:E22"/>
    <mergeCell ref="AB21:AG23"/>
    <mergeCell ref="A22:B22"/>
    <mergeCell ref="A1:G1"/>
    <mergeCell ref="A2:G2"/>
    <mergeCell ref="A3:G3"/>
    <mergeCell ref="A14:G14"/>
    <mergeCell ref="A18:G18"/>
  </mergeCells>
  <conditionalFormatting sqref="A24:B303 A304:G349 H24:AI24 A23:G23">
    <cfRule type="notContainsBlanks" dxfId="12" priority="12" stopIfTrue="1">
      <formula>LEN(TRIM(A23))&gt;0</formula>
    </cfRule>
  </conditionalFormatting>
  <conditionalFormatting sqref="A84:B84 A86:B86 A88:B88 A90:B90 A92:B92 A94:B94 A96:B96 A98:B98 A100:B100 A102:B102 A104:B104 A106:B106 A108:B108 A110:B110 A112:B112 A114:B114 A116:B116 A118:B118 A120:B120 A122:B122 A124:B124 A126:B126 A128:B128 A130:B130 A132:B132 A134:B134 A136:B136 A138:B138 A140:B140 A142:B142 A144:B144 A146:B146 A148:B148 A150:B150 A152:B152 A154:B154 A156:B156 A158:B158 A160:B160 A162:B162 A164:B164 A166:B166 A168:B168 A170:B170 A172:B172 A174:B174 A176:B176 A178:B178 A180:B180 A182:B182 A184:B184 A186:B186 A188:B188 A190:B190 A192:B192 A194:B194 A196:B196 A198:B198 A200:B200 A202:B202 A204:B204 A206:B206 A208:B208 A210:B210 A212:B212 A214:B214 A216:B216 A218:B218 A220:B220 A222:B222 A224:B224 A226:B226 A228:B228 A230:B230 A232:B232 A234:B234 A236:B236 A238:B238 A240:B240 A242:B242 A244:B244 A246:B246 A248:B248 A250:B250 A252:B252 A254:B254 A256:B256 A258:B258 A260:B260 A262:B262 A264:B264 A266:B266 A268:B268 A270:B270 A272:B272 A274:B274 A276:B276 A278:B278 A280:B280 A282:B282 A284:B284 A286:B286 A288:B288 A290:B290 A292:B292 A294:B294 A296:B296 A298:B298 A300:B300 A302:B302 A304:G304 A306:G306 A308:G308 A310:G310 A312:G312 A314:G314 A316:G316 A318:G318 A320:G320 A322:G322 A324:G324 A326:G326 A328:G328 A330:G330 A332:G332 A334:G334 A336:G336 A338:G338 A340:G340 A342:G342 A344:G344 A346:G346 A348:G348">
    <cfRule type="notContainsBlanks" dxfId="11" priority="11">
      <formula>LEN(TRIM(A84))&gt;0</formula>
    </cfRule>
  </conditionalFormatting>
  <conditionalFormatting sqref="A26:G26">
    <cfRule type="notContainsBlanks" dxfId="10" priority="3">
      <formula>LEN(TRIM(A26))&gt;0</formula>
    </cfRule>
  </conditionalFormatting>
  <conditionalFormatting sqref="A28:G28 A30:G30 A32:G32 A34:G34 A36:G36 A38:G38 A40:G40 A42:G42 A44:G44 A46:G46 A48:G48 A50:G50 A52:G52 A54:G54 A56:G56 A58:G58 A60:G60 A62:G62 A64:G64 A66:G66 A68:G68 A70:G70 A72:G72 A74:G74 A76:G76 A78:G78 A80:G80 A82:G82 D84:G84 D86:G86 D88:G88 D90:G90 D92:G92 D94:G94 D96:G96 D98:G98 D100:G100 D102:G102 D104:G104 D106:G106 D108:G108 D110:G110 D112:G112 D114:G114 D116:G116 D118:G118 D120:G120 D122:G122 D124:G124 D126:G126 D128:G128 D130:G130 D132:G132 D134:G134 D136:G136 D138:G138 D140:G140 D142:G142 D144:G144 D146:G146 D148:G148 D150:G150 D152:G152 D154:G154 D156:G156 D158:G158 D160:G160 D162:G162 D164:G164 D166:G166 D168:G168 D170:G170 D172:G172 D174:G174 D176:G176 D178:G178 D180:G180 D182:G182 D184:G184 D186:G186 D188:G188 D190:G190 D192:G192 D194:G194 D196:G196 D198:G198 D200:G200 D202:G202 D204:G204 D206:G206 D208:G208 D210:G210 D212:G212 D214:G214 D216:G216 D218:G218 D220:G220 D222:G222 D224:G224 D226:G226 D228:G228 D230:G230 D232:G232 D234:G234 D236:G236 D238:G238 D240:G240 D242:G242 D244:G244 D246:G246 D248:G248 D250:G250 D252:G252 D254:G254 D256:G256 D258:G258 D260:G260 D262:G262 D264:G264 D266:G266 D268:G268 D270:G270 D272:G272 D274:G274 D276:G276 D278:G278 D280:G280 D282:G282 D284:G284 D286:G286 D288:G288 D290:G290 D292:G292 D294:G294 D296:G296 D298:G298 D300:G300 D302:G302">
    <cfRule type="notContainsBlanks" dxfId="9" priority="1">
      <formula>LEN(TRIM(A28))&gt;0</formula>
    </cfRule>
  </conditionalFormatting>
  <conditionalFormatting sqref="A24:AI24">
    <cfRule type="notContainsBlanks" dxfId="8" priority="4">
      <formula>LEN(TRIM(A24))&gt;0</formula>
    </cfRule>
  </conditionalFormatting>
  <conditionalFormatting sqref="C24:F303">
    <cfRule type="notContainsBlanks" dxfId="7" priority="7" stopIfTrue="1">
      <formula>LEN(TRIM(C24))&gt;0</formula>
    </cfRule>
  </conditionalFormatting>
  <conditionalFormatting sqref="F19">
    <cfRule type="expression" dxfId="6" priority="10">
      <formula>$J$21=FALSE</formula>
    </cfRule>
  </conditionalFormatting>
  <conditionalFormatting sqref="G24:G26">
    <cfRule type="notContainsBlanks" dxfId="5" priority="5" stopIfTrue="1">
      <formula>LEN(TRIM(G24))&gt;0</formula>
    </cfRule>
  </conditionalFormatting>
  <conditionalFormatting sqref="G27:G303">
    <cfRule type="notContainsBlanks" dxfId="4" priority="2" stopIfTrue="1">
      <formula>LEN(TRIM(G27))&gt;0</formula>
    </cfRule>
  </conditionalFormatting>
  <dataValidations count="2">
    <dataValidation type="decimal" allowBlank="1" showInputMessage="1" showErrorMessage="1" errorTitle="atenção!" error="A garantia do FAMPE deve variar de 20% a 80%." sqref="F19" xr:uid="{FB4A5060-DD61-4C62-B445-00BDCCBE45ED}">
      <formula1>0.2</formula1>
      <formula2>0.8</formula2>
    </dataValidation>
    <dataValidation type="custom" allowBlank="1" showInputMessage="1" showErrorMessage="1" sqref="B16:B17" xr:uid="{47BC90F4-26AA-47B7-8751-AA5E62CCE1EE}">
      <formula1>AL21=TRUE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Drop Down 1">
              <controlPr locked="0" defaultSize="0" autoLine="0" autoPict="0">
                <anchor moveWithCells="1">
                  <from>
                    <xdr:col>0</xdr:col>
                    <xdr:colOff>847725</xdr:colOff>
                    <xdr:row>2</xdr:row>
                    <xdr:rowOff>333375</xdr:rowOff>
                  </from>
                  <to>
                    <xdr:col>4</xdr:col>
                    <xdr:colOff>295275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Drop Down 2">
              <controlPr locked="0" defaultSize="0" autoLine="0" autoPict="0">
                <anchor moveWithCells="1">
                  <from>
                    <xdr:col>6</xdr:col>
                    <xdr:colOff>85725</xdr:colOff>
                    <xdr:row>14</xdr:row>
                    <xdr:rowOff>47625</xdr:rowOff>
                  </from>
                  <to>
                    <xdr:col>6</xdr:col>
                    <xdr:colOff>1057275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6" name="Drop Down 6">
              <controlPr defaultSize="0" autoLine="0" autoPict="0">
                <anchor moveWithCells="1">
                  <from>
                    <xdr:col>6</xdr:col>
                    <xdr:colOff>57150</xdr:colOff>
                    <xdr:row>15</xdr:row>
                    <xdr:rowOff>123825</xdr:rowOff>
                  </from>
                  <to>
                    <xdr:col>6</xdr:col>
                    <xdr:colOff>1085850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7" name="Check Box 8">
              <controlPr defaultSize="0" autoFill="0" autoLine="0" autoPict="0">
                <anchor moveWithCells="1">
                  <from>
                    <xdr:col>4</xdr:col>
                    <xdr:colOff>323850</xdr:colOff>
                    <xdr:row>18</xdr:row>
                    <xdr:rowOff>104775</xdr:rowOff>
                  </from>
                  <to>
                    <xdr:col>6</xdr:col>
                    <xdr:colOff>790575</xdr:colOff>
                    <xdr:row>18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8" name="Drop Down 9">
              <controlPr defaultSize="0" autoLine="0" autoPict="0">
                <anchor moveWithCells="1">
                  <from>
                    <xdr:col>6</xdr:col>
                    <xdr:colOff>76200</xdr:colOff>
                    <xdr:row>16</xdr:row>
                    <xdr:rowOff>123825</xdr:rowOff>
                  </from>
                  <to>
                    <xdr:col>6</xdr:col>
                    <xdr:colOff>1095375</xdr:colOff>
                    <xdr:row>16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B7B-565A-455E-81EC-5D3F47F9E2CE}">
  <sheetPr codeName="Planilha6">
    <pageSetUpPr fitToPage="1"/>
  </sheetPr>
  <dimension ref="A1:DO99"/>
  <sheetViews>
    <sheetView showGridLines="0" zoomScale="85" zoomScaleNormal="85" workbookViewId="0">
      <selection activeCell="A14" sqref="A14:G14"/>
    </sheetView>
  </sheetViews>
  <sheetFormatPr defaultRowHeight="15" x14ac:dyDescent="0.25"/>
  <cols>
    <col min="1" max="1" width="13.7109375" style="21" customWidth="1"/>
    <col min="2" max="2" width="18.140625" style="40" customWidth="1"/>
    <col min="3" max="3" width="16.28515625" style="21" customWidth="1"/>
    <col min="4" max="4" width="17" style="21" customWidth="1"/>
    <col min="5" max="5" width="17.42578125" style="21" customWidth="1"/>
    <col min="6" max="6" width="13.85546875" style="21" hidden="1" customWidth="1"/>
    <col min="7" max="7" width="17.42578125" style="21" customWidth="1"/>
    <col min="8" max="9" width="9.140625" style="2" hidden="1" customWidth="1"/>
    <col min="10" max="10" width="15.140625" style="2" hidden="1" customWidth="1"/>
    <col min="11" max="11" width="11" style="2" hidden="1" customWidth="1"/>
    <col min="12" max="12" width="15.28515625" style="2" hidden="1" customWidth="1"/>
    <col min="13" max="13" width="9.140625" style="2" hidden="1" customWidth="1"/>
    <col min="14" max="14" width="34.42578125" style="2" hidden="1" customWidth="1"/>
    <col min="15" max="20" width="9.140625" style="2" hidden="1" customWidth="1"/>
    <col min="21" max="21" width="16.28515625" style="2" hidden="1" customWidth="1"/>
    <col min="22" max="22" width="13.140625" style="2" hidden="1" customWidth="1"/>
    <col min="23" max="27" width="9.140625" style="2" hidden="1" customWidth="1"/>
    <col min="28" max="28" width="19.85546875" style="2" hidden="1" customWidth="1"/>
    <col min="29" max="29" width="16" style="2" hidden="1" customWidth="1"/>
    <col min="30" max="30" width="12.5703125" style="2" hidden="1" customWidth="1"/>
    <col min="31" max="31" width="19.28515625" style="2" hidden="1" customWidth="1"/>
    <col min="32" max="32" width="18.140625" style="2" hidden="1" customWidth="1"/>
    <col min="33" max="33" width="13.5703125" style="2" hidden="1" customWidth="1"/>
    <col min="34" max="34" width="15.28515625" style="2" hidden="1" customWidth="1"/>
    <col min="35" max="35" width="16.5703125" style="2" hidden="1" customWidth="1"/>
    <col min="36" max="37" width="9.140625" style="2" hidden="1" customWidth="1"/>
    <col min="38" max="38" width="13.85546875" style="2" hidden="1" customWidth="1"/>
    <col min="39" max="39" width="18.28515625" style="2" hidden="1" customWidth="1"/>
    <col min="40" max="40" width="13.7109375" style="2" hidden="1" customWidth="1"/>
    <col min="41" max="42" width="8.85546875" style="2" hidden="1" customWidth="1"/>
    <col min="43" max="44" width="10" style="2" hidden="1" customWidth="1"/>
    <col min="45" max="46" width="9.140625" style="2" hidden="1" customWidth="1"/>
    <col min="47" max="47" width="13.140625" style="2" hidden="1" customWidth="1"/>
    <col min="48" max="48" width="10.5703125" style="2" hidden="1" customWidth="1"/>
    <col min="49" max="52" width="11.140625" style="2" hidden="1" customWidth="1"/>
    <col min="53" max="54" width="9.140625" style="2" hidden="1" customWidth="1"/>
    <col min="55" max="55" width="4.28515625" style="2" hidden="1" customWidth="1"/>
    <col min="56" max="56" width="9.140625" style="91" hidden="1" customWidth="1"/>
    <col min="57" max="57" width="11.140625" style="91" hidden="1" customWidth="1"/>
    <col min="58" max="58" width="9.140625" style="91" hidden="1" customWidth="1"/>
    <col min="59" max="59" width="27.42578125" style="91" hidden="1" customWidth="1"/>
    <col min="60" max="60" width="25.28515625" style="2" hidden="1" customWidth="1"/>
    <col min="61" max="61" width="11.140625" style="2" hidden="1" customWidth="1"/>
    <col min="62" max="62" width="12.7109375" style="2" hidden="1" customWidth="1"/>
    <col min="63" max="117" width="9.140625" style="2" hidden="1" customWidth="1"/>
    <col min="118" max="118" width="0" style="2" hidden="1" customWidth="1"/>
    <col min="119" max="119" width="16.5703125" style="23" hidden="1" customWidth="1"/>
    <col min="120" max="16384" width="9.140625" style="2"/>
  </cols>
  <sheetData>
    <row r="1" spans="1:62" ht="72" customHeight="1" x14ac:dyDescent="0.25">
      <c r="A1" s="227" t="s">
        <v>59</v>
      </c>
      <c r="B1" s="227"/>
      <c r="C1" s="227"/>
      <c r="D1" s="227"/>
      <c r="E1" s="227"/>
      <c r="F1" s="227"/>
      <c r="G1" s="227"/>
      <c r="AA1" s="2">
        <v>1</v>
      </c>
      <c r="AB1" s="2">
        <v>2</v>
      </c>
    </row>
    <row r="2" spans="1:62" ht="41.25" customHeight="1" x14ac:dyDescent="0.25">
      <c r="A2" s="255" t="s">
        <v>57</v>
      </c>
      <c r="B2" s="255"/>
      <c r="C2" s="255"/>
      <c r="D2" s="255"/>
      <c r="E2" s="255"/>
      <c r="F2" s="255"/>
      <c r="G2" s="256"/>
      <c r="H2" s="11"/>
    </row>
    <row r="3" spans="1:62" ht="27.75" customHeight="1" x14ac:dyDescent="0.25">
      <c r="A3" s="240" t="s">
        <v>135</v>
      </c>
      <c r="B3" s="240"/>
      <c r="C3" s="240"/>
      <c r="D3" s="240"/>
      <c r="E3" s="240"/>
      <c r="F3" s="240"/>
      <c r="G3" s="241"/>
      <c r="AA3" s="2" t="s">
        <v>37</v>
      </c>
      <c r="AB3" s="2" t="s">
        <v>38</v>
      </c>
    </row>
    <row r="4" spans="1:62" ht="17.25" customHeight="1" x14ac:dyDescent="0.25">
      <c r="A4" s="54" t="s">
        <v>0</v>
      </c>
      <c r="B4" s="38"/>
      <c r="C4" s="55"/>
      <c r="D4" s="31"/>
      <c r="E4" s="54"/>
      <c r="F4" s="56"/>
      <c r="G4" s="32"/>
      <c r="J4" s="186">
        <v>2</v>
      </c>
      <c r="K4" s="2">
        <v>1</v>
      </c>
      <c r="N4" s="78" t="s">
        <v>0</v>
      </c>
      <c r="O4" s="78" t="s">
        <v>1</v>
      </c>
      <c r="P4" s="78" t="s">
        <v>55</v>
      </c>
      <c r="Q4" s="78"/>
      <c r="R4" s="78"/>
      <c r="S4" s="78" t="s">
        <v>5</v>
      </c>
      <c r="T4" s="78" t="s">
        <v>9</v>
      </c>
      <c r="U4" s="78" t="s">
        <v>8</v>
      </c>
      <c r="V4" s="78" t="s">
        <v>25</v>
      </c>
      <c r="AA4" s="2" t="s">
        <v>41</v>
      </c>
      <c r="AB4" s="2" t="s">
        <v>41</v>
      </c>
    </row>
    <row r="5" spans="1:62" ht="17.25" hidden="1" customHeight="1" x14ac:dyDescent="0.25">
      <c r="A5" s="31"/>
      <c r="B5" s="38"/>
      <c r="C5" s="31"/>
      <c r="D5" s="31"/>
      <c r="E5" s="31"/>
      <c r="F5" s="57"/>
      <c r="G5" s="58"/>
      <c r="N5" s="79" t="s">
        <v>153</v>
      </c>
      <c r="O5" s="81">
        <v>1.6899999999999998E-2</v>
      </c>
      <c r="P5" s="81">
        <v>5.0000000000000001E-3</v>
      </c>
      <c r="Q5" s="81">
        <f>P5</f>
        <v>5.0000000000000001E-3</v>
      </c>
      <c r="R5" s="81">
        <f>Q5</f>
        <v>5.0000000000000001E-3</v>
      </c>
      <c r="S5" s="79">
        <f>'Tabela de Encargos'!G61</f>
        <v>144</v>
      </c>
      <c r="T5" s="79">
        <f>'Tabela de Encargos'!H61</f>
        <v>36</v>
      </c>
      <c r="U5" s="85">
        <f>'Tabela de Encargos'!I53</f>
        <v>27000</v>
      </c>
      <c r="V5" s="79"/>
      <c r="AA5" s="2" t="s">
        <v>42</v>
      </c>
      <c r="AB5" s="2" t="s">
        <v>42</v>
      </c>
    </row>
    <row r="6" spans="1:62" ht="17.25" hidden="1" customHeight="1" x14ac:dyDescent="0.3">
      <c r="A6" s="31"/>
      <c r="B6" s="59"/>
      <c r="C6" s="60" t="str">
        <f>IF(AND(J4=1,K4=1),Q5,IF(AND(J4=1,K4=2),R5,IF(AND(J4=1,K4=3),P5,"-")))</f>
        <v>-</v>
      </c>
      <c r="D6" s="57"/>
      <c r="E6" s="57"/>
      <c r="F6" s="57"/>
      <c r="G6" s="58"/>
      <c r="N6" s="79" t="s">
        <v>154</v>
      </c>
      <c r="O6" s="81">
        <v>1.6899999999999998E-2</v>
      </c>
      <c r="P6" s="81">
        <v>5.0000000000000001E-3</v>
      </c>
      <c r="Q6" s="81">
        <f>P6</f>
        <v>5.0000000000000001E-3</v>
      </c>
      <c r="R6" s="81">
        <f>Q6</f>
        <v>5.0000000000000001E-3</v>
      </c>
      <c r="S6" s="79">
        <f>'Tabela de Encargos'!G62</f>
        <v>240</v>
      </c>
      <c r="T6" s="79">
        <f>'Tabela de Encargos'!H62</f>
        <v>120</v>
      </c>
      <c r="U6" s="85">
        <f>'Tabela de Encargos'!I54</f>
        <v>2000000</v>
      </c>
      <c r="V6" s="79"/>
    </row>
    <row r="7" spans="1:62" ht="17.25" hidden="1" customHeight="1" x14ac:dyDescent="0.3">
      <c r="A7" s="31"/>
      <c r="B7" s="61"/>
      <c r="C7" s="60">
        <f>IF(AND(J4=2,K4=1),Q6,IF(AND(J4=2,K4=2),R6,IF(AND(J4=2,K4=3),P6,"-")))</f>
        <v>5.0000000000000001E-3</v>
      </c>
      <c r="D7" s="57"/>
      <c r="E7" s="57"/>
      <c r="F7" s="57"/>
      <c r="G7" s="58"/>
      <c r="N7" s="79"/>
      <c r="O7" s="81">
        <f>IF($I$11=1,'Tabela de Encargos'!C56,'Tabela de Encargos'!E56)</f>
        <v>0</v>
      </c>
      <c r="P7" s="81">
        <f>IF($I$11=1,'Tabela de Encargos'!E56,'Tabela de Encargos'!F56)</f>
        <v>0</v>
      </c>
      <c r="S7" s="79">
        <f>'Tabela de Encargos'!G56</f>
        <v>24</v>
      </c>
      <c r="T7" s="79">
        <f>'Tabela de Encargos'!H56</f>
        <v>6</v>
      </c>
      <c r="U7" s="85">
        <v>200000</v>
      </c>
      <c r="V7" s="79"/>
    </row>
    <row r="8" spans="1:62" ht="17.25" hidden="1" customHeight="1" x14ac:dyDescent="0.3">
      <c r="A8" s="31"/>
      <c r="B8" s="61"/>
      <c r="C8" s="60" t="str">
        <f>IF(AND(J4=3,K4=1),Q8,IF(AND(J4=3,K4=2),R8,IF(AND(J4=3,K4=3),P8,"-")))</f>
        <v>-</v>
      </c>
      <c r="D8" s="57"/>
      <c r="E8" s="57"/>
      <c r="F8" s="57"/>
      <c r="G8" s="58"/>
      <c r="N8" s="79"/>
      <c r="O8" s="81">
        <f>IF($I$11=1,'Tabela de Encargos'!C57,'Tabela de Encargos'!E57)</f>
        <v>0</v>
      </c>
      <c r="P8" s="81">
        <f>IF($I$11=1,'Tabela de Encargos'!E57,'Tabela de Encargos'!F57)</f>
        <v>0</v>
      </c>
      <c r="Q8" s="82"/>
      <c r="R8" s="82"/>
      <c r="S8" s="79">
        <f>'Tabela de Encargos'!G57</f>
        <v>36</v>
      </c>
      <c r="T8" s="79">
        <f>'Tabela de Encargos'!H57</f>
        <v>3</v>
      </c>
      <c r="U8" s="85">
        <f>'Tabela de Encargos'!I57</f>
        <v>21000</v>
      </c>
      <c r="V8" s="79"/>
    </row>
    <row r="9" spans="1:62" ht="17.25" hidden="1" customHeight="1" x14ac:dyDescent="0.3">
      <c r="A9" s="31"/>
      <c r="B9" s="61"/>
      <c r="C9" s="60" t="str">
        <f>IF(AND(J4=4,K4=1),Q9,IF(AND(J4=4,K4=2),R9,IF(AND(J4=4,K4=3),P9,"-")))</f>
        <v>-</v>
      </c>
      <c r="D9" s="57"/>
      <c r="E9" s="57"/>
      <c r="F9" s="57"/>
      <c r="G9" s="58"/>
      <c r="N9" s="79"/>
      <c r="O9" s="81">
        <f>IF($I$11=1,'Tabela de Encargos'!C58,'Tabela de Encargos'!E58)</f>
        <v>0</v>
      </c>
      <c r="P9" s="81">
        <f>IF($I$11=1,'Tabela de Encargos'!E58,'Tabela de Encargos'!F58)</f>
        <v>0</v>
      </c>
      <c r="Q9" s="82"/>
      <c r="R9" s="82"/>
      <c r="S9" s="79">
        <f>'Tabela de Encargos'!G58</f>
        <v>18</v>
      </c>
      <c r="T9" s="79">
        <f>'Tabela de Encargos'!H58</f>
        <v>3</v>
      </c>
      <c r="U9" s="85">
        <f>'Tabela de Encargos'!I58</f>
        <v>7000</v>
      </c>
      <c r="V9" s="79"/>
    </row>
    <row r="10" spans="1:62" ht="17.25" hidden="1" customHeight="1" x14ac:dyDescent="0.3">
      <c r="A10" s="31"/>
      <c r="B10" s="61"/>
      <c r="C10" s="60" t="str">
        <f>IF(AND(J4=5,K4=1),Q10,IF(AND(J4=5,K4=2),R10,IF(AND(J4=5,K4=3),P10,"-")))</f>
        <v>-</v>
      </c>
      <c r="D10" s="57"/>
      <c r="E10" s="57"/>
      <c r="F10" s="57"/>
      <c r="G10" s="58"/>
      <c r="N10" s="79"/>
      <c r="O10" s="81">
        <f>IF($I$11=1,'Tabela de Encargos'!C59,'Tabela de Encargos'!E59)</f>
        <v>0</v>
      </c>
      <c r="P10" s="81">
        <f>IF($I$11=1,'Tabela de Encargos'!E59,'Tabela de Encargos'!F59)</f>
        <v>0</v>
      </c>
      <c r="Q10" s="82"/>
      <c r="R10" s="82"/>
      <c r="S10" s="79">
        <f>'Tabela de Encargos'!G59</f>
        <v>96</v>
      </c>
      <c r="T10" s="79">
        <f>'Tabela de Encargos'!H59</f>
        <v>6</v>
      </c>
      <c r="U10" s="85">
        <f>'Tabela de Encargos'!I59</f>
        <v>100000</v>
      </c>
      <c r="V10" s="79"/>
    </row>
    <row r="11" spans="1:62" ht="17.25" hidden="1" customHeight="1" x14ac:dyDescent="0.3">
      <c r="A11" s="31"/>
      <c r="B11" s="61"/>
      <c r="C11" s="62" t="str">
        <f>IF(AND(J4=6,K4=1),#REF!,IF(AND(J4=6,K4=2),#REF!,IF(AND(J4=6,K4=3),#REF!,"-")))</f>
        <v>-</v>
      </c>
      <c r="D11" s="57"/>
      <c r="E11" s="57"/>
      <c r="F11" s="57"/>
      <c r="G11" s="58"/>
      <c r="I11" s="2">
        <v>2</v>
      </c>
      <c r="J11" s="2" t="s">
        <v>98</v>
      </c>
      <c r="N11" s="80"/>
      <c r="O11" s="83"/>
      <c r="P11" s="83"/>
      <c r="Q11" s="83"/>
      <c r="R11" s="83"/>
      <c r="S11" s="80"/>
      <c r="T11" s="80"/>
      <c r="U11" s="87"/>
      <c r="V11" s="79"/>
    </row>
    <row r="12" spans="1:62" ht="17.25" hidden="1" customHeight="1" x14ac:dyDescent="0.3">
      <c r="A12" s="31"/>
      <c r="B12" s="61"/>
      <c r="C12" s="60" t="str">
        <f>IF(AND(J4=7,K4=1),Q11,IF(AND(J4=7,K4=2),R11,IF(AND(J4=7,K4=3),P11,"-")))</f>
        <v>-</v>
      </c>
      <c r="D12" s="57"/>
      <c r="E12" s="57"/>
      <c r="F12" s="57"/>
      <c r="G12" s="58"/>
      <c r="J12" s="2" t="s">
        <v>99</v>
      </c>
      <c r="O12" s="84">
        <v>1.9199999999999998E-2</v>
      </c>
      <c r="P12" s="84">
        <v>2.1600000000000001E-2</v>
      </c>
      <c r="Q12" s="84">
        <v>1.5900000000000001E-2</v>
      </c>
      <c r="R12" s="84">
        <v>1.5900000000000001E-2</v>
      </c>
      <c r="S12" s="2">
        <v>36</v>
      </c>
      <c r="T12" s="2">
        <v>12</v>
      </c>
      <c r="U12" s="23">
        <v>21000</v>
      </c>
    </row>
    <row r="13" spans="1:62" ht="17.25" hidden="1" customHeight="1" x14ac:dyDescent="0.3">
      <c r="A13" s="31"/>
      <c r="B13" s="61"/>
      <c r="C13" s="60" t="str">
        <f>IF(AND(J4=8,K4=1),Q12,IF(AND(J4=8,K4=2),R12,IF(AND(J4=8,K4=3),P12,"-")))</f>
        <v>-</v>
      </c>
      <c r="D13" s="57"/>
      <c r="E13" s="57"/>
      <c r="F13" s="57"/>
      <c r="G13" s="58"/>
    </row>
    <row r="14" spans="1:62" ht="21" x14ac:dyDescent="0.35">
      <c r="A14" s="266" t="s">
        <v>17</v>
      </c>
      <c r="B14" s="266"/>
      <c r="C14" s="267"/>
      <c r="D14" s="267"/>
      <c r="E14" s="267"/>
      <c r="F14" s="267"/>
      <c r="G14" s="267"/>
      <c r="I14" s="2">
        <v>1</v>
      </c>
      <c r="AM14" s="2" t="s">
        <v>139</v>
      </c>
      <c r="BD14" s="91" t="s">
        <v>152</v>
      </c>
    </row>
    <row r="15" spans="1:62" ht="35.25" customHeight="1" x14ac:dyDescent="0.25">
      <c r="A15" s="34" t="s">
        <v>10</v>
      </c>
      <c r="B15" s="150">
        <v>50000</v>
      </c>
      <c r="C15" s="34" t="s">
        <v>49</v>
      </c>
      <c r="D15" s="146">
        <v>1.6899999999999998E-2</v>
      </c>
      <c r="E15" s="178">
        <f>B15*B17*0.001</f>
        <v>2400</v>
      </c>
      <c r="F15" s="36" t="s">
        <v>146</v>
      </c>
      <c r="G15" s="176">
        <f>IF(B15&lt;=3000,50,IF(B15&lt;=21000,IF(B15*0.03&lt;=420,B15*0.03,420),IF(B15&lt;=100000,B15*0.02,2000+B15*0.005)))</f>
        <v>1000</v>
      </c>
      <c r="H15"/>
      <c r="I15"/>
      <c r="J15" s="2">
        <v>4</v>
      </c>
      <c r="K15"/>
      <c r="L15" s="77"/>
      <c r="M15"/>
      <c r="N15" s="78" t="s">
        <v>0</v>
      </c>
      <c r="O15" s="78" t="s">
        <v>1</v>
      </c>
      <c r="P15" s="78" t="s">
        <v>55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s="119"/>
      <c r="AL15"/>
      <c r="AM15" s="2" t="s">
        <v>140</v>
      </c>
      <c r="BD15" s="91" t="s">
        <v>42</v>
      </c>
      <c r="BF15" s="91">
        <v>1</v>
      </c>
    </row>
    <row r="16" spans="1:62" ht="35.25" customHeight="1" x14ac:dyDescent="0.25">
      <c r="A16" s="35" t="s">
        <v>6</v>
      </c>
      <c r="B16" s="133">
        <v>18</v>
      </c>
      <c r="C16" s="145" t="s">
        <v>52</v>
      </c>
      <c r="D16" s="146">
        <v>5.0000000000000001E-3</v>
      </c>
      <c r="E16" s="142"/>
      <c r="F16" s="143"/>
      <c r="G16" s="177">
        <f ca="1">AE25</f>
        <v>1197.2000000000003</v>
      </c>
      <c r="H16"/>
      <c r="I16"/>
      <c r="J16" s="2">
        <v>2</v>
      </c>
      <c r="K16"/>
      <c r="L16"/>
      <c r="M16"/>
      <c r="N16" s="79" t="s">
        <v>95</v>
      </c>
      <c r="O16" s="81">
        <f>'Tabela de Encargos'!C61</f>
        <v>9.0499999999999997E-2</v>
      </c>
      <c r="P16" s="81">
        <f>'Tabela de Encargos'!D61</f>
        <v>8.5599999999999996E-2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f>IF(AN17=1,1,IF(AN17=2,2,IF(AN17=3,3,IF(AN17=4,6,IF(AN17=5,12)))))</f>
        <v>1</v>
      </c>
      <c r="AL16" s="93">
        <f>B16/AK16</f>
        <v>18</v>
      </c>
      <c r="AM16" s="2" t="s">
        <v>141</v>
      </c>
      <c r="BJ16" s="5"/>
    </row>
    <row r="17" spans="1:119" ht="35.25" customHeight="1" x14ac:dyDescent="0.25">
      <c r="A17" s="35" t="s">
        <v>22</v>
      </c>
      <c r="B17" s="133">
        <v>48</v>
      </c>
      <c r="C17" s="34" t="s">
        <v>11</v>
      </c>
      <c r="D17" s="147">
        <f ca="1">TODAY()</f>
        <v>46240</v>
      </c>
      <c r="E17" s="148" t="s">
        <v>151</v>
      </c>
      <c r="F17" s="144"/>
      <c r="G17" s="149"/>
      <c r="H17"/>
      <c r="I17"/>
      <c r="J17" s="2" t="s">
        <v>41</v>
      </c>
      <c r="K17"/>
      <c r="L17" t="b">
        <v>0</v>
      </c>
      <c r="M17"/>
      <c r="N17" s="79" t="s">
        <v>93</v>
      </c>
      <c r="O17" s="81">
        <f>IF($I$11=1,9.12%,9.85%)</f>
        <v>9.849999999999999E-2</v>
      </c>
      <c r="P17" s="81">
        <f>IF($I$11=1,8.62%,9.25%)</f>
        <v>9.2499999999999999E-2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f>IF(AN17=1,1,IF(AN17=2,2,IF(AN17=3,3,IF(AN17=4,6,IF(AN17=5,12)))))</f>
        <v>1</v>
      </c>
      <c r="AL17" s="93">
        <f>B17/AK16</f>
        <v>48</v>
      </c>
      <c r="AM17" s="2" t="s">
        <v>142</v>
      </c>
      <c r="AN17" s="2">
        <v>1</v>
      </c>
      <c r="AV17" s="2">
        <v>1</v>
      </c>
      <c r="BE17" s="94"/>
      <c r="BG17" s="137"/>
      <c r="BJ17" s="5"/>
    </row>
    <row r="18" spans="1:119" ht="23.25" customHeight="1" x14ac:dyDescent="0.25">
      <c r="A18" s="268" t="s">
        <v>65</v>
      </c>
      <c r="B18" s="268"/>
      <c r="C18" s="269"/>
      <c r="D18" s="269"/>
      <c r="E18" s="270"/>
      <c r="F18" s="270"/>
      <c r="G18" s="270"/>
      <c r="H18"/>
      <c r="I18"/>
      <c r="J18" s="2" t="s">
        <v>42</v>
      </c>
      <c r="K18"/>
      <c r="L18"/>
      <c r="M18"/>
      <c r="N18" s="79" t="s">
        <v>96</v>
      </c>
      <c r="O18" s="81">
        <f>IF($I$11=1,11.48%,12.74%)</f>
        <v>0.12740000000000001</v>
      </c>
      <c r="P18" s="81">
        <f>IF($I$11=1,10.63%,11.7%)</f>
        <v>0.11699999999999999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2" t="s">
        <v>143</v>
      </c>
      <c r="AN18" s="2" t="b">
        <v>0</v>
      </c>
      <c r="BE18" s="138"/>
      <c r="BG18" s="94"/>
      <c r="BH18" s="140"/>
      <c r="BI18" s="140"/>
      <c r="BJ18" s="5"/>
    </row>
    <row r="19" spans="1:119" ht="34.5" customHeight="1" x14ac:dyDescent="0.25">
      <c r="A19" s="34" t="s">
        <v>63</v>
      </c>
      <c r="B19" s="141">
        <f ca="1">IF(LARGE(G23:G71,1)*3&lt;2424,2424,LARGE(G23:G71,1)*3)</f>
        <v>6868.4275664261913</v>
      </c>
      <c r="C19" s="42" t="s">
        <v>64</v>
      </c>
      <c r="D19" s="182">
        <f>IF(B15&gt;50000,(B15*1.5/0.7),0)</f>
        <v>0</v>
      </c>
      <c r="E19" s="76"/>
      <c r="F19" s="89"/>
      <c r="G19" s="75"/>
      <c r="H19"/>
      <c r="I19"/>
      <c r="J19" t="s">
        <v>68</v>
      </c>
      <c r="K19"/>
      <c r="L19" s="2" t="b">
        <v>0</v>
      </c>
      <c r="M19"/>
      <c r="N19" s="79" t="s">
        <v>97</v>
      </c>
      <c r="O19" s="81">
        <f>IF($I$11=1,11.48%,12.74%)</f>
        <v>0.12740000000000001</v>
      </c>
      <c r="P19" s="81">
        <f>IF($I$11=1,10.63%,11.7%)</f>
        <v>0.11699999999999999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5"/>
      <c r="AN19" s="2" t="s">
        <v>144</v>
      </c>
      <c r="AV19" s="2" t="s">
        <v>15</v>
      </c>
      <c r="BE19" s="137"/>
      <c r="BG19" s="137"/>
      <c r="BJ19" s="5"/>
    </row>
    <row r="20" spans="1:119" s="25" customFormat="1" ht="23.25" x14ac:dyDescent="0.2">
      <c r="A20" s="264" t="s">
        <v>31</v>
      </c>
      <c r="B20" s="264"/>
      <c r="C20" s="264"/>
      <c r="D20" s="248"/>
      <c r="E20" s="264"/>
      <c r="F20" s="264"/>
      <c r="G20" s="264"/>
      <c r="J20" s="25" t="s">
        <v>42</v>
      </c>
      <c r="N20" s="79" t="s">
        <v>94</v>
      </c>
      <c r="O20" s="81">
        <f>IF($I$11=1,9.12%,9.85%)</f>
        <v>9.849999999999999E-2</v>
      </c>
      <c r="P20" s="81">
        <f>IF($I$11=1,8.62%,9.25%)</f>
        <v>9.2499999999999999E-2</v>
      </c>
      <c r="AM20" s="26"/>
      <c r="AV20" s="25" t="s">
        <v>145</v>
      </c>
      <c r="BD20" s="92"/>
      <c r="BE20" s="139"/>
      <c r="BF20" s="92"/>
      <c r="BG20" s="139"/>
      <c r="DO20" s="26"/>
    </row>
    <row r="21" spans="1:119" ht="30" x14ac:dyDescent="0.25">
      <c r="A21" s="45" t="s">
        <v>12</v>
      </c>
      <c r="B21" s="45" t="s">
        <v>15</v>
      </c>
      <c r="C21" s="45" t="s">
        <v>14</v>
      </c>
      <c r="D21" s="46" t="s">
        <v>35</v>
      </c>
      <c r="E21" s="233" t="s">
        <v>13</v>
      </c>
      <c r="F21" s="37" t="s">
        <v>18</v>
      </c>
      <c r="G21" s="37" t="s">
        <v>56</v>
      </c>
      <c r="J21" s="2" t="b">
        <v>0</v>
      </c>
      <c r="AB21" s="232" t="s">
        <v>45</v>
      </c>
      <c r="AC21" s="232"/>
      <c r="AD21" s="232"/>
      <c r="AE21" s="232"/>
      <c r="AF21" s="232"/>
      <c r="AG21" s="232"/>
      <c r="AL21" s="116" t="b">
        <f>INT(AL16)=AL16</f>
        <v>1</v>
      </c>
      <c r="BG21" s="91" t="b">
        <f>IF(J4=2,TRUE,FALSE)</f>
        <v>1</v>
      </c>
      <c r="DO21" s="23" t="s">
        <v>184</v>
      </c>
    </row>
    <row r="22" spans="1:119" ht="18.75" x14ac:dyDescent="0.25">
      <c r="A22" s="235" t="s">
        <v>60</v>
      </c>
      <c r="B22" s="236"/>
      <c r="C22" s="169">
        <f ca="1">SUM(C24:C83)</f>
        <v>9756.9800245585702</v>
      </c>
      <c r="D22" s="169">
        <f ca="1">SUM(D24:D83)</f>
        <v>59725.457099358158</v>
      </c>
      <c r="E22" s="234"/>
      <c r="F22" s="47"/>
      <c r="G22" s="169">
        <f ca="1">SUM(G23:G83)</f>
        <v>64354.180024558453</v>
      </c>
      <c r="AB22" s="232"/>
      <c r="AC22" s="232"/>
      <c r="AD22" s="232"/>
      <c r="AE22" s="232"/>
      <c r="AF22" s="232"/>
      <c r="AG22" s="232"/>
      <c r="AL22" s="116" t="b">
        <f>INT(AL17)=AL17</f>
        <v>1</v>
      </c>
      <c r="DO22" s="94" t="s">
        <v>183</v>
      </c>
    </row>
    <row r="23" spans="1:119" x14ac:dyDescent="0.25">
      <c r="A23" s="68">
        <v>0</v>
      </c>
      <c r="B23" s="68"/>
      <c r="C23" s="155">
        <f>D16</f>
        <v>5.0000000000000001E-3</v>
      </c>
      <c r="D23" s="156"/>
      <c r="E23" s="162">
        <f>B15+(IF(BF15=2,E15)+IF(AA1=2,G15)+IF(I14=2,G16))</f>
        <v>50000</v>
      </c>
      <c r="F23" s="156"/>
      <c r="G23" s="170"/>
      <c r="AB23" s="232"/>
      <c r="AC23" s="232"/>
      <c r="AD23" s="232"/>
      <c r="AE23" s="232"/>
      <c r="AF23" s="232"/>
      <c r="AG23" s="232"/>
      <c r="BG23" s="94">
        <f ca="1">B15+E15+G15+G16</f>
        <v>54597.2</v>
      </c>
      <c r="BH23" s="23">
        <f ca="1">_xlfn.XLOOKUP($B$16,A24:A71,BG24:BG71)</f>
        <v>59725.457099358187</v>
      </c>
      <c r="DO23" s="23">
        <f ca="1">SUM(DO24:DO83)</f>
        <v>36989.177293322558</v>
      </c>
    </row>
    <row r="24" spans="1:119" x14ac:dyDescent="0.25">
      <c r="A24" s="68">
        <f t="shared" ref="A24:A71" si="0">IF(A23&lt;B$17,A23+1,"")</f>
        <v>1</v>
      </c>
      <c r="B24" s="68" t="str">
        <f t="shared" ref="B24:B71" si="1">IF(A24="","",IF(A24&lt;=B$16,"carência","amortização"))</f>
        <v>carência</v>
      </c>
      <c r="C24" s="156">
        <f ca="1">IF($BG$21=TRUE,BG23*$C$23,IF(B24="","",IF($AN$18=TRUE,AL24,AM24)))</f>
        <v>272.98599999999999</v>
      </c>
      <c r="D24" s="156">
        <f>IF($BG$21=TRUE,BH24,IF(C24="","",IF(A24&lt;=B$16,0,AU24)))</f>
        <v>0</v>
      </c>
      <c r="E24" s="162">
        <f ca="1">IF($BG$21=TRUE,BG24,IF(F24="","",E23-D24))</f>
        <v>54870.185999999994</v>
      </c>
      <c r="F24" s="156">
        <f t="shared" ref="F24:F71" ca="1" si="2">IF(D24="","",D24+C24)</f>
        <v>272.98599999999999</v>
      </c>
      <c r="G24" s="171">
        <f>IF(AND($BG$21=TRUE,A24&lt;=$B$16),0,IF(E24="","",D24+C24))</f>
        <v>0</v>
      </c>
      <c r="H24" s="67">
        <f t="shared" ref="H24:AI24" ca="1" si="3">IF(F24="","",E24+D24)</f>
        <v>54870.185999999994</v>
      </c>
      <c r="I24" s="67">
        <f t="shared" ca="1" si="3"/>
        <v>55143.171999999991</v>
      </c>
      <c r="J24" s="67">
        <f t="shared" ca="1" si="3"/>
        <v>272.98599999999999</v>
      </c>
      <c r="K24" s="67">
        <f t="shared" ca="1" si="3"/>
        <v>54870.185999999994</v>
      </c>
      <c r="L24" s="67">
        <f t="shared" ca="1" si="3"/>
        <v>110013.35799999998</v>
      </c>
      <c r="M24" s="67">
        <f t="shared" ca="1" si="3"/>
        <v>55416.157999999989</v>
      </c>
      <c r="N24" s="67">
        <f t="shared" ca="1" si="3"/>
        <v>55143.171999999991</v>
      </c>
      <c r="O24" s="67">
        <f t="shared" ca="1" si="3"/>
        <v>164883.54399999997</v>
      </c>
      <c r="P24" s="67">
        <f t="shared" ca="1" si="3"/>
        <v>165429.51599999997</v>
      </c>
      <c r="Q24" s="67">
        <f t="shared" ca="1" si="3"/>
        <v>110559.32999999999</v>
      </c>
      <c r="R24" s="67">
        <f t="shared" ca="1" si="3"/>
        <v>220026.71599999996</v>
      </c>
      <c r="S24" s="67">
        <f t="shared" ca="1" si="3"/>
        <v>330313.05999999994</v>
      </c>
      <c r="T24" s="67">
        <f t="shared" ca="1" si="3"/>
        <v>275988.84599999996</v>
      </c>
      <c r="U24" s="67">
        <f t="shared" ca="1" si="3"/>
        <v>330586.04599999997</v>
      </c>
      <c r="V24" s="67">
        <f t="shared" ca="1" si="3"/>
        <v>550339.77599999984</v>
      </c>
      <c r="W24" s="67">
        <f t="shared" ca="1" si="3"/>
        <v>606301.90599999996</v>
      </c>
      <c r="X24" s="67">
        <f t="shared" ca="1" si="3"/>
        <v>606574.89199999999</v>
      </c>
      <c r="Y24" s="67">
        <f t="shared" ca="1" si="3"/>
        <v>880925.82199999981</v>
      </c>
      <c r="Z24" s="67">
        <f t="shared" ca="1" si="3"/>
        <v>1156641.6819999998</v>
      </c>
      <c r="AA24" s="67">
        <f t="shared" ca="1" si="3"/>
        <v>1212876.798</v>
      </c>
      <c r="AB24" s="67">
        <f t="shared" ca="1" si="3"/>
        <v>1487500.7139999997</v>
      </c>
      <c r="AC24" s="67">
        <f t="shared" ca="1" si="3"/>
        <v>2037567.5039999997</v>
      </c>
      <c r="AD24" s="67">
        <f t="shared" ca="1" si="3"/>
        <v>2369518.4799999995</v>
      </c>
      <c r="AE24" s="67">
        <f t="shared" ca="1" si="3"/>
        <v>2700377.5119999996</v>
      </c>
      <c r="AF24" s="67">
        <f t="shared" ca="1" si="3"/>
        <v>3525068.2179999994</v>
      </c>
      <c r="AG24" s="67">
        <f t="shared" ca="1" si="3"/>
        <v>4407085.9839999992</v>
      </c>
      <c r="AH24" s="67">
        <f t="shared" ca="1" si="3"/>
        <v>5069895.9919999987</v>
      </c>
      <c r="AI24" s="67">
        <f t="shared" ca="1" si="3"/>
        <v>6225445.7299999986</v>
      </c>
      <c r="AL24" s="23">
        <f t="shared" ref="AL24:AL71" si="4">IF(A24&lt;=$B$16,AM24,E23*$C$23)</f>
        <v>250</v>
      </c>
      <c r="AM24" s="23">
        <f>IF($AN$17=1,AN24,IF($AN$17=2,AO24,IF($AN$17=3,AP24,IF($AN$17=4,AQ24,IF($AN$17=5,AR24)))))</f>
        <v>250</v>
      </c>
      <c r="AN24" s="23">
        <f t="shared" ref="AN24:AN71" si="5">E23*$C$23</f>
        <v>250</v>
      </c>
      <c r="AO24" s="23">
        <v>0</v>
      </c>
      <c r="AP24" s="23">
        <v>0</v>
      </c>
      <c r="AQ24" s="23">
        <v>0</v>
      </c>
      <c r="AR24" s="23">
        <v>0</v>
      </c>
      <c r="AU24" s="23">
        <f>IF($AV$17=1,AV24,IF($AV$17=2,AW24,IF($AV$17=3,AX24,IF($AV$17=4,AY24,IF($AV$17=5,AZ24)))))</f>
        <v>1666.6666666666667</v>
      </c>
      <c r="AV24" s="23">
        <f t="shared" ref="AV24:AV87" si="6">$E$23/($B$17-$B$16)</f>
        <v>1666.6666666666667</v>
      </c>
      <c r="AW24" s="23">
        <v>0</v>
      </c>
      <c r="AX24" s="23">
        <v>0</v>
      </c>
      <c r="AY24" s="23">
        <v>0</v>
      </c>
      <c r="AZ24" s="23">
        <v>0</v>
      </c>
      <c r="BG24" s="137">
        <f ca="1">IF(A24&lt;=$B$16,BG23*(1+$C$23),BG23-BH24)</f>
        <v>54870.185999999994</v>
      </c>
      <c r="BH24" s="140">
        <f>IF(AND(A24&gt;$B$16,A24&lt;=$B$17),$BH$23/($B$17-$B$16),0)</f>
        <v>0</v>
      </c>
      <c r="BI24" s="140"/>
      <c r="BJ24" s="140"/>
      <c r="DO24" s="23">
        <f>E23*0.019</f>
        <v>950</v>
      </c>
    </row>
    <row r="25" spans="1:119" x14ac:dyDescent="0.25">
      <c r="A25" s="68">
        <f t="shared" si="0"/>
        <v>2</v>
      </c>
      <c r="B25" s="68" t="str">
        <f t="shared" si="1"/>
        <v>carência</v>
      </c>
      <c r="C25" s="156">
        <f t="shared" ref="C25:C71" ca="1" si="7">IF($BG$21=TRUE,BG24*$C$23,IF(B25="","",IF($AN$18=TRUE,AL25,AM25)))</f>
        <v>274.35093000000001</v>
      </c>
      <c r="D25" s="156">
        <f t="shared" ref="D25:D71" si="8">IF($BG$21=TRUE,BH25,IF(C25="","",IF(A25&lt;=B$16,0,AU25)))</f>
        <v>0</v>
      </c>
      <c r="E25" s="162">
        <f t="shared" ref="E25:E71" ca="1" si="9">IF($BG$21=TRUE,BG25,IF(F25="","",E24-D25))</f>
        <v>55144.536929999987</v>
      </c>
      <c r="F25" s="156">
        <f t="shared" ca="1" si="2"/>
        <v>274.35093000000001</v>
      </c>
      <c r="G25" s="171">
        <f t="shared" ref="G25:G71" si="10">IF(AND($BG$21=TRUE,A25&lt;=$B$16),0,IF(E25="","",D25+C25))</f>
        <v>0</v>
      </c>
      <c r="AA25" s="3"/>
      <c r="AB25" s="2" t="s">
        <v>46</v>
      </c>
      <c r="AC25" s="6">
        <v>8.2000000000000001E-5</v>
      </c>
      <c r="AE25" s="5">
        <f ca="1">SUM(AG30:AG71)</f>
        <v>1197.2000000000003</v>
      </c>
      <c r="AF25" s="95"/>
      <c r="AG25" s="13"/>
      <c r="AH25" s="14" t="b">
        <v>1</v>
      </c>
      <c r="AL25" s="23">
        <f t="shared" ca="1" si="4"/>
        <v>274.35093000000001</v>
      </c>
      <c r="AM25" s="23">
        <f t="shared" ref="AM25:AM50" ca="1" si="11">IF($AN$17=1,AN25,IF($AN$17=2,AO25,IF($AN$17=3,AP25,IF($AN$17=4,AQ25,IF($AN$17=5,AR25)))))</f>
        <v>274.35093000000001</v>
      </c>
      <c r="AN25" s="23">
        <f t="shared" ca="1" si="5"/>
        <v>274.35093000000001</v>
      </c>
      <c r="AO25" s="23">
        <f>E23*((1+$C$23)^2-1)</f>
        <v>501.24999999998641</v>
      </c>
      <c r="AP25" s="23">
        <v>0</v>
      </c>
      <c r="AQ25" s="23">
        <v>0</v>
      </c>
      <c r="AR25" s="23"/>
      <c r="AU25" s="23">
        <f t="shared" ref="AU25:AU71" si="12">IF($AV$17=1,AV25,IF($AV$17=2,AW25,IF($AV$17=3,AX25,IF($AV$17=4,AY25,IF($AV$17=5,AZ25)))))</f>
        <v>1666.6666666666667</v>
      </c>
      <c r="AV25" s="23">
        <f t="shared" si="6"/>
        <v>1666.6666666666667</v>
      </c>
      <c r="AW25" s="23">
        <f>$E$23/($B$17-$B$16)*2</f>
        <v>3333.3333333333335</v>
      </c>
      <c r="AX25" s="23">
        <v>0</v>
      </c>
      <c r="AY25" s="23">
        <v>0</v>
      </c>
      <c r="AZ25" s="23">
        <v>0</v>
      </c>
      <c r="BG25" s="137">
        <f t="shared" ref="BG25:BG71" ca="1" si="13">IF(A25&lt;=$B$16,BG24*(1+$C$23),BG24-BH25)</f>
        <v>55144.536929999987</v>
      </c>
      <c r="BH25" s="140">
        <f t="shared" ref="BH25:BH71" si="14">IF(AND(A25&gt;$B$16,A25&lt;=$B$17),$BH$23/($B$17-$B$16),0)</f>
        <v>0</v>
      </c>
      <c r="BI25" s="140"/>
      <c r="BJ25" s="140"/>
      <c r="DO25" s="23">
        <f t="shared" ref="DO25:DO83" ca="1" si="15">E24*0.019</f>
        <v>1042.5335339999999</v>
      </c>
    </row>
    <row r="26" spans="1:119" x14ac:dyDescent="0.25">
      <c r="A26" s="68">
        <f t="shared" si="0"/>
        <v>3</v>
      </c>
      <c r="B26" s="68" t="str">
        <f t="shared" si="1"/>
        <v>carência</v>
      </c>
      <c r="C26" s="156">
        <f t="shared" ca="1" si="7"/>
        <v>275.72268464999996</v>
      </c>
      <c r="D26" s="156">
        <f t="shared" si="8"/>
        <v>0</v>
      </c>
      <c r="E26" s="162">
        <f t="shared" ca="1" si="9"/>
        <v>55420.259614649978</v>
      </c>
      <c r="F26" s="156">
        <f t="shared" ca="1" si="2"/>
        <v>275.72268464999996</v>
      </c>
      <c r="G26" s="171">
        <f t="shared" si="10"/>
        <v>0</v>
      </c>
      <c r="AB26" s="2" t="s">
        <v>51</v>
      </c>
      <c r="AC26" s="24">
        <f>0.00137/100</f>
        <v>1.3699999999999999E-5</v>
      </c>
      <c r="AE26" s="5">
        <f ca="1">SUM(AH30:AH71)</f>
        <v>200.02000000000004</v>
      </c>
      <c r="AL26" s="23">
        <f t="shared" ca="1" si="4"/>
        <v>275.72268464999996</v>
      </c>
      <c r="AM26" s="23">
        <f t="shared" ca="1" si="11"/>
        <v>275.72268464999996</v>
      </c>
      <c r="AN26" s="23">
        <f t="shared" ca="1" si="5"/>
        <v>275.72268464999996</v>
      </c>
      <c r="AO26" s="23">
        <v>0</v>
      </c>
      <c r="AP26" s="23">
        <f>E23*((1+$C$23)^3-1)</f>
        <v>753.75624999998172</v>
      </c>
      <c r="AQ26" s="23">
        <v>0</v>
      </c>
      <c r="AR26" s="23">
        <v>0</v>
      </c>
      <c r="AU26" s="23">
        <f t="shared" si="12"/>
        <v>1666.6666666666667</v>
      </c>
      <c r="AV26" s="23">
        <f t="shared" si="6"/>
        <v>1666.6666666666667</v>
      </c>
      <c r="AW26" s="23">
        <v>0</v>
      </c>
      <c r="AX26" s="23">
        <f>$E$23/($B$17-$B$16)*3</f>
        <v>5000</v>
      </c>
      <c r="AY26" s="23">
        <v>0</v>
      </c>
      <c r="AZ26" s="23">
        <v>0</v>
      </c>
      <c r="BG26" s="137">
        <f t="shared" ca="1" si="13"/>
        <v>55420.259614649978</v>
      </c>
      <c r="BH26" s="140">
        <f t="shared" si="14"/>
        <v>0</v>
      </c>
      <c r="BI26" s="140"/>
      <c r="BJ26" s="140"/>
      <c r="DO26" s="23">
        <f t="shared" ca="1" si="15"/>
        <v>1047.7462016699997</v>
      </c>
    </row>
    <row r="27" spans="1:119" x14ac:dyDescent="0.25">
      <c r="A27" s="68">
        <f t="shared" si="0"/>
        <v>4</v>
      </c>
      <c r="B27" s="68" t="str">
        <f t="shared" si="1"/>
        <v>carência</v>
      </c>
      <c r="C27" s="156">
        <f t="shared" ca="1" si="7"/>
        <v>277.10129807324989</v>
      </c>
      <c r="D27" s="156">
        <f t="shared" si="8"/>
        <v>0</v>
      </c>
      <c r="E27" s="162">
        <f t="shared" ca="1" si="9"/>
        <v>55697.360912723219</v>
      </c>
      <c r="F27" s="156">
        <f t="shared" ca="1" si="2"/>
        <v>277.10129807324989</v>
      </c>
      <c r="G27" s="171">
        <f t="shared" si="10"/>
        <v>0</v>
      </c>
      <c r="AB27" s="2" t="s">
        <v>16</v>
      </c>
      <c r="AC27" s="5">
        <f>B15</f>
        <v>50000</v>
      </c>
      <c r="AG27" s="5"/>
      <c r="AL27" s="23">
        <f t="shared" ca="1" si="4"/>
        <v>277.10129807324989</v>
      </c>
      <c r="AM27" s="23">
        <f t="shared" ca="1" si="11"/>
        <v>277.10129807324989</v>
      </c>
      <c r="AN27" s="23">
        <f t="shared" ca="1" si="5"/>
        <v>277.10129807324989</v>
      </c>
      <c r="AO27" s="23">
        <f ca="1">E25*((1+$C$23)^2-1)</f>
        <v>552.82398272323496</v>
      </c>
      <c r="AP27" s="23">
        <v>0</v>
      </c>
      <c r="AQ27" s="23">
        <v>0</v>
      </c>
      <c r="AR27" s="23">
        <v>0</v>
      </c>
      <c r="AU27" s="23">
        <f t="shared" si="12"/>
        <v>1666.6666666666667</v>
      </c>
      <c r="AV27" s="23">
        <f t="shared" si="6"/>
        <v>1666.6666666666667</v>
      </c>
      <c r="AW27" s="23">
        <f>$E$23/($B$17-$B$16)*2</f>
        <v>3333.3333333333335</v>
      </c>
      <c r="AX27" s="23">
        <v>0</v>
      </c>
      <c r="AY27" s="23">
        <v>0</v>
      </c>
      <c r="AZ27" s="23">
        <v>0</v>
      </c>
      <c r="BG27" s="137">
        <f t="shared" ca="1" si="13"/>
        <v>55697.360912723219</v>
      </c>
      <c r="BH27" s="140">
        <f t="shared" si="14"/>
        <v>0</v>
      </c>
      <c r="BI27" s="140"/>
      <c r="BJ27" s="140"/>
      <c r="DO27" s="23">
        <f t="shared" ca="1" si="15"/>
        <v>1052.9849326783497</v>
      </c>
    </row>
    <row r="28" spans="1:119" x14ac:dyDescent="0.25">
      <c r="A28" s="68">
        <f t="shared" si="0"/>
        <v>5</v>
      </c>
      <c r="B28" s="68" t="str">
        <f t="shared" si="1"/>
        <v>carência</v>
      </c>
      <c r="C28" s="156">
        <f t="shared" ca="1" si="7"/>
        <v>278.48680456361609</v>
      </c>
      <c r="D28" s="156">
        <f t="shared" si="8"/>
        <v>0</v>
      </c>
      <c r="E28" s="162">
        <f t="shared" ca="1" si="9"/>
        <v>55975.84771728683</v>
      </c>
      <c r="F28" s="156">
        <f t="shared" ca="1" si="2"/>
        <v>278.48680456361609</v>
      </c>
      <c r="G28" s="171">
        <f t="shared" si="10"/>
        <v>0</v>
      </c>
      <c r="AE28" s="5"/>
      <c r="AG28" s="2" t="s">
        <v>53</v>
      </c>
      <c r="AH28" s="2" t="s">
        <v>54</v>
      </c>
      <c r="AL28" s="23">
        <f t="shared" ca="1" si="4"/>
        <v>278.48680456361609</v>
      </c>
      <c r="AM28" s="23">
        <f t="shared" ca="1" si="11"/>
        <v>278.48680456361609</v>
      </c>
      <c r="AN28" s="23">
        <f t="shared" ca="1" si="5"/>
        <v>278.48680456361609</v>
      </c>
      <c r="AO28" s="23">
        <v>0</v>
      </c>
      <c r="AP28" s="23">
        <v>0</v>
      </c>
      <c r="AQ28" s="23">
        <v>0</v>
      </c>
      <c r="AR28" s="23">
        <v>0</v>
      </c>
      <c r="AU28" s="23">
        <f t="shared" si="12"/>
        <v>1666.6666666666667</v>
      </c>
      <c r="AV28" s="23">
        <f t="shared" si="6"/>
        <v>1666.6666666666667</v>
      </c>
      <c r="AW28" s="23">
        <v>0</v>
      </c>
      <c r="AX28" s="23">
        <v>0</v>
      </c>
      <c r="AY28" s="23">
        <v>0</v>
      </c>
      <c r="AZ28" s="23">
        <v>0</v>
      </c>
      <c r="BG28" s="137">
        <f t="shared" ca="1" si="13"/>
        <v>55975.84771728683</v>
      </c>
      <c r="BH28" s="140">
        <f t="shared" si="14"/>
        <v>0</v>
      </c>
      <c r="BI28" s="140"/>
      <c r="BJ28" s="140"/>
      <c r="DO28" s="23">
        <f t="shared" ca="1" si="15"/>
        <v>1058.2498573417411</v>
      </c>
    </row>
    <row r="29" spans="1:119" x14ac:dyDescent="0.25">
      <c r="A29" s="68">
        <f t="shared" si="0"/>
        <v>6</v>
      </c>
      <c r="B29" s="68" t="str">
        <f t="shared" si="1"/>
        <v>carência</v>
      </c>
      <c r="C29" s="156">
        <f t="shared" ca="1" si="7"/>
        <v>279.87923858643416</v>
      </c>
      <c r="D29" s="156">
        <f t="shared" si="8"/>
        <v>0</v>
      </c>
      <c r="E29" s="162">
        <f t="shared" ca="1" si="9"/>
        <v>56255.726955873259</v>
      </c>
      <c r="F29" s="156">
        <f t="shared" ca="1" si="2"/>
        <v>279.87923858643416</v>
      </c>
      <c r="G29" s="171">
        <f t="shared" si="10"/>
        <v>0</v>
      </c>
      <c r="AA29" s="2">
        <v>0</v>
      </c>
      <c r="AB29" s="8">
        <f ca="1">D17</f>
        <v>46240</v>
      </c>
      <c r="AC29" s="9">
        <f ca="1">IF(AB29="","",AC27)</f>
        <v>50000</v>
      </c>
      <c r="AD29" s="9">
        <f t="shared" ref="AD29:AD71" si="16">IF(AA29="","",IF(AA29&lt;=B$16,0,B$15/(B$17-B$16)))</f>
        <v>0</v>
      </c>
      <c r="AL29" s="23">
        <f t="shared" ca="1" si="4"/>
        <v>279.87923858643416</v>
      </c>
      <c r="AM29" s="23">
        <f t="shared" ca="1" si="11"/>
        <v>279.87923858643416</v>
      </c>
      <c r="AN29" s="23">
        <f t="shared" ca="1" si="5"/>
        <v>279.87923858643416</v>
      </c>
      <c r="AO29" s="23">
        <f ca="1">E27*((1+$C$23)^2-1)</f>
        <v>558.36604315003513</v>
      </c>
      <c r="AP29" s="23">
        <f ca="1">E26*((1+$C$23)^3-1)</f>
        <v>835.46734122327996</v>
      </c>
      <c r="AQ29" s="23">
        <f t="shared" ref="AQ29" si="17">E23*((1+$C$23)^6-1)</f>
        <v>1518.8754696882302</v>
      </c>
      <c r="AR29" s="23">
        <v>0</v>
      </c>
      <c r="AU29" s="23">
        <f t="shared" si="12"/>
        <v>1666.6666666666667</v>
      </c>
      <c r="AV29" s="23">
        <f t="shared" si="6"/>
        <v>1666.6666666666667</v>
      </c>
      <c r="AW29" s="23">
        <f>$E$23/($B$17-$B$16)*2</f>
        <v>3333.3333333333335</v>
      </c>
      <c r="AX29" s="23">
        <f>$E$23/($B$17-$B$16)*3</f>
        <v>5000</v>
      </c>
      <c r="AY29" s="23">
        <f>$E$23/($B$17-$B$16)*6</f>
        <v>10000</v>
      </c>
      <c r="AZ29" s="23">
        <v>0</v>
      </c>
      <c r="BG29" s="137">
        <f t="shared" ca="1" si="13"/>
        <v>56255.726955873259</v>
      </c>
      <c r="BH29" s="140">
        <f t="shared" si="14"/>
        <v>0</v>
      </c>
      <c r="BI29" s="140"/>
      <c r="BJ29" s="140"/>
      <c r="DO29" s="23">
        <f t="shared" ca="1" si="15"/>
        <v>1063.5411066284498</v>
      </c>
    </row>
    <row r="30" spans="1:119" x14ac:dyDescent="0.25">
      <c r="A30" s="68">
        <f t="shared" si="0"/>
        <v>7</v>
      </c>
      <c r="B30" s="68" t="str">
        <f t="shared" si="1"/>
        <v>carência</v>
      </c>
      <c r="C30" s="156">
        <f t="shared" ca="1" si="7"/>
        <v>281.27863477936631</v>
      </c>
      <c r="D30" s="156">
        <f t="shared" si="8"/>
        <v>0</v>
      </c>
      <c r="E30" s="162">
        <f t="shared" ca="1" si="9"/>
        <v>56537.005590652618</v>
      </c>
      <c r="F30" s="156">
        <f t="shared" ca="1" si="2"/>
        <v>281.27863477936631</v>
      </c>
      <c r="G30" s="171">
        <f t="shared" si="10"/>
        <v>0</v>
      </c>
      <c r="AA30" s="2">
        <f t="shared" ref="AA30:AA71" si="18">IF(AA29&lt;B$17,AA29+1,"")</f>
        <v>1</v>
      </c>
      <c r="AB30" s="8">
        <f ca="1">IF(AA30="","",AB29+30)</f>
        <v>46270</v>
      </c>
      <c r="AC30" s="9">
        <f t="shared" ref="AC30:AC41" ca="1" si="19">IF(AB30="","",IF(AA30&lt;=B$16,AC29,AC29-AD30))</f>
        <v>50000</v>
      </c>
      <c r="AD30" s="9">
        <f t="shared" si="16"/>
        <v>0</v>
      </c>
      <c r="AE30" s="2">
        <f ca="1">IF(AD30="","",AB30-AB29)</f>
        <v>30</v>
      </c>
      <c r="AF30" s="2">
        <f ca="1">IF(AE30="","",AB30-AB$29)</f>
        <v>30</v>
      </c>
      <c r="AG30" s="9">
        <f ca="1">IF(AF30="","",IF(AF30&lt;365,AF30*AC$25*AD30,365*AD30*AC$25))</f>
        <v>0</v>
      </c>
      <c r="AH30" s="9">
        <f ca="1">IF(AF30="","",IF(AF30&lt;365,AF30*AC$26*AD30,365*AD30*AC$26))</f>
        <v>0</v>
      </c>
      <c r="AL30" s="23">
        <f t="shared" ca="1" si="4"/>
        <v>281.27863477936631</v>
      </c>
      <c r="AM30" s="23">
        <f t="shared" ca="1" si="11"/>
        <v>281.27863477936631</v>
      </c>
      <c r="AN30" s="23">
        <f t="shared" ca="1" si="5"/>
        <v>281.27863477936631</v>
      </c>
      <c r="AO30" s="23">
        <v>0</v>
      </c>
      <c r="AP30" s="23">
        <v>0</v>
      </c>
      <c r="AQ30" s="23">
        <v>0</v>
      </c>
      <c r="AR30" s="23">
        <v>0</v>
      </c>
      <c r="AU30" s="23">
        <f t="shared" si="12"/>
        <v>1666.6666666666667</v>
      </c>
      <c r="AV30" s="23">
        <f t="shared" si="6"/>
        <v>1666.6666666666667</v>
      </c>
      <c r="AW30" s="23">
        <v>0</v>
      </c>
      <c r="AX30" s="23">
        <v>0</v>
      </c>
      <c r="AY30" s="23">
        <v>0</v>
      </c>
      <c r="AZ30" s="23">
        <v>0</v>
      </c>
      <c r="BG30" s="137">
        <f t="shared" ca="1" si="13"/>
        <v>56537.005590652618</v>
      </c>
      <c r="BH30" s="140">
        <f t="shared" si="14"/>
        <v>0</v>
      </c>
      <c r="BI30" s="140"/>
      <c r="BJ30" s="140"/>
      <c r="DO30" s="23">
        <f t="shared" ca="1" si="15"/>
        <v>1068.8588121615919</v>
      </c>
    </row>
    <row r="31" spans="1:119" x14ac:dyDescent="0.25">
      <c r="A31" s="68">
        <f t="shared" si="0"/>
        <v>8</v>
      </c>
      <c r="B31" s="68" t="str">
        <f t="shared" si="1"/>
        <v>carência</v>
      </c>
      <c r="C31" s="156">
        <f t="shared" ca="1" si="7"/>
        <v>282.6850279532631</v>
      </c>
      <c r="D31" s="156">
        <f t="shared" si="8"/>
        <v>0</v>
      </c>
      <c r="E31" s="162">
        <f t="shared" ca="1" si="9"/>
        <v>56819.690618605877</v>
      </c>
      <c r="F31" s="156">
        <f t="shared" ca="1" si="2"/>
        <v>282.6850279532631</v>
      </c>
      <c r="G31" s="171">
        <f t="shared" si="10"/>
        <v>0</v>
      </c>
      <c r="AA31" s="2">
        <f t="shared" si="18"/>
        <v>2</v>
      </c>
      <c r="AB31" s="8">
        <f t="shared" ref="AB31:AB71" ca="1" si="20">IF(AA31="","",AB30+30)</f>
        <v>46300</v>
      </c>
      <c r="AC31" s="9">
        <f t="shared" ca="1" si="19"/>
        <v>50000</v>
      </c>
      <c r="AD31" s="9">
        <f t="shared" si="16"/>
        <v>0</v>
      </c>
      <c r="AE31" s="2">
        <f t="shared" ref="AE31:AE71" ca="1" si="21">IF(AD31="","",AB31-AB30)</f>
        <v>30</v>
      </c>
      <c r="AF31" s="2">
        <f t="shared" ref="AF31:AF71" ca="1" si="22">IF(AE31="","",AB31-AB$29)</f>
        <v>60</v>
      </c>
      <c r="AG31" s="9">
        <f t="shared" ref="AG31:AG71" ca="1" si="23">IF(AF31="","",IF(AF31&lt;365,AF31*AC$25*AD31,365*AD31*AC$25))</f>
        <v>0</v>
      </c>
      <c r="AH31" s="9">
        <f t="shared" ref="AH31:AH71" ca="1" si="24">IF(AF31="","",IF(AF31&lt;365,AF31*AC$26*AD31,365*AD31*AC$26))</f>
        <v>0</v>
      </c>
      <c r="AL31" s="23">
        <f t="shared" ca="1" si="4"/>
        <v>282.6850279532631</v>
      </c>
      <c r="AM31" s="23">
        <f t="shared" ca="1" si="11"/>
        <v>282.6850279532631</v>
      </c>
      <c r="AN31" s="23">
        <f t="shared" ca="1" si="5"/>
        <v>282.6850279532631</v>
      </c>
      <c r="AO31" s="23">
        <f ca="1">E29*((1+$C$23)^2-1)</f>
        <v>563.96366273261413</v>
      </c>
      <c r="AP31" s="23">
        <v>0</v>
      </c>
      <c r="AQ31" s="23">
        <v>0</v>
      </c>
      <c r="AR31" s="23">
        <v>0</v>
      </c>
      <c r="AU31" s="23">
        <f t="shared" si="12"/>
        <v>1666.6666666666667</v>
      </c>
      <c r="AV31" s="23">
        <f t="shared" si="6"/>
        <v>1666.6666666666667</v>
      </c>
      <c r="AW31" s="23">
        <f>$E$23/($B$17-$B$16)*2</f>
        <v>3333.3333333333335</v>
      </c>
      <c r="AX31" s="23">
        <v>0</v>
      </c>
      <c r="AY31" s="23">
        <v>0</v>
      </c>
      <c r="AZ31" s="23">
        <v>0</v>
      </c>
      <c r="BG31" s="137">
        <f t="shared" ca="1" si="13"/>
        <v>56819.690618605877</v>
      </c>
      <c r="BH31" s="140">
        <f t="shared" si="14"/>
        <v>0</v>
      </c>
      <c r="BI31" s="140"/>
      <c r="BJ31" s="140"/>
      <c r="DO31" s="23">
        <f t="shared" ca="1" si="15"/>
        <v>1074.2031062223998</v>
      </c>
    </row>
    <row r="32" spans="1:119" x14ac:dyDescent="0.25">
      <c r="A32" s="68">
        <f t="shared" si="0"/>
        <v>9</v>
      </c>
      <c r="B32" s="68" t="str">
        <f t="shared" si="1"/>
        <v>carência</v>
      </c>
      <c r="C32" s="156">
        <f t="shared" ca="1" si="7"/>
        <v>284.09845309302938</v>
      </c>
      <c r="D32" s="156">
        <f t="shared" si="8"/>
        <v>0</v>
      </c>
      <c r="E32" s="162">
        <f t="shared" ca="1" si="9"/>
        <v>57103.789071698899</v>
      </c>
      <c r="F32" s="156">
        <f t="shared" ca="1" si="2"/>
        <v>284.09845309302938</v>
      </c>
      <c r="G32" s="171">
        <f t="shared" si="10"/>
        <v>0</v>
      </c>
      <c r="AA32" s="2">
        <f t="shared" si="18"/>
        <v>3</v>
      </c>
      <c r="AB32" s="8">
        <f t="shared" ca="1" si="20"/>
        <v>46330</v>
      </c>
      <c r="AC32" s="9">
        <f t="shared" ca="1" si="19"/>
        <v>50000</v>
      </c>
      <c r="AD32" s="9">
        <f t="shared" si="16"/>
        <v>0</v>
      </c>
      <c r="AE32" s="2">
        <f t="shared" ca="1" si="21"/>
        <v>30</v>
      </c>
      <c r="AF32" s="2">
        <f t="shared" ca="1" si="22"/>
        <v>90</v>
      </c>
      <c r="AG32" s="9">
        <f t="shared" ca="1" si="23"/>
        <v>0</v>
      </c>
      <c r="AH32" s="9">
        <f t="shared" ca="1" si="24"/>
        <v>0</v>
      </c>
      <c r="AL32" s="23">
        <f t="shared" ca="1" si="4"/>
        <v>284.09845309302938</v>
      </c>
      <c r="AM32" s="23">
        <f t="shared" ca="1" si="11"/>
        <v>284.09845309302938</v>
      </c>
      <c r="AN32" s="23">
        <f t="shared" ca="1" si="5"/>
        <v>284.09845309302938</v>
      </c>
      <c r="AO32" s="23">
        <v>0</v>
      </c>
      <c r="AP32" s="23">
        <f ca="1">E29*((1+$C$23)^3-1)</f>
        <v>848.06211582563822</v>
      </c>
      <c r="AQ32" s="23">
        <v>0</v>
      </c>
      <c r="AR32" s="23">
        <v>0</v>
      </c>
      <c r="AU32" s="23">
        <f t="shared" si="12"/>
        <v>1666.6666666666667</v>
      </c>
      <c r="AV32" s="23">
        <f t="shared" si="6"/>
        <v>1666.6666666666667</v>
      </c>
      <c r="AW32" s="23">
        <v>0</v>
      </c>
      <c r="AX32" s="23">
        <f>$E$23/($B$17-$B$16)*3</f>
        <v>5000</v>
      </c>
      <c r="AY32" s="23">
        <v>0</v>
      </c>
      <c r="AZ32" s="23">
        <v>0</v>
      </c>
      <c r="BG32" s="137">
        <f t="shared" ca="1" si="13"/>
        <v>57103.789071698899</v>
      </c>
      <c r="BH32" s="140">
        <f t="shared" si="14"/>
        <v>0</v>
      </c>
      <c r="BI32" s="140"/>
      <c r="BJ32" s="140"/>
      <c r="DO32" s="23">
        <f t="shared" ca="1" si="15"/>
        <v>1079.5741217535117</v>
      </c>
    </row>
    <row r="33" spans="1:119" x14ac:dyDescent="0.25">
      <c r="A33" s="68">
        <f t="shared" si="0"/>
        <v>10</v>
      </c>
      <c r="B33" s="68" t="str">
        <f t="shared" si="1"/>
        <v>carência</v>
      </c>
      <c r="C33" s="156">
        <f t="shared" ca="1" si="7"/>
        <v>285.51894535849448</v>
      </c>
      <c r="D33" s="156">
        <f t="shared" si="8"/>
        <v>0</v>
      </c>
      <c r="E33" s="162">
        <f t="shared" ca="1" si="9"/>
        <v>57389.308017057388</v>
      </c>
      <c r="F33" s="156">
        <f t="shared" ca="1" si="2"/>
        <v>285.51894535849448</v>
      </c>
      <c r="G33" s="171">
        <f t="shared" si="10"/>
        <v>0</v>
      </c>
      <c r="AA33" s="2">
        <f t="shared" si="18"/>
        <v>4</v>
      </c>
      <c r="AB33" s="8">
        <f t="shared" ca="1" si="20"/>
        <v>46360</v>
      </c>
      <c r="AC33" s="9">
        <f t="shared" ca="1" si="19"/>
        <v>50000</v>
      </c>
      <c r="AD33" s="9">
        <f t="shared" si="16"/>
        <v>0</v>
      </c>
      <c r="AE33" s="2">
        <f t="shared" ca="1" si="21"/>
        <v>30</v>
      </c>
      <c r="AF33" s="2">
        <f t="shared" ca="1" si="22"/>
        <v>120</v>
      </c>
      <c r="AG33" s="9">
        <f t="shared" ca="1" si="23"/>
        <v>0</v>
      </c>
      <c r="AH33" s="9">
        <f t="shared" ca="1" si="24"/>
        <v>0</v>
      </c>
      <c r="AL33" s="23">
        <f t="shared" ca="1" si="4"/>
        <v>285.51894535849448</v>
      </c>
      <c r="AM33" s="23">
        <f t="shared" ca="1" si="11"/>
        <v>285.51894535849448</v>
      </c>
      <c r="AN33" s="23">
        <f t="shared" ca="1" si="5"/>
        <v>285.51894535849448</v>
      </c>
      <c r="AO33" s="23">
        <f ca="1">E31*((1+$C$23)^2-1)</f>
        <v>569.61739845150851</v>
      </c>
      <c r="AP33" s="23">
        <v>0</v>
      </c>
      <c r="AQ33" s="23">
        <v>0</v>
      </c>
      <c r="AR33" s="23">
        <v>0</v>
      </c>
      <c r="AU33" s="23">
        <f t="shared" si="12"/>
        <v>1666.6666666666667</v>
      </c>
      <c r="AV33" s="23">
        <f t="shared" si="6"/>
        <v>1666.6666666666667</v>
      </c>
      <c r="AW33" s="23">
        <f>$E$23/($B$17-$B$16)*2</f>
        <v>3333.3333333333335</v>
      </c>
      <c r="AX33" s="23">
        <v>0</v>
      </c>
      <c r="AY33" s="23">
        <v>0</v>
      </c>
      <c r="AZ33" s="23">
        <v>0</v>
      </c>
      <c r="BG33" s="137">
        <f t="shared" ca="1" si="13"/>
        <v>57389.308017057388</v>
      </c>
      <c r="BH33" s="140">
        <f t="shared" si="14"/>
        <v>0</v>
      </c>
      <c r="BI33" s="140"/>
      <c r="BJ33" s="140"/>
      <c r="DO33" s="23">
        <f t="shared" ca="1" si="15"/>
        <v>1084.971992362279</v>
      </c>
    </row>
    <row r="34" spans="1:119" x14ac:dyDescent="0.25">
      <c r="A34" s="68">
        <f t="shared" si="0"/>
        <v>11</v>
      </c>
      <c r="B34" s="68" t="str">
        <f t="shared" si="1"/>
        <v>carência</v>
      </c>
      <c r="C34" s="156">
        <f t="shared" ca="1" si="7"/>
        <v>286.94654008528693</v>
      </c>
      <c r="D34" s="156">
        <f t="shared" si="8"/>
        <v>0</v>
      </c>
      <c r="E34" s="162">
        <f t="shared" ca="1" si="9"/>
        <v>57676.254557142667</v>
      </c>
      <c r="F34" s="156">
        <f t="shared" ca="1" si="2"/>
        <v>286.94654008528693</v>
      </c>
      <c r="G34" s="171">
        <f t="shared" si="10"/>
        <v>0</v>
      </c>
      <c r="AA34" s="2">
        <f t="shared" si="18"/>
        <v>5</v>
      </c>
      <c r="AB34" s="8">
        <f t="shared" ca="1" si="20"/>
        <v>46390</v>
      </c>
      <c r="AC34" s="9">
        <f t="shared" ca="1" si="19"/>
        <v>50000</v>
      </c>
      <c r="AD34" s="9">
        <f t="shared" si="16"/>
        <v>0</v>
      </c>
      <c r="AE34" s="2">
        <f t="shared" ca="1" si="21"/>
        <v>30</v>
      </c>
      <c r="AF34" s="2">
        <f t="shared" ca="1" si="22"/>
        <v>150</v>
      </c>
      <c r="AG34" s="9">
        <f t="shared" ca="1" si="23"/>
        <v>0</v>
      </c>
      <c r="AH34" s="9">
        <f t="shared" ca="1" si="24"/>
        <v>0</v>
      </c>
      <c r="AL34" s="23">
        <f t="shared" ca="1" si="4"/>
        <v>286.94654008528693</v>
      </c>
      <c r="AM34" s="23">
        <f t="shared" ca="1" si="11"/>
        <v>286.94654008528693</v>
      </c>
      <c r="AN34" s="23">
        <f t="shared" ca="1" si="5"/>
        <v>286.94654008528693</v>
      </c>
      <c r="AO34" s="23">
        <v>0</v>
      </c>
      <c r="AP34" s="23">
        <v>0</v>
      </c>
      <c r="AQ34" s="23">
        <v>0</v>
      </c>
      <c r="AR34" s="23">
        <v>0</v>
      </c>
      <c r="AU34" s="23">
        <f t="shared" si="12"/>
        <v>1666.6666666666667</v>
      </c>
      <c r="AV34" s="23">
        <f t="shared" si="6"/>
        <v>1666.6666666666667</v>
      </c>
      <c r="AW34" s="23">
        <v>0</v>
      </c>
      <c r="AX34" s="23">
        <v>0</v>
      </c>
      <c r="AY34" s="23">
        <v>0</v>
      </c>
      <c r="AZ34" s="23">
        <v>0</v>
      </c>
      <c r="BG34" s="137">
        <f t="shared" ca="1" si="13"/>
        <v>57676.254557142667</v>
      </c>
      <c r="BH34" s="140">
        <f t="shared" si="14"/>
        <v>0</v>
      </c>
      <c r="BI34" s="140"/>
      <c r="BJ34" s="140"/>
      <c r="DO34" s="23">
        <f t="shared" ca="1" si="15"/>
        <v>1090.3968523240903</v>
      </c>
    </row>
    <row r="35" spans="1:119" x14ac:dyDescent="0.25">
      <c r="A35" s="68">
        <f t="shared" si="0"/>
        <v>12</v>
      </c>
      <c r="B35" s="68" t="str">
        <f t="shared" si="1"/>
        <v>carência</v>
      </c>
      <c r="C35" s="156">
        <f t="shared" ca="1" si="7"/>
        <v>288.38127278571335</v>
      </c>
      <c r="D35" s="156">
        <f t="shared" si="8"/>
        <v>0</v>
      </c>
      <c r="E35" s="162">
        <f t="shared" ca="1" si="9"/>
        <v>57964.635829928375</v>
      </c>
      <c r="F35" s="156">
        <f t="shared" ca="1" si="2"/>
        <v>288.38127278571335</v>
      </c>
      <c r="G35" s="171">
        <f t="shared" si="10"/>
        <v>0</v>
      </c>
      <c r="AA35" s="2">
        <f t="shared" si="18"/>
        <v>6</v>
      </c>
      <c r="AB35" s="8">
        <f t="shared" ca="1" si="20"/>
        <v>46420</v>
      </c>
      <c r="AC35" s="9">
        <f t="shared" ca="1" si="19"/>
        <v>50000</v>
      </c>
      <c r="AD35" s="9">
        <f t="shared" si="16"/>
        <v>0</v>
      </c>
      <c r="AE35" s="2">
        <f t="shared" ca="1" si="21"/>
        <v>30</v>
      </c>
      <c r="AF35" s="2">
        <f t="shared" ca="1" si="22"/>
        <v>180</v>
      </c>
      <c r="AG35" s="9">
        <f t="shared" ca="1" si="23"/>
        <v>0</v>
      </c>
      <c r="AH35" s="9">
        <f t="shared" ca="1" si="24"/>
        <v>0</v>
      </c>
      <c r="AL35" s="23">
        <f t="shared" ca="1" si="4"/>
        <v>288.38127278571335</v>
      </c>
      <c r="AM35" s="23">
        <f t="shared" ca="1" si="11"/>
        <v>288.38127278571335</v>
      </c>
      <c r="AN35" s="23">
        <f t="shared" ca="1" si="5"/>
        <v>288.38127278571335</v>
      </c>
      <c r="AO35" s="23">
        <f ca="1">E33*((1+$C$23)^2-1)</f>
        <v>575.32781287098476</v>
      </c>
      <c r="AP35" s="23">
        <f ca="1">E32*((1+$C$23)^3-1)</f>
        <v>860.84675822947395</v>
      </c>
      <c r="AQ35" s="23">
        <f ca="1">E29*((1+$C$23)^6-1)</f>
        <v>1708.9088740550965</v>
      </c>
      <c r="AR35" s="23">
        <f>E23*((1+$C$23)^12-1)</f>
        <v>3083.8905932248804</v>
      </c>
      <c r="AU35" s="23">
        <f t="shared" si="12"/>
        <v>1666.6666666666667</v>
      </c>
      <c r="AV35" s="23">
        <f t="shared" si="6"/>
        <v>1666.6666666666667</v>
      </c>
      <c r="AW35" s="23">
        <f>$E$23/($B$17-$B$16)*2</f>
        <v>3333.3333333333335</v>
      </c>
      <c r="AX35" s="23">
        <f>$E$23/($B$17-$B$16)*3</f>
        <v>5000</v>
      </c>
      <c r="AY35" s="23">
        <f>$E$23/($B$17-$B$16)*6</f>
        <v>10000</v>
      </c>
      <c r="AZ35" s="23">
        <f>$E$23/($B$17-$B$16)*12</f>
        <v>20000</v>
      </c>
      <c r="BG35" s="137">
        <f t="shared" ca="1" si="13"/>
        <v>57964.635829928375</v>
      </c>
      <c r="BH35" s="140">
        <f t="shared" si="14"/>
        <v>0</v>
      </c>
      <c r="BI35" s="140"/>
      <c r="BJ35" s="140"/>
      <c r="DO35" s="23">
        <f t="shared" ca="1" si="15"/>
        <v>1095.8488365857106</v>
      </c>
    </row>
    <row r="36" spans="1:119" x14ac:dyDescent="0.25">
      <c r="A36" s="68">
        <f t="shared" si="0"/>
        <v>13</v>
      </c>
      <c r="B36" s="68" t="str">
        <f t="shared" si="1"/>
        <v>carência</v>
      </c>
      <c r="C36" s="156">
        <f t="shared" ca="1" si="7"/>
        <v>289.82317914964187</v>
      </c>
      <c r="D36" s="156">
        <f>IF($BG$21=TRUE,BH36,IF(C36="","",IF(A36&lt;=B$16,0,AU36)))</f>
        <v>0</v>
      </c>
      <c r="E36" s="162">
        <f t="shared" ca="1" si="9"/>
        <v>58254.459009078011</v>
      </c>
      <c r="F36" s="156">
        <f t="shared" ca="1" si="2"/>
        <v>289.82317914964187</v>
      </c>
      <c r="G36" s="171">
        <f t="shared" si="10"/>
        <v>0</v>
      </c>
      <c r="AA36" s="2">
        <f t="shared" si="18"/>
        <v>7</v>
      </c>
      <c r="AB36" s="8">
        <f t="shared" ca="1" si="20"/>
        <v>46450</v>
      </c>
      <c r="AC36" s="9">
        <f t="shared" ca="1" si="19"/>
        <v>50000</v>
      </c>
      <c r="AD36" s="9">
        <f t="shared" si="16"/>
        <v>0</v>
      </c>
      <c r="AE36" s="2">
        <f t="shared" ca="1" si="21"/>
        <v>30</v>
      </c>
      <c r="AF36" s="2">
        <f t="shared" ca="1" si="22"/>
        <v>210</v>
      </c>
      <c r="AG36" s="9">
        <f t="shared" ca="1" si="23"/>
        <v>0</v>
      </c>
      <c r="AH36" s="9">
        <f t="shared" ca="1" si="24"/>
        <v>0</v>
      </c>
      <c r="AL36" s="23">
        <f t="shared" ca="1" si="4"/>
        <v>289.82317914964187</v>
      </c>
      <c r="AM36" s="23">
        <f t="shared" ca="1" si="11"/>
        <v>289.82317914964187</v>
      </c>
      <c r="AN36" s="23">
        <f t="shared" ca="1" si="5"/>
        <v>289.82317914964187</v>
      </c>
      <c r="AO36" s="23">
        <v>0</v>
      </c>
      <c r="AP36" s="23">
        <v>0</v>
      </c>
      <c r="AQ36" s="23">
        <v>0</v>
      </c>
      <c r="AR36" s="23">
        <v>0</v>
      </c>
      <c r="AU36" s="23">
        <f t="shared" si="12"/>
        <v>1666.6666666666667</v>
      </c>
      <c r="AV36" s="23">
        <f t="shared" si="6"/>
        <v>1666.6666666666667</v>
      </c>
      <c r="AW36" s="23">
        <v>0</v>
      </c>
      <c r="AX36" s="23">
        <v>0</v>
      </c>
      <c r="AY36" s="23">
        <v>0</v>
      </c>
      <c r="AZ36" s="23">
        <v>0</v>
      </c>
      <c r="BG36" s="137">
        <f ca="1">IF(A36&lt;=$B$16,BG35*(1+$C$23),BG35-BH36)</f>
        <v>58254.459009078011</v>
      </c>
      <c r="BH36" s="140">
        <f t="shared" si="14"/>
        <v>0</v>
      </c>
      <c r="BI36" s="140"/>
      <c r="BJ36" s="140"/>
      <c r="DO36" s="23">
        <f t="shared" ca="1" si="15"/>
        <v>1101.328080768639</v>
      </c>
    </row>
    <row r="37" spans="1:119" x14ac:dyDescent="0.25">
      <c r="A37" s="68">
        <f t="shared" si="0"/>
        <v>14</v>
      </c>
      <c r="B37" s="68" t="str">
        <f t="shared" si="1"/>
        <v>carência</v>
      </c>
      <c r="C37" s="156">
        <f t="shared" ca="1" si="7"/>
        <v>291.27229504539008</v>
      </c>
      <c r="D37" s="156">
        <f t="shared" si="8"/>
        <v>0</v>
      </c>
      <c r="E37" s="162">
        <f t="shared" ca="1" si="9"/>
        <v>58545.731304123394</v>
      </c>
      <c r="F37" s="156">
        <f t="shared" ca="1" si="2"/>
        <v>291.27229504539008</v>
      </c>
      <c r="G37" s="171">
        <f t="shared" si="10"/>
        <v>0</v>
      </c>
      <c r="AA37" s="2">
        <f t="shared" si="18"/>
        <v>8</v>
      </c>
      <c r="AB37" s="8">
        <f t="shared" ca="1" si="20"/>
        <v>46480</v>
      </c>
      <c r="AC37" s="9">
        <f t="shared" ca="1" si="19"/>
        <v>50000</v>
      </c>
      <c r="AD37" s="9">
        <f t="shared" si="16"/>
        <v>0</v>
      </c>
      <c r="AE37" s="2">
        <f t="shared" ca="1" si="21"/>
        <v>30</v>
      </c>
      <c r="AF37" s="2">
        <f t="shared" ca="1" si="22"/>
        <v>240</v>
      </c>
      <c r="AG37" s="9">
        <f t="shared" ca="1" si="23"/>
        <v>0</v>
      </c>
      <c r="AH37" s="9">
        <f t="shared" ca="1" si="24"/>
        <v>0</v>
      </c>
      <c r="AL37" s="23">
        <f t="shared" ca="1" si="4"/>
        <v>291.27229504539008</v>
      </c>
      <c r="AM37" s="23">
        <f t="shared" ca="1" si="11"/>
        <v>291.27229504539008</v>
      </c>
      <c r="AN37" s="23">
        <f t="shared" ca="1" si="5"/>
        <v>291.27229504539008</v>
      </c>
      <c r="AO37" s="23">
        <f ca="1">E35*((1+$C$23)^2-1)</f>
        <v>581.09547419501621</v>
      </c>
      <c r="AP37" s="23">
        <v>0</v>
      </c>
      <c r="AQ37" s="23">
        <v>0</v>
      </c>
      <c r="AR37" s="23">
        <v>0</v>
      </c>
      <c r="AU37" s="23">
        <f t="shared" si="12"/>
        <v>1666.6666666666667</v>
      </c>
      <c r="AV37" s="23">
        <f t="shared" si="6"/>
        <v>1666.6666666666667</v>
      </c>
      <c r="AW37" s="23">
        <f>$E$23/($B$17-$B$16)*2</f>
        <v>3333.3333333333335</v>
      </c>
      <c r="AX37" s="23">
        <v>0</v>
      </c>
      <c r="AY37" s="23">
        <v>0</v>
      </c>
      <c r="AZ37" s="23">
        <v>0</v>
      </c>
      <c r="BG37" s="137">
        <f t="shared" ca="1" si="13"/>
        <v>58545.731304123394</v>
      </c>
      <c r="BH37" s="140">
        <f t="shared" si="14"/>
        <v>0</v>
      </c>
      <c r="BI37" s="140"/>
      <c r="BJ37" s="140"/>
      <c r="DO37" s="23">
        <f t="shared" ca="1" si="15"/>
        <v>1106.8347211724822</v>
      </c>
    </row>
    <row r="38" spans="1:119" x14ac:dyDescent="0.25">
      <c r="A38" s="68">
        <f t="shared" si="0"/>
        <v>15</v>
      </c>
      <c r="B38" s="68" t="str">
        <f t="shared" si="1"/>
        <v>carência</v>
      </c>
      <c r="C38" s="156">
        <f t="shared" ca="1" si="7"/>
        <v>292.72865652061699</v>
      </c>
      <c r="D38" s="156">
        <f t="shared" si="8"/>
        <v>0</v>
      </c>
      <c r="E38" s="162">
        <f t="shared" ca="1" si="9"/>
        <v>58838.459960644002</v>
      </c>
      <c r="F38" s="156">
        <f t="shared" ca="1" si="2"/>
        <v>292.72865652061699</v>
      </c>
      <c r="G38" s="171">
        <f t="shared" si="10"/>
        <v>0</v>
      </c>
      <c r="AA38" s="2">
        <f t="shared" si="18"/>
        <v>9</v>
      </c>
      <c r="AB38" s="8">
        <f t="shared" ca="1" si="20"/>
        <v>46510</v>
      </c>
      <c r="AC38" s="9">
        <f t="shared" ca="1" si="19"/>
        <v>50000</v>
      </c>
      <c r="AD38" s="9">
        <f t="shared" si="16"/>
        <v>0</v>
      </c>
      <c r="AE38" s="2">
        <f t="shared" ca="1" si="21"/>
        <v>30</v>
      </c>
      <c r="AF38" s="2">
        <f t="shared" ca="1" si="22"/>
        <v>270</v>
      </c>
      <c r="AG38" s="9">
        <f t="shared" ca="1" si="23"/>
        <v>0</v>
      </c>
      <c r="AH38" s="9">
        <f t="shared" ca="1" si="24"/>
        <v>0</v>
      </c>
      <c r="AL38" s="23">
        <f t="shared" ca="1" si="4"/>
        <v>292.72865652061699</v>
      </c>
      <c r="AM38" s="23">
        <f t="shared" ca="1" si="11"/>
        <v>292.72865652061699</v>
      </c>
      <c r="AN38" s="23">
        <f t="shared" ca="1" si="5"/>
        <v>292.72865652061699</v>
      </c>
      <c r="AO38" s="23">
        <v>0</v>
      </c>
      <c r="AP38" s="23">
        <f ca="1">E35*((1+$C$23)^3-1)</f>
        <v>873.8241307156278</v>
      </c>
      <c r="AQ38" s="23">
        <v>0</v>
      </c>
      <c r="AR38" s="23">
        <v>0</v>
      </c>
      <c r="AU38" s="23">
        <f t="shared" si="12"/>
        <v>1666.6666666666667</v>
      </c>
      <c r="AV38" s="23">
        <f t="shared" si="6"/>
        <v>1666.6666666666667</v>
      </c>
      <c r="AW38" s="23">
        <v>0</v>
      </c>
      <c r="AX38" s="23">
        <f>$E$23/($B$17-$B$16)*3</f>
        <v>5000</v>
      </c>
      <c r="AY38" s="23">
        <v>0</v>
      </c>
      <c r="AZ38" s="23">
        <v>0</v>
      </c>
      <c r="BG38" s="137">
        <f t="shared" ca="1" si="13"/>
        <v>58838.459960644002</v>
      </c>
      <c r="BH38" s="140">
        <f t="shared" si="14"/>
        <v>0</v>
      </c>
      <c r="BI38" s="140"/>
      <c r="BJ38" s="140"/>
      <c r="DO38" s="23">
        <f t="shared" ca="1" si="15"/>
        <v>1112.3688947783444</v>
      </c>
    </row>
    <row r="39" spans="1:119" x14ac:dyDescent="0.25">
      <c r="A39" s="68">
        <f t="shared" si="0"/>
        <v>16</v>
      </c>
      <c r="B39" s="68" t="str">
        <f t="shared" si="1"/>
        <v>carência</v>
      </c>
      <c r="C39" s="156">
        <f t="shared" ca="1" si="7"/>
        <v>294.19229980322001</v>
      </c>
      <c r="D39" s="156">
        <f t="shared" si="8"/>
        <v>0</v>
      </c>
      <c r="E39" s="162">
        <f t="shared" ca="1" si="9"/>
        <v>59132.652260447219</v>
      </c>
      <c r="F39" s="156">
        <f t="shared" ca="1" si="2"/>
        <v>294.19229980322001</v>
      </c>
      <c r="G39" s="171">
        <f t="shared" si="10"/>
        <v>0</v>
      </c>
      <c r="AA39" s="2">
        <f t="shared" si="18"/>
        <v>10</v>
      </c>
      <c r="AB39" s="8">
        <f t="shared" ca="1" si="20"/>
        <v>46540</v>
      </c>
      <c r="AC39" s="9">
        <f t="shared" ca="1" si="19"/>
        <v>50000</v>
      </c>
      <c r="AD39" s="9">
        <f t="shared" si="16"/>
        <v>0</v>
      </c>
      <c r="AE39" s="2">
        <f t="shared" ca="1" si="21"/>
        <v>30</v>
      </c>
      <c r="AF39" s="2">
        <f t="shared" ca="1" si="22"/>
        <v>300</v>
      </c>
      <c r="AG39" s="9">
        <f t="shared" ca="1" si="23"/>
        <v>0</v>
      </c>
      <c r="AH39" s="9">
        <f t="shared" ca="1" si="24"/>
        <v>0</v>
      </c>
      <c r="AL39" s="23">
        <f t="shared" ca="1" si="4"/>
        <v>294.19229980322001</v>
      </c>
      <c r="AM39" s="23">
        <f t="shared" ca="1" si="11"/>
        <v>294.19229980322001</v>
      </c>
      <c r="AN39" s="23">
        <f t="shared" ca="1" si="5"/>
        <v>294.19229980322001</v>
      </c>
      <c r="AO39" s="23">
        <f ca="1">E37*((1+$C$23)^2-1)</f>
        <v>586.92095632382109</v>
      </c>
      <c r="AP39" s="23">
        <v>0</v>
      </c>
      <c r="AQ39" s="23">
        <v>0</v>
      </c>
      <c r="AR39" s="23">
        <v>0</v>
      </c>
      <c r="AU39" s="23">
        <f t="shared" si="12"/>
        <v>1666.6666666666667</v>
      </c>
      <c r="AV39" s="23">
        <f t="shared" si="6"/>
        <v>1666.6666666666667</v>
      </c>
      <c r="AW39" s="23">
        <f>$E$23/($B$17-$B$16)*2</f>
        <v>3333.3333333333335</v>
      </c>
      <c r="AX39" s="23">
        <v>0</v>
      </c>
      <c r="AY39" s="23">
        <v>0</v>
      </c>
      <c r="AZ39" s="23">
        <v>0</v>
      </c>
      <c r="BG39" s="137">
        <f t="shared" ca="1" si="13"/>
        <v>59132.652260447219</v>
      </c>
      <c r="BH39" s="140">
        <f t="shared" si="14"/>
        <v>0</v>
      </c>
      <c r="BI39" s="140"/>
      <c r="BJ39" s="140"/>
      <c r="DO39" s="23">
        <f t="shared" ca="1" si="15"/>
        <v>1117.930739252236</v>
      </c>
    </row>
    <row r="40" spans="1:119" x14ac:dyDescent="0.25">
      <c r="A40" s="68">
        <f t="shared" si="0"/>
        <v>17</v>
      </c>
      <c r="B40" s="68" t="str">
        <f t="shared" si="1"/>
        <v>carência</v>
      </c>
      <c r="C40" s="156">
        <f t="shared" ca="1" si="7"/>
        <v>295.66326130223609</v>
      </c>
      <c r="D40" s="156">
        <f t="shared" si="8"/>
        <v>0</v>
      </c>
      <c r="E40" s="162">
        <f t="shared" ca="1" si="9"/>
        <v>59428.31552174945</v>
      </c>
      <c r="F40" s="156">
        <f t="shared" ca="1" si="2"/>
        <v>295.66326130223609</v>
      </c>
      <c r="G40" s="171">
        <f t="shared" si="10"/>
        <v>0</v>
      </c>
      <c r="AA40" s="2">
        <f t="shared" si="18"/>
        <v>11</v>
      </c>
      <c r="AB40" s="8">
        <f t="shared" ca="1" si="20"/>
        <v>46570</v>
      </c>
      <c r="AC40" s="9">
        <f t="shared" ca="1" si="19"/>
        <v>50000</v>
      </c>
      <c r="AD40" s="9">
        <f t="shared" si="16"/>
        <v>0</v>
      </c>
      <c r="AE40" s="2">
        <f t="shared" ca="1" si="21"/>
        <v>30</v>
      </c>
      <c r="AF40" s="2">
        <f t="shared" ca="1" si="22"/>
        <v>330</v>
      </c>
      <c r="AG40" s="9">
        <f t="shared" ca="1" si="23"/>
        <v>0</v>
      </c>
      <c r="AH40" s="9">
        <f t="shared" ca="1" si="24"/>
        <v>0</v>
      </c>
      <c r="AL40" s="23">
        <f t="shared" ca="1" si="4"/>
        <v>295.66326130223609</v>
      </c>
      <c r="AM40" s="23">
        <f t="shared" ca="1" si="11"/>
        <v>295.66326130223609</v>
      </c>
      <c r="AN40" s="23">
        <f t="shared" ca="1" si="5"/>
        <v>295.66326130223609</v>
      </c>
      <c r="AO40" s="23">
        <v>0</v>
      </c>
      <c r="AP40" s="23">
        <v>0</v>
      </c>
      <c r="AQ40" s="23">
        <v>0</v>
      </c>
      <c r="AR40" s="23">
        <v>0</v>
      </c>
      <c r="AU40" s="23">
        <f t="shared" si="12"/>
        <v>1666.6666666666667</v>
      </c>
      <c r="AV40" s="23">
        <f t="shared" si="6"/>
        <v>1666.6666666666667</v>
      </c>
      <c r="AW40" s="23">
        <v>0</v>
      </c>
      <c r="AX40" s="23">
        <v>0</v>
      </c>
      <c r="AY40" s="23">
        <v>0</v>
      </c>
      <c r="AZ40" s="23">
        <v>0</v>
      </c>
      <c r="BG40" s="137">
        <f t="shared" ca="1" si="13"/>
        <v>59428.31552174945</v>
      </c>
      <c r="BH40" s="140">
        <f t="shared" si="14"/>
        <v>0</v>
      </c>
      <c r="BI40" s="140"/>
      <c r="BJ40" s="140"/>
      <c r="DO40" s="23">
        <f t="shared" ca="1" si="15"/>
        <v>1123.5203929484971</v>
      </c>
    </row>
    <row r="41" spans="1:119" x14ac:dyDescent="0.25">
      <c r="A41" s="68">
        <f t="shared" si="0"/>
        <v>18</v>
      </c>
      <c r="B41" s="68" t="str">
        <f t="shared" si="1"/>
        <v>carência</v>
      </c>
      <c r="C41" s="156">
        <f t="shared" ca="1" si="7"/>
        <v>297.14157760874724</v>
      </c>
      <c r="D41" s="156">
        <f t="shared" si="8"/>
        <v>0</v>
      </c>
      <c r="E41" s="162">
        <f t="shared" ca="1" si="9"/>
        <v>59725.457099358187</v>
      </c>
      <c r="F41" s="156">
        <f t="shared" ca="1" si="2"/>
        <v>297.14157760874724</v>
      </c>
      <c r="G41" s="171">
        <f t="shared" si="10"/>
        <v>0</v>
      </c>
      <c r="AA41" s="2">
        <f t="shared" si="18"/>
        <v>12</v>
      </c>
      <c r="AB41" s="8">
        <f t="shared" ca="1" si="20"/>
        <v>46600</v>
      </c>
      <c r="AC41" s="9">
        <f t="shared" ca="1" si="19"/>
        <v>50000</v>
      </c>
      <c r="AD41" s="9">
        <f t="shared" si="16"/>
        <v>0</v>
      </c>
      <c r="AE41" s="2">
        <f t="shared" ca="1" si="21"/>
        <v>30</v>
      </c>
      <c r="AF41" s="2">
        <f t="shared" ca="1" si="22"/>
        <v>360</v>
      </c>
      <c r="AG41" s="9">
        <f t="shared" ca="1" si="23"/>
        <v>0</v>
      </c>
      <c r="AH41" s="9">
        <f t="shared" ca="1" si="24"/>
        <v>0</v>
      </c>
      <c r="AL41" s="23">
        <f t="shared" ca="1" si="4"/>
        <v>297.14157760874724</v>
      </c>
      <c r="AM41" s="23">
        <f t="shared" ca="1" si="11"/>
        <v>297.14157760874724</v>
      </c>
      <c r="AN41" s="23">
        <f t="shared" ca="1" si="5"/>
        <v>297.14157760874724</v>
      </c>
      <c r="AO41" s="23">
        <f ca="1">E39*((1+$C$23)^2-1)</f>
        <v>592.80483891096731</v>
      </c>
      <c r="AP41" s="23">
        <f ca="1">E38*((1+$C$23)^3-1)</f>
        <v>886.99713871418192</v>
      </c>
      <c r="AQ41" s="23">
        <f t="shared" ref="AQ41" ca="1" si="25">E35*((1+$C$23)^6-1)</f>
        <v>1760.8212694297933</v>
      </c>
      <c r="AR41" s="23">
        <v>0</v>
      </c>
      <c r="AU41" s="23">
        <f t="shared" si="12"/>
        <v>1666.6666666666667</v>
      </c>
      <c r="AV41" s="23">
        <f t="shared" si="6"/>
        <v>1666.6666666666667</v>
      </c>
      <c r="AW41" s="23">
        <f>$E$23/($B$17-$B$16)*2</f>
        <v>3333.3333333333335</v>
      </c>
      <c r="AX41" s="23">
        <f>$E$23/($B$17-$B$16)*3</f>
        <v>5000</v>
      </c>
      <c r="AY41" s="23">
        <f>$E$23/($B$17-$B$16)*6</f>
        <v>10000</v>
      </c>
      <c r="AZ41" s="23">
        <v>0</v>
      </c>
      <c r="BG41" s="137">
        <f t="shared" ca="1" si="13"/>
        <v>59725.457099358187</v>
      </c>
      <c r="BH41" s="140">
        <f t="shared" si="14"/>
        <v>0</v>
      </c>
      <c r="BI41" s="140"/>
      <c r="BJ41" s="140"/>
      <c r="DO41" s="23">
        <f t="shared" ca="1" si="15"/>
        <v>1129.1379949132395</v>
      </c>
    </row>
    <row r="42" spans="1:119" x14ac:dyDescent="0.25">
      <c r="A42" s="68">
        <f t="shared" si="0"/>
        <v>19</v>
      </c>
      <c r="B42" s="68" t="str">
        <f t="shared" si="1"/>
        <v>amortização</v>
      </c>
      <c r="C42" s="156">
        <f t="shared" ca="1" si="7"/>
        <v>298.62728549679093</v>
      </c>
      <c r="D42" s="156">
        <f t="shared" ca="1" si="8"/>
        <v>1990.8485699786063</v>
      </c>
      <c r="E42" s="162">
        <f t="shared" ca="1" si="9"/>
        <v>57734.608529379584</v>
      </c>
      <c r="F42" s="156">
        <f t="shared" ca="1" si="2"/>
        <v>2289.4758554753971</v>
      </c>
      <c r="G42" s="171">
        <f t="shared" ca="1" si="10"/>
        <v>2289.4758554753971</v>
      </c>
      <c r="AA42" s="2">
        <f t="shared" si="18"/>
        <v>13</v>
      </c>
      <c r="AB42" s="8">
        <f t="shared" ca="1" si="20"/>
        <v>46630</v>
      </c>
      <c r="AC42" s="9">
        <f ca="1">IF(AA42="","",IF(AB42&lt;=B$16,AC27,AC41-AD42))</f>
        <v>50000</v>
      </c>
      <c r="AD42" s="9">
        <f t="shared" si="16"/>
        <v>0</v>
      </c>
      <c r="AE42" s="2">
        <f t="shared" ca="1" si="21"/>
        <v>30</v>
      </c>
      <c r="AF42" s="2">
        <f t="shared" ca="1" si="22"/>
        <v>390</v>
      </c>
      <c r="AG42" s="9">
        <f t="shared" ca="1" si="23"/>
        <v>0</v>
      </c>
      <c r="AH42" s="9">
        <f t="shared" ca="1" si="24"/>
        <v>0</v>
      </c>
      <c r="AL42" s="23">
        <f t="shared" ca="1" si="4"/>
        <v>298.62728549679093</v>
      </c>
      <c r="AM42" s="23">
        <f t="shared" ca="1" si="11"/>
        <v>298.62728549679093</v>
      </c>
      <c r="AN42" s="23">
        <f t="shared" ca="1" si="5"/>
        <v>298.62728549679093</v>
      </c>
      <c r="AO42" s="23">
        <v>0</v>
      </c>
      <c r="AP42" s="23">
        <v>0</v>
      </c>
      <c r="AQ42" s="23">
        <v>0</v>
      </c>
      <c r="AR42" s="23">
        <v>0</v>
      </c>
      <c r="AU42" s="23">
        <f t="shared" si="12"/>
        <v>1666.6666666666667</v>
      </c>
      <c r="AV42" s="23">
        <f t="shared" si="6"/>
        <v>1666.6666666666667</v>
      </c>
      <c r="AW42" s="23">
        <v>0</v>
      </c>
      <c r="AX42" s="23">
        <v>0</v>
      </c>
      <c r="AY42" s="23">
        <v>0</v>
      </c>
      <c r="AZ42" s="23">
        <v>0</v>
      </c>
      <c r="BG42" s="137">
        <f t="shared" ca="1" si="13"/>
        <v>57734.608529379584</v>
      </c>
      <c r="BH42" s="140">
        <f t="shared" ca="1" si="14"/>
        <v>1990.8485699786063</v>
      </c>
      <c r="BI42" s="140"/>
      <c r="BJ42" s="140"/>
      <c r="DO42" s="23">
        <f t="shared" ca="1" si="15"/>
        <v>1134.7836848878055</v>
      </c>
    </row>
    <row r="43" spans="1:119" x14ac:dyDescent="0.25">
      <c r="A43" s="68">
        <f t="shared" si="0"/>
        <v>20</v>
      </c>
      <c r="B43" s="68" t="str">
        <f t="shared" si="1"/>
        <v>amortização</v>
      </c>
      <c r="C43" s="156">
        <f t="shared" ca="1" si="7"/>
        <v>288.67304264689795</v>
      </c>
      <c r="D43" s="156">
        <f t="shared" ca="1" si="8"/>
        <v>1990.8485699786063</v>
      </c>
      <c r="E43" s="162">
        <f t="shared" ca="1" si="9"/>
        <v>55743.759959400981</v>
      </c>
      <c r="F43" s="156">
        <f t="shared" ca="1" si="2"/>
        <v>2279.5216126255041</v>
      </c>
      <c r="G43" s="171">
        <f t="shared" ca="1" si="10"/>
        <v>2279.5216126255041</v>
      </c>
      <c r="AA43" s="2">
        <f t="shared" si="18"/>
        <v>14</v>
      </c>
      <c r="AB43" s="8">
        <f t="shared" ca="1" si="20"/>
        <v>46660</v>
      </c>
      <c r="AC43" s="9">
        <f t="shared" ref="AC43:AC71" ca="1" si="26">IF(AB43="","",IF(AA43&lt;=B$16,AC42,AC42-AD43))</f>
        <v>50000</v>
      </c>
      <c r="AD43" s="9">
        <f t="shared" si="16"/>
        <v>0</v>
      </c>
      <c r="AE43" s="2">
        <f t="shared" ca="1" si="21"/>
        <v>30</v>
      </c>
      <c r="AF43" s="2">
        <f t="shared" ca="1" si="22"/>
        <v>420</v>
      </c>
      <c r="AG43" s="9">
        <f t="shared" ca="1" si="23"/>
        <v>0</v>
      </c>
      <c r="AH43" s="9">
        <f t="shared" ca="1" si="24"/>
        <v>0</v>
      </c>
      <c r="AL43" s="23">
        <f t="shared" ca="1" si="4"/>
        <v>288.67304264689795</v>
      </c>
      <c r="AM43" s="23">
        <f t="shared" ca="1" si="11"/>
        <v>288.67304264689795</v>
      </c>
      <c r="AN43" s="23">
        <f t="shared" ca="1" si="5"/>
        <v>288.67304264689795</v>
      </c>
      <c r="AO43" s="23">
        <f ca="1">E41*((1+$C$23)^2-1)</f>
        <v>598.74770742104965</v>
      </c>
      <c r="AP43" s="23">
        <v>0</v>
      </c>
      <c r="AQ43" s="23">
        <v>0</v>
      </c>
      <c r="AR43" s="23">
        <v>0</v>
      </c>
      <c r="AU43" s="23">
        <f t="shared" si="12"/>
        <v>1666.6666666666667</v>
      </c>
      <c r="AV43" s="23">
        <f t="shared" si="6"/>
        <v>1666.6666666666667</v>
      </c>
      <c r="AW43" s="23">
        <f>$E$23/($B$17-$B$16)*2</f>
        <v>3333.3333333333335</v>
      </c>
      <c r="AX43" s="23">
        <v>0</v>
      </c>
      <c r="AY43" s="23">
        <v>0</v>
      </c>
      <c r="AZ43" s="23">
        <v>0</v>
      </c>
      <c r="BG43" s="137">
        <f t="shared" ca="1" si="13"/>
        <v>55743.759959400981</v>
      </c>
      <c r="BH43" s="140">
        <f t="shared" ca="1" si="14"/>
        <v>1990.8485699786063</v>
      </c>
      <c r="BI43" s="140"/>
      <c r="BJ43" s="140"/>
      <c r="DO43" s="23">
        <f t="shared" ca="1" si="15"/>
        <v>1096.957562058212</v>
      </c>
    </row>
    <row r="44" spans="1:119" x14ac:dyDescent="0.25">
      <c r="A44" s="68">
        <f t="shared" si="0"/>
        <v>21</v>
      </c>
      <c r="B44" s="68" t="str">
        <f t="shared" si="1"/>
        <v>amortização</v>
      </c>
      <c r="C44" s="156">
        <f t="shared" ca="1" si="7"/>
        <v>278.71879979700492</v>
      </c>
      <c r="D44" s="156">
        <f t="shared" ca="1" si="8"/>
        <v>1990.8485699786063</v>
      </c>
      <c r="E44" s="162">
        <f t="shared" ca="1" si="9"/>
        <v>53752.911389422377</v>
      </c>
      <c r="F44" s="156">
        <f t="shared" ca="1" si="2"/>
        <v>2269.567369775611</v>
      </c>
      <c r="G44" s="171">
        <f t="shared" ca="1" si="10"/>
        <v>2269.567369775611</v>
      </c>
      <c r="AA44" s="2">
        <f t="shared" si="18"/>
        <v>15</v>
      </c>
      <c r="AB44" s="8">
        <f t="shared" ca="1" si="20"/>
        <v>46690</v>
      </c>
      <c r="AC44" s="9">
        <f t="shared" ca="1" si="26"/>
        <v>50000</v>
      </c>
      <c r="AD44" s="9">
        <f t="shared" si="16"/>
        <v>0</v>
      </c>
      <c r="AE44" s="2">
        <f t="shared" ca="1" si="21"/>
        <v>30</v>
      </c>
      <c r="AF44" s="2">
        <f t="shared" ca="1" si="22"/>
        <v>450</v>
      </c>
      <c r="AG44" s="9">
        <f t="shared" ca="1" si="23"/>
        <v>0</v>
      </c>
      <c r="AH44" s="9">
        <f t="shared" ca="1" si="24"/>
        <v>0</v>
      </c>
      <c r="AL44" s="23">
        <f t="shared" ca="1" si="4"/>
        <v>278.71879979700492</v>
      </c>
      <c r="AM44" s="23">
        <f t="shared" ca="1" si="11"/>
        <v>278.71879979700492</v>
      </c>
      <c r="AN44" s="23">
        <f t="shared" ca="1" si="5"/>
        <v>278.71879979700492</v>
      </c>
      <c r="AO44" s="23">
        <v>0</v>
      </c>
      <c r="AP44" s="23">
        <f ca="1">E41*((1+$C$23)^3-1)</f>
        <v>900.36873145494019</v>
      </c>
      <c r="AQ44" s="23">
        <v>0</v>
      </c>
      <c r="AR44" s="23">
        <v>0</v>
      </c>
      <c r="AU44" s="23">
        <f t="shared" si="12"/>
        <v>1666.6666666666667</v>
      </c>
      <c r="AV44" s="23">
        <f t="shared" si="6"/>
        <v>1666.6666666666667</v>
      </c>
      <c r="AW44" s="23">
        <v>0</v>
      </c>
      <c r="AX44" s="23">
        <f>$E$23/($B$17-$B$16)*3</f>
        <v>5000</v>
      </c>
      <c r="AY44" s="23">
        <v>0</v>
      </c>
      <c r="AZ44" s="23">
        <v>0</v>
      </c>
      <c r="BG44" s="137">
        <f t="shared" ca="1" si="13"/>
        <v>53752.911389422377</v>
      </c>
      <c r="BH44" s="140">
        <f t="shared" ca="1" si="14"/>
        <v>1990.8485699786063</v>
      </c>
      <c r="BI44" s="140"/>
      <c r="BJ44" s="140"/>
      <c r="DO44" s="23">
        <f t="shared" ca="1" si="15"/>
        <v>1059.1314392286185</v>
      </c>
    </row>
    <row r="45" spans="1:119" x14ac:dyDescent="0.25">
      <c r="A45" s="68">
        <f t="shared" si="0"/>
        <v>22</v>
      </c>
      <c r="B45" s="68" t="str">
        <f t="shared" si="1"/>
        <v>amortização</v>
      </c>
      <c r="C45" s="156">
        <f t="shared" ca="1" si="7"/>
        <v>268.76455694711188</v>
      </c>
      <c r="D45" s="156">
        <f t="shared" ca="1" si="8"/>
        <v>1990.8485699786063</v>
      </c>
      <c r="E45" s="162">
        <f t="shared" ca="1" si="9"/>
        <v>51762.062819443774</v>
      </c>
      <c r="F45" s="156">
        <f t="shared" ca="1" si="2"/>
        <v>2259.613126925718</v>
      </c>
      <c r="G45" s="171">
        <f t="shared" ca="1" si="10"/>
        <v>2259.613126925718</v>
      </c>
      <c r="AA45" s="2">
        <f t="shared" si="18"/>
        <v>16</v>
      </c>
      <c r="AB45" s="8">
        <f t="shared" ca="1" si="20"/>
        <v>46720</v>
      </c>
      <c r="AC45" s="9">
        <f t="shared" ca="1" si="26"/>
        <v>50000</v>
      </c>
      <c r="AD45" s="9">
        <f t="shared" si="16"/>
        <v>0</v>
      </c>
      <c r="AE45" s="2">
        <f t="shared" ca="1" si="21"/>
        <v>30</v>
      </c>
      <c r="AF45" s="2">
        <f t="shared" ca="1" si="22"/>
        <v>480</v>
      </c>
      <c r="AG45" s="9">
        <f t="shared" ca="1" si="23"/>
        <v>0</v>
      </c>
      <c r="AH45" s="9">
        <f t="shared" ca="1" si="24"/>
        <v>0</v>
      </c>
      <c r="AL45" s="23">
        <f t="shared" ca="1" si="4"/>
        <v>268.76455694711188</v>
      </c>
      <c r="AM45" s="23">
        <f t="shared" ca="1" si="11"/>
        <v>268.76455694711188</v>
      </c>
      <c r="AN45" s="23">
        <f t="shared" ca="1" si="5"/>
        <v>268.76455694711188</v>
      </c>
      <c r="AO45" s="23">
        <f ca="1">E43*((1+$C$23)^2-1)</f>
        <v>558.83119359297973</v>
      </c>
      <c r="AP45" s="23">
        <v>0</v>
      </c>
      <c r="AQ45" s="23">
        <v>0</v>
      </c>
      <c r="AR45" s="23">
        <v>0</v>
      </c>
      <c r="AU45" s="23">
        <f t="shared" si="12"/>
        <v>1666.6666666666667</v>
      </c>
      <c r="AV45" s="23">
        <f t="shared" si="6"/>
        <v>1666.6666666666667</v>
      </c>
      <c r="AW45" s="23">
        <f>$E$23/($B$17-$B$16)*2</f>
        <v>3333.3333333333335</v>
      </c>
      <c r="AX45" s="23">
        <v>0</v>
      </c>
      <c r="AY45" s="23">
        <v>0</v>
      </c>
      <c r="AZ45" s="23">
        <v>0</v>
      </c>
      <c r="BG45" s="137">
        <f t="shared" ca="1" si="13"/>
        <v>51762.062819443774</v>
      </c>
      <c r="BH45" s="140">
        <f t="shared" ca="1" si="14"/>
        <v>1990.8485699786063</v>
      </c>
      <c r="BI45" s="140"/>
      <c r="BJ45" s="140"/>
      <c r="DO45" s="23">
        <f t="shared" ca="1" si="15"/>
        <v>1021.3053163990252</v>
      </c>
    </row>
    <row r="46" spans="1:119" x14ac:dyDescent="0.25">
      <c r="A46" s="68">
        <f t="shared" si="0"/>
        <v>23</v>
      </c>
      <c r="B46" s="68" t="str">
        <f t="shared" si="1"/>
        <v>amortização</v>
      </c>
      <c r="C46" s="156">
        <f t="shared" ca="1" si="7"/>
        <v>258.81031409721885</v>
      </c>
      <c r="D46" s="156">
        <f t="shared" ca="1" si="8"/>
        <v>1990.8485699786063</v>
      </c>
      <c r="E46" s="162">
        <f t="shared" ca="1" si="9"/>
        <v>49771.214249465171</v>
      </c>
      <c r="F46" s="156">
        <f t="shared" ca="1" si="2"/>
        <v>2249.658884075825</v>
      </c>
      <c r="G46" s="171">
        <f t="shared" ca="1" si="10"/>
        <v>2249.658884075825</v>
      </c>
      <c r="AA46" s="2">
        <f t="shared" si="18"/>
        <v>17</v>
      </c>
      <c r="AB46" s="8">
        <f t="shared" ca="1" si="20"/>
        <v>46750</v>
      </c>
      <c r="AC46" s="9">
        <f t="shared" ca="1" si="26"/>
        <v>50000</v>
      </c>
      <c r="AD46" s="9">
        <f t="shared" si="16"/>
        <v>0</v>
      </c>
      <c r="AE46" s="2">
        <f t="shared" ca="1" si="21"/>
        <v>30</v>
      </c>
      <c r="AF46" s="2">
        <f t="shared" ca="1" si="22"/>
        <v>510</v>
      </c>
      <c r="AG46" s="9">
        <f t="shared" ca="1" si="23"/>
        <v>0</v>
      </c>
      <c r="AH46" s="9">
        <f t="shared" ca="1" si="24"/>
        <v>0</v>
      </c>
      <c r="AL46" s="23">
        <f t="shared" ca="1" si="4"/>
        <v>258.81031409721885</v>
      </c>
      <c r="AM46" s="23">
        <f t="shared" ca="1" si="11"/>
        <v>258.81031409721885</v>
      </c>
      <c r="AN46" s="23">
        <f t="shared" ca="1" si="5"/>
        <v>258.81031409721885</v>
      </c>
      <c r="AO46" s="23">
        <v>0</v>
      </c>
      <c r="AP46" s="23">
        <v>0</v>
      </c>
      <c r="AQ46" s="23">
        <v>0</v>
      </c>
      <c r="AR46" s="23">
        <v>0</v>
      </c>
      <c r="AU46" s="23">
        <f t="shared" si="12"/>
        <v>1666.6666666666667</v>
      </c>
      <c r="AV46" s="23">
        <f t="shared" si="6"/>
        <v>1666.6666666666667</v>
      </c>
      <c r="AW46" s="23">
        <v>0</v>
      </c>
      <c r="AX46" s="23">
        <v>0</v>
      </c>
      <c r="AY46" s="23">
        <v>0</v>
      </c>
      <c r="AZ46" s="23">
        <v>0</v>
      </c>
      <c r="BG46" s="137">
        <f t="shared" ca="1" si="13"/>
        <v>49771.214249465171</v>
      </c>
      <c r="BH46" s="140">
        <f t="shared" ca="1" si="14"/>
        <v>1990.8485699786063</v>
      </c>
      <c r="BI46" s="140"/>
      <c r="BJ46" s="140"/>
      <c r="DO46" s="23">
        <f t="shared" ca="1" si="15"/>
        <v>983.47919356943169</v>
      </c>
    </row>
    <row r="47" spans="1:119" x14ac:dyDescent="0.25">
      <c r="A47" s="68">
        <f t="shared" si="0"/>
        <v>24</v>
      </c>
      <c r="B47" s="68" t="str">
        <f t="shared" si="1"/>
        <v>amortização</v>
      </c>
      <c r="C47" s="156">
        <f t="shared" ca="1" si="7"/>
        <v>248.85607124732587</v>
      </c>
      <c r="D47" s="156">
        <f t="shared" ca="1" si="8"/>
        <v>1990.8485699786063</v>
      </c>
      <c r="E47" s="162">
        <f t="shared" ca="1" si="9"/>
        <v>47780.365679486567</v>
      </c>
      <c r="F47" s="156">
        <f t="shared" ca="1" si="2"/>
        <v>2239.7046412259324</v>
      </c>
      <c r="G47" s="171">
        <f t="shared" ca="1" si="10"/>
        <v>2239.7046412259324</v>
      </c>
      <c r="AA47" s="2">
        <f t="shared" si="18"/>
        <v>18</v>
      </c>
      <c r="AB47" s="8">
        <f t="shared" ca="1" si="20"/>
        <v>46780</v>
      </c>
      <c r="AC47" s="9">
        <f t="shared" ca="1" si="26"/>
        <v>50000</v>
      </c>
      <c r="AD47" s="9">
        <f t="shared" si="16"/>
        <v>0</v>
      </c>
      <c r="AE47" s="2">
        <f t="shared" ca="1" si="21"/>
        <v>30</v>
      </c>
      <c r="AF47" s="2">
        <f t="shared" ca="1" si="22"/>
        <v>540</v>
      </c>
      <c r="AG47" s="9">
        <f t="shared" ca="1" si="23"/>
        <v>0</v>
      </c>
      <c r="AH47" s="9">
        <f t="shared" ca="1" si="24"/>
        <v>0</v>
      </c>
      <c r="AL47" s="23">
        <f t="shared" ca="1" si="4"/>
        <v>248.85607124732587</v>
      </c>
      <c r="AM47" s="23">
        <f t="shared" ca="1" si="11"/>
        <v>248.85607124732587</v>
      </c>
      <c r="AN47" s="23">
        <f t="shared" ca="1" si="5"/>
        <v>248.85607124732587</v>
      </c>
      <c r="AO47" s="23">
        <f ca="1">E45*((1+$C$23)^2-1)</f>
        <v>518.91467976490981</v>
      </c>
      <c r="AP47" s="23">
        <f ca="1">E44*((1+$C$23)^3-1)</f>
        <v>810.33185830944637</v>
      </c>
      <c r="AQ47" s="23">
        <f t="shared" ref="AQ47" ca="1" si="27">E41*((1+$C$23)^6-1)</f>
        <v>1814.310634082638</v>
      </c>
      <c r="AR47" s="23">
        <f ca="1">E35*((1+$C$23)^12-1)</f>
        <v>3575.1319035124397</v>
      </c>
      <c r="AU47" s="23">
        <f t="shared" si="12"/>
        <v>1666.6666666666667</v>
      </c>
      <c r="AV47" s="23">
        <f t="shared" si="6"/>
        <v>1666.6666666666667</v>
      </c>
      <c r="AW47" s="23">
        <f>$E$23/($B$17-$B$16)*2</f>
        <v>3333.3333333333335</v>
      </c>
      <c r="AX47" s="23">
        <f>$E$23/($B$17-$B$16)*3</f>
        <v>5000</v>
      </c>
      <c r="AY47" s="23">
        <f>$E$23/($B$17-$B$16)*6</f>
        <v>10000</v>
      </c>
      <c r="AZ47" s="23">
        <f>$E$23/($B$17-$B$16)*12</f>
        <v>20000</v>
      </c>
      <c r="BG47" s="137">
        <f t="shared" ca="1" si="13"/>
        <v>47780.365679486567</v>
      </c>
      <c r="BH47" s="140">
        <f t="shared" ca="1" si="14"/>
        <v>1990.8485699786063</v>
      </c>
      <c r="BI47" s="140"/>
      <c r="BJ47" s="140"/>
      <c r="DO47" s="23">
        <f t="shared" ca="1" si="15"/>
        <v>945.6530707398382</v>
      </c>
    </row>
    <row r="48" spans="1:119" x14ac:dyDescent="0.25">
      <c r="A48" s="68">
        <f t="shared" si="0"/>
        <v>25</v>
      </c>
      <c r="B48" s="68" t="str">
        <f t="shared" si="1"/>
        <v>amortização</v>
      </c>
      <c r="C48" s="156">
        <f t="shared" ca="1" si="7"/>
        <v>238.90182839743284</v>
      </c>
      <c r="D48" s="156">
        <f t="shared" ca="1" si="8"/>
        <v>1990.8485699786063</v>
      </c>
      <c r="E48" s="162">
        <f t="shared" ca="1" si="9"/>
        <v>45789.517109507964</v>
      </c>
      <c r="F48" s="156">
        <f t="shared" ca="1" si="2"/>
        <v>2229.7503983760389</v>
      </c>
      <c r="G48" s="171">
        <f t="shared" ca="1" si="10"/>
        <v>2229.7503983760389</v>
      </c>
      <c r="AA48" s="2">
        <f t="shared" si="18"/>
        <v>19</v>
      </c>
      <c r="AB48" s="8">
        <f t="shared" ca="1" si="20"/>
        <v>46810</v>
      </c>
      <c r="AC48" s="9">
        <f t="shared" ca="1" si="26"/>
        <v>48333.333333333336</v>
      </c>
      <c r="AD48" s="9">
        <f t="shared" si="16"/>
        <v>1666.6666666666667</v>
      </c>
      <c r="AE48" s="2">
        <f t="shared" ca="1" si="21"/>
        <v>30</v>
      </c>
      <c r="AF48" s="2">
        <f t="shared" ca="1" si="22"/>
        <v>570</v>
      </c>
      <c r="AG48" s="9">
        <f t="shared" ca="1" si="23"/>
        <v>49.88333333333334</v>
      </c>
      <c r="AH48" s="9">
        <f t="shared" ca="1" si="24"/>
        <v>8.3341666666666665</v>
      </c>
      <c r="AL48" s="23">
        <f t="shared" ca="1" si="4"/>
        <v>238.90182839743284</v>
      </c>
      <c r="AM48" s="23">
        <f t="shared" ca="1" si="11"/>
        <v>238.90182839743284</v>
      </c>
      <c r="AN48" s="23">
        <f t="shared" ca="1" si="5"/>
        <v>238.90182839743284</v>
      </c>
      <c r="AO48" s="23">
        <v>0</v>
      </c>
      <c r="AP48" s="23">
        <v>0</v>
      </c>
      <c r="AQ48" s="23">
        <v>0</v>
      </c>
      <c r="AR48" s="23">
        <v>0</v>
      </c>
      <c r="AU48" s="23">
        <f t="shared" si="12"/>
        <v>1666.6666666666667</v>
      </c>
      <c r="AV48" s="23">
        <f t="shared" si="6"/>
        <v>1666.6666666666667</v>
      </c>
      <c r="AW48" s="23">
        <v>0</v>
      </c>
      <c r="AX48" s="23">
        <v>0</v>
      </c>
      <c r="AY48" s="23">
        <v>0</v>
      </c>
      <c r="AZ48" s="23">
        <v>0</v>
      </c>
      <c r="BG48" s="137">
        <f t="shared" ca="1" si="13"/>
        <v>45789.517109507964</v>
      </c>
      <c r="BH48" s="140">
        <f t="shared" ca="1" si="14"/>
        <v>1990.8485699786063</v>
      </c>
      <c r="BI48" s="140"/>
      <c r="BJ48" s="140"/>
      <c r="DO48" s="23">
        <f t="shared" ca="1" si="15"/>
        <v>907.82694791024471</v>
      </c>
    </row>
    <row r="49" spans="1:119" x14ac:dyDescent="0.25">
      <c r="A49" s="68">
        <f t="shared" si="0"/>
        <v>26</v>
      </c>
      <c r="B49" s="68" t="str">
        <f t="shared" si="1"/>
        <v>amortização</v>
      </c>
      <c r="C49" s="156">
        <f t="shared" ca="1" si="7"/>
        <v>228.94758554753983</v>
      </c>
      <c r="D49" s="156">
        <f t="shared" ca="1" si="8"/>
        <v>1990.8485699786063</v>
      </c>
      <c r="E49" s="162">
        <f t="shared" ca="1" si="9"/>
        <v>43798.668539529361</v>
      </c>
      <c r="F49" s="156">
        <f t="shared" ca="1" si="2"/>
        <v>2219.7961555261463</v>
      </c>
      <c r="G49" s="171">
        <f t="shared" ca="1" si="10"/>
        <v>2219.7961555261463</v>
      </c>
      <c r="AA49" s="2">
        <f t="shared" si="18"/>
        <v>20</v>
      </c>
      <c r="AB49" s="8">
        <f t="shared" ca="1" si="20"/>
        <v>46840</v>
      </c>
      <c r="AC49" s="9">
        <f t="shared" ca="1" si="26"/>
        <v>46666.666666666672</v>
      </c>
      <c r="AD49" s="9">
        <f t="shared" si="16"/>
        <v>1666.6666666666667</v>
      </c>
      <c r="AE49" s="2">
        <f t="shared" ca="1" si="21"/>
        <v>30</v>
      </c>
      <c r="AF49" s="2">
        <f t="shared" ca="1" si="22"/>
        <v>600</v>
      </c>
      <c r="AG49" s="9">
        <f t="shared" ca="1" si="23"/>
        <v>49.88333333333334</v>
      </c>
      <c r="AH49" s="9">
        <f t="shared" ca="1" si="24"/>
        <v>8.3341666666666665</v>
      </c>
      <c r="AL49" s="23">
        <f t="shared" ca="1" si="4"/>
        <v>228.94758554753983</v>
      </c>
      <c r="AM49" s="23">
        <f t="shared" ca="1" si="11"/>
        <v>228.94758554753983</v>
      </c>
      <c r="AN49" s="23">
        <f t="shared" ca="1" si="5"/>
        <v>228.94758554753983</v>
      </c>
      <c r="AO49" s="23">
        <f ca="1">E47*((1+$C$23)^2-1)</f>
        <v>478.99816593683988</v>
      </c>
      <c r="AP49" s="23">
        <v>0</v>
      </c>
      <c r="AQ49" s="23">
        <v>0</v>
      </c>
      <c r="AR49" s="23">
        <v>0</v>
      </c>
      <c r="AU49" s="23">
        <f t="shared" si="12"/>
        <v>1666.6666666666667</v>
      </c>
      <c r="AV49" s="23">
        <f t="shared" si="6"/>
        <v>1666.6666666666667</v>
      </c>
      <c r="AW49" s="23">
        <f>$E$23/($B$17-$B$16)*2</f>
        <v>3333.3333333333335</v>
      </c>
      <c r="AX49" s="23">
        <v>0</v>
      </c>
      <c r="AY49" s="23">
        <v>0</v>
      </c>
      <c r="AZ49" s="23">
        <v>0</v>
      </c>
      <c r="BG49" s="137">
        <f t="shared" ca="1" si="13"/>
        <v>43798.668539529361</v>
      </c>
      <c r="BH49" s="140">
        <f t="shared" ca="1" si="14"/>
        <v>1990.8485699786063</v>
      </c>
      <c r="BI49" s="140"/>
      <c r="BJ49" s="140"/>
      <c r="DO49" s="23">
        <f t="shared" ca="1" si="15"/>
        <v>870.00082508065134</v>
      </c>
    </row>
    <row r="50" spans="1:119" x14ac:dyDescent="0.25">
      <c r="A50" s="68">
        <f t="shared" si="0"/>
        <v>27</v>
      </c>
      <c r="B50" s="68" t="str">
        <f t="shared" si="1"/>
        <v>amortização</v>
      </c>
      <c r="C50" s="156">
        <f t="shared" ca="1" si="7"/>
        <v>218.9933426976468</v>
      </c>
      <c r="D50" s="156">
        <f t="shared" ca="1" si="8"/>
        <v>1990.8485699786063</v>
      </c>
      <c r="E50" s="162">
        <f t="shared" ca="1" si="9"/>
        <v>41807.819969550757</v>
      </c>
      <c r="F50" s="156">
        <f t="shared" ca="1" si="2"/>
        <v>2209.8419126762533</v>
      </c>
      <c r="G50" s="171">
        <f t="shared" ca="1" si="10"/>
        <v>2209.8419126762533</v>
      </c>
      <c r="AA50" s="2">
        <f t="shared" si="18"/>
        <v>21</v>
      </c>
      <c r="AB50" s="8">
        <f t="shared" ca="1" si="20"/>
        <v>46870</v>
      </c>
      <c r="AC50" s="9">
        <f t="shared" ca="1" si="26"/>
        <v>45000.000000000007</v>
      </c>
      <c r="AD50" s="9">
        <f t="shared" si="16"/>
        <v>1666.6666666666667</v>
      </c>
      <c r="AE50" s="2">
        <f t="shared" ca="1" si="21"/>
        <v>30</v>
      </c>
      <c r="AF50" s="2">
        <f t="shared" ca="1" si="22"/>
        <v>630</v>
      </c>
      <c r="AG50" s="9">
        <f t="shared" ca="1" si="23"/>
        <v>49.88333333333334</v>
      </c>
      <c r="AH50" s="9">
        <f t="shared" ca="1" si="24"/>
        <v>8.3341666666666665</v>
      </c>
      <c r="AL50" s="23">
        <f t="shared" ca="1" si="4"/>
        <v>218.9933426976468</v>
      </c>
      <c r="AM50" s="23">
        <f t="shared" ca="1" si="11"/>
        <v>218.9933426976468</v>
      </c>
      <c r="AN50" s="23">
        <f t="shared" ca="1" si="5"/>
        <v>218.9933426976468</v>
      </c>
      <c r="AO50" s="23">
        <v>0</v>
      </c>
      <c r="AP50" s="23">
        <f ca="1">E47*((1+$C$23)^3-1)</f>
        <v>720.29498516395245</v>
      </c>
      <c r="AQ50" s="23">
        <v>0</v>
      </c>
      <c r="AR50" s="23">
        <v>0</v>
      </c>
      <c r="AU50" s="23">
        <f t="shared" si="12"/>
        <v>1666.6666666666667</v>
      </c>
      <c r="AV50" s="23">
        <f t="shared" si="6"/>
        <v>1666.6666666666667</v>
      </c>
      <c r="AW50" s="23">
        <v>0</v>
      </c>
      <c r="AX50" s="23">
        <f>$E$23/($B$17-$B$16)*3</f>
        <v>5000</v>
      </c>
      <c r="AY50" s="23">
        <v>0</v>
      </c>
      <c r="AZ50" s="23">
        <v>0</v>
      </c>
      <c r="BG50" s="137">
        <f t="shared" ca="1" si="13"/>
        <v>41807.819969550757</v>
      </c>
      <c r="BH50" s="140">
        <f t="shared" ca="1" si="14"/>
        <v>1990.8485699786063</v>
      </c>
      <c r="BI50" s="140"/>
      <c r="BJ50" s="140"/>
      <c r="DO50" s="23">
        <f t="shared" ca="1" si="15"/>
        <v>832.17470225105785</v>
      </c>
    </row>
    <row r="51" spans="1:119" x14ac:dyDescent="0.25">
      <c r="A51" s="68">
        <f t="shared" si="0"/>
        <v>28</v>
      </c>
      <c r="B51" s="68" t="str">
        <f t="shared" si="1"/>
        <v>amortização</v>
      </c>
      <c r="C51" s="156">
        <f t="shared" ca="1" si="7"/>
        <v>209.03909984775379</v>
      </c>
      <c r="D51" s="156">
        <f t="shared" ca="1" si="8"/>
        <v>1990.8485699786063</v>
      </c>
      <c r="E51" s="162">
        <f t="shared" ca="1" si="9"/>
        <v>39816.971399572154</v>
      </c>
      <c r="F51" s="156">
        <f t="shared" ca="1" si="2"/>
        <v>2199.8876698263603</v>
      </c>
      <c r="G51" s="171">
        <f t="shared" ca="1" si="10"/>
        <v>2199.8876698263603</v>
      </c>
      <c r="AA51" s="2">
        <f t="shared" si="18"/>
        <v>22</v>
      </c>
      <c r="AB51" s="8">
        <f t="shared" ca="1" si="20"/>
        <v>46900</v>
      </c>
      <c r="AC51" s="9">
        <f t="shared" ca="1" si="26"/>
        <v>43333.333333333343</v>
      </c>
      <c r="AD51" s="9">
        <f t="shared" si="16"/>
        <v>1666.6666666666667</v>
      </c>
      <c r="AE51" s="2">
        <f t="shared" ca="1" si="21"/>
        <v>30</v>
      </c>
      <c r="AF51" s="2">
        <f t="shared" ca="1" si="22"/>
        <v>660</v>
      </c>
      <c r="AG51" s="9">
        <f t="shared" ca="1" si="23"/>
        <v>49.88333333333334</v>
      </c>
      <c r="AH51" s="9">
        <f t="shared" ca="1" si="24"/>
        <v>8.3341666666666665</v>
      </c>
      <c r="AL51" s="23">
        <f t="shared" ca="1" si="4"/>
        <v>209.03909984775379</v>
      </c>
      <c r="AM51" s="23">
        <f ca="1">IF($AN$17=1,AN51,IF($AN$17=2,AO51,IF($AN$17=3,AP51,IF($AN$17=4,AQ51,IF($AN$17=5,AR51)))))</f>
        <v>209.03909984775379</v>
      </c>
      <c r="AN51" s="23">
        <f t="shared" ca="1" si="5"/>
        <v>209.03909984775379</v>
      </c>
      <c r="AO51" s="23">
        <f ca="1">E49*((1+$C$23)^2-1)</f>
        <v>439.08165210876996</v>
      </c>
      <c r="AP51" s="23">
        <v>0</v>
      </c>
      <c r="AQ51" s="23">
        <v>0</v>
      </c>
      <c r="AR51" s="23">
        <v>0</v>
      </c>
      <c r="AU51" s="23">
        <f t="shared" si="12"/>
        <v>1666.6666666666667</v>
      </c>
      <c r="AV51" s="23">
        <f t="shared" si="6"/>
        <v>1666.6666666666667</v>
      </c>
      <c r="AW51" s="23">
        <f>$E$23/($B$17-$B$16)*2</f>
        <v>3333.3333333333335</v>
      </c>
      <c r="AX51" s="23">
        <v>0</v>
      </c>
      <c r="AY51" s="23">
        <v>0</v>
      </c>
      <c r="AZ51" s="23">
        <v>0</v>
      </c>
      <c r="BG51" s="137">
        <f t="shared" ca="1" si="13"/>
        <v>39816.971399572154</v>
      </c>
      <c r="BH51" s="140">
        <f t="shared" ca="1" si="14"/>
        <v>1990.8485699786063</v>
      </c>
      <c r="BI51" s="140"/>
      <c r="BJ51" s="140"/>
      <c r="DO51" s="23">
        <f t="shared" ca="1" si="15"/>
        <v>794.34857942146436</v>
      </c>
    </row>
    <row r="52" spans="1:119" x14ac:dyDescent="0.25">
      <c r="A52" s="68">
        <f t="shared" si="0"/>
        <v>29</v>
      </c>
      <c r="B52" s="68" t="str">
        <f t="shared" si="1"/>
        <v>amortização</v>
      </c>
      <c r="C52" s="156">
        <f t="shared" ca="1" si="7"/>
        <v>199.08485699786078</v>
      </c>
      <c r="D52" s="156">
        <f t="shared" ca="1" si="8"/>
        <v>1990.8485699786063</v>
      </c>
      <c r="E52" s="162">
        <f t="shared" ca="1" si="9"/>
        <v>37826.122829593551</v>
      </c>
      <c r="F52" s="156">
        <f t="shared" ca="1" si="2"/>
        <v>2189.9334269764672</v>
      </c>
      <c r="G52" s="171">
        <f t="shared" ca="1" si="10"/>
        <v>2189.9334269764672</v>
      </c>
      <c r="AA52" s="2">
        <f t="shared" si="18"/>
        <v>23</v>
      </c>
      <c r="AB52" s="8">
        <f t="shared" ca="1" si="20"/>
        <v>46930</v>
      </c>
      <c r="AC52" s="9">
        <f t="shared" ca="1" si="26"/>
        <v>41666.666666666679</v>
      </c>
      <c r="AD52" s="9">
        <f t="shared" si="16"/>
        <v>1666.6666666666667</v>
      </c>
      <c r="AE52" s="2">
        <f t="shared" ca="1" si="21"/>
        <v>30</v>
      </c>
      <c r="AF52" s="2">
        <f t="shared" ca="1" si="22"/>
        <v>690</v>
      </c>
      <c r="AG52" s="9">
        <f t="shared" ca="1" si="23"/>
        <v>49.88333333333334</v>
      </c>
      <c r="AH52" s="9">
        <f t="shared" ca="1" si="24"/>
        <v>8.3341666666666665</v>
      </c>
      <c r="AL52" s="23">
        <f t="shared" ca="1" si="4"/>
        <v>199.08485699786078</v>
      </c>
      <c r="AM52" s="23">
        <f t="shared" ref="AM52:AM71" ca="1" si="28">IF($AN$17=1,AN52,IF($AN$17=2,AO52,IF($AN$17=3,AP52,IF($AN$17=4,AQ52,IF($AN$17=5,AR52)))))</f>
        <v>199.08485699786078</v>
      </c>
      <c r="AN52" s="23">
        <f t="shared" ca="1" si="5"/>
        <v>199.08485699786078</v>
      </c>
      <c r="AO52" s="23">
        <v>0</v>
      </c>
      <c r="AP52" s="23">
        <v>0</v>
      </c>
      <c r="AQ52" s="23">
        <v>0</v>
      </c>
      <c r="AR52" s="23">
        <v>0</v>
      </c>
      <c r="AU52" s="23">
        <f t="shared" si="12"/>
        <v>1666.6666666666667</v>
      </c>
      <c r="AV52" s="23">
        <f t="shared" si="6"/>
        <v>1666.6666666666667</v>
      </c>
      <c r="AW52" s="23">
        <v>0</v>
      </c>
      <c r="AX52" s="23">
        <v>0</v>
      </c>
      <c r="AY52" s="23">
        <v>0</v>
      </c>
      <c r="AZ52" s="23">
        <v>0</v>
      </c>
      <c r="BG52" s="137">
        <f t="shared" ca="1" si="13"/>
        <v>37826.122829593551</v>
      </c>
      <c r="BH52" s="140">
        <f t="shared" ca="1" si="14"/>
        <v>1990.8485699786063</v>
      </c>
      <c r="BI52" s="140"/>
      <c r="BJ52" s="140"/>
      <c r="DO52" s="23">
        <f t="shared" ca="1" si="15"/>
        <v>756.52245659187088</v>
      </c>
    </row>
    <row r="53" spans="1:119" x14ac:dyDescent="0.25">
      <c r="A53" s="68">
        <f t="shared" si="0"/>
        <v>30</v>
      </c>
      <c r="B53" s="68" t="str">
        <f t="shared" si="1"/>
        <v>amortização</v>
      </c>
      <c r="C53" s="156">
        <f t="shared" ca="1" si="7"/>
        <v>189.13061414796775</v>
      </c>
      <c r="D53" s="156">
        <f t="shared" ca="1" si="8"/>
        <v>1990.8485699786063</v>
      </c>
      <c r="E53" s="162">
        <f t="shared" ca="1" si="9"/>
        <v>35835.274259614947</v>
      </c>
      <c r="F53" s="156">
        <f t="shared" ca="1" si="2"/>
        <v>2179.9791841265742</v>
      </c>
      <c r="G53" s="171">
        <f t="shared" ca="1" si="10"/>
        <v>2179.9791841265742</v>
      </c>
      <c r="AA53" s="2">
        <f t="shared" si="18"/>
        <v>24</v>
      </c>
      <c r="AB53" s="8">
        <f t="shared" ca="1" si="20"/>
        <v>46960</v>
      </c>
      <c r="AC53" s="9">
        <f t="shared" ca="1" si="26"/>
        <v>40000.000000000015</v>
      </c>
      <c r="AD53" s="9">
        <f t="shared" si="16"/>
        <v>1666.6666666666667</v>
      </c>
      <c r="AE53" s="2">
        <f t="shared" ca="1" si="21"/>
        <v>30</v>
      </c>
      <c r="AF53" s="2">
        <f t="shared" ca="1" si="22"/>
        <v>720</v>
      </c>
      <c r="AG53" s="9">
        <f t="shared" ca="1" si="23"/>
        <v>49.88333333333334</v>
      </c>
      <c r="AH53" s="9">
        <f t="shared" ca="1" si="24"/>
        <v>8.3341666666666665</v>
      </c>
      <c r="AL53" s="23">
        <f t="shared" ca="1" si="4"/>
        <v>189.13061414796775</v>
      </c>
      <c r="AM53" s="23">
        <f t="shared" ca="1" si="28"/>
        <v>189.13061414796775</v>
      </c>
      <c r="AN53" s="23">
        <f t="shared" ca="1" si="5"/>
        <v>189.13061414796775</v>
      </c>
      <c r="AO53" s="23">
        <f ca="1">E51*((1+$C$23)^2-1)</f>
        <v>399.16513828070003</v>
      </c>
      <c r="AP53" s="23">
        <f ca="1">E50*((1+$C$23)^3-1)</f>
        <v>630.25811201845852</v>
      </c>
      <c r="AQ53" s="23">
        <f ca="1">E47*((1+$C$23)^6-1)</f>
        <v>1451.4485072661109</v>
      </c>
      <c r="AR53" s="23">
        <v>0</v>
      </c>
      <c r="AU53" s="23">
        <f t="shared" si="12"/>
        <v>1666.6666666666667</v>
      </c>
      <c r="AV53" s="23">
        <f t="shared" si="6"/>
        <v>1666.6666666666667</v>
      </c>
      <c r="AW53" s="23">
        <f>$E$23/($B$17-$B$16)*2</f>
        <v>3333.3333333333335</v>
      </c>
      <c r="AX53" s="23">
        <f>$E$23/($B$17-$B$16)*3</f>
        <v>5000</v>
      </c>
      <c r="AY53" s="23">
        <f>$E$23/($B$17-$B$16)*6</f>
        <v>10000</v>
      </c>
      <c r="AZ53" s="23">
        <v>0</v>
      </c>
      <c r="BG53" s="137">
        <f t="shared" ca="1" si="13"/>
        <v>35835.274259614947</v>
      </c>
      <c r="BH53" s="140">
        <f t="shared" ca="1" si="14"/>
        <v>1990.8485699786063</v>
      </c>
      <c r="BI53" s="140"/>
      <c r="BJ53" s="140"/>
      <c r="DO53" s="23">
        <f t="shared" ca="1" si="15"/>
        <v>718.69633376227739</v>
      </c>
    </row>
    <row r="54" spans="1:119" x14ac:dyDescent="0.25">
      <c r="A54" s="68">
        <f t="shared" si="0"/>
        <v>31</v>
      </c>
      <c r="B54" s="68" t="str">
        <f t="shared" si="1"/>
        <v>amortização</v>
      </c>
      <c r="C54" s="156">
        <f t="shared" ca="1" si="7"/>
        <v>179.17637129807474</v>
      </c>
      <c r="D54" s="156">
        <f t="shared" ca="1" si="8"/>
        <v>1990.8485699786063</v>
      </c>
      <c r="E54" s="162">
        <f t="shared" ca="1" si="9"/>
        <v>33844.425689636344</v>
      </c>
      <c r="F54" s="156">
        <f t="shared" ca="1" si="2"/>
        <v>2170.0249412766811</v>
      </c>
      <c r="G54" s="171">
        <f t="shared" ca="1" si="10"/>
        <v>2170.0249412766811</v>
      </c>
      <c r="AA54" s="2">
        <f t="shared" si="18"/>
        <v>25</v>
      </c>
      <c r="AB54" s="8">
        <f t="shared" ca="1" si="20"/>
        <v>46990</v>
      </c>
      <c r="AC54" s="9">
        <f t="shared" ca="1" si="26"/>
        <v>38333.33333333335</v>
      </c>
      <c r="AD54" s="9">
        <f t="shared" si="16"/>
        <v>1666.6666666666667</v>
      </c>
      <c r="AE54" s="2">
        <f t="shared" ca="1" si="21"/>
        <v>30</v>
      </c>
      <c r="AF54" s="2">
        <f t="shared" ca="1" si="22"/>
        <v>750</v>
      </c>
      <c r="AG54" s="9">
        <f t="shared" ca="1" si="23"/>
        <v>49.88333333333334</v>
      </c>
      <c r="AH54" s="9">
        <f t="shared" ca="1" si="24"/>
        <v>8.3341666666666665</v>
      </c>
      <c r="AL54" s="23">
        <f t="shared" ca="1" si="4"/>
        <v>179.17637129807474</v>
      </c>
      <c r="AM54" s="23">
        <f t="shared" ca="1" si="28"/>
        <v>179.17637129807474</v>
      </c>
      <c r="AN54" s="23">
        <f t="shared" ca="1" si="5"/>
        <v>179.17637129807474</v>
      </c>
      <c r="AO54" s="23">
        <v>0</v>
      </c>
      <c r="AP54" s="23">
        <v>0</v>
      </c>
      <c r="AQ54" s="23">
        <v>0</v>
      </c>
      <c r="AR54" s="23">
        <v>0</v>
      </c>
      <c r="AU54" s="23">
        <f t="shared" si="12"/>
        <v>1666.6666666666667</v>
      </c>
      <c r="AV54" s="23">
        <f t="shared" si="6"/>
        <v>1666.6666666666667</v>
      </c>
      <c r="AW54" s="23">
        <v>0</v>
      </c>
      <c r="AX54" s="23">
        <v>0</v>
      </c>
      <c r="AY54" s="23">
        <v>0</v>
      </c>
      <c r="AZ54" s="23">
        <v>0</v>
      </c>
      <c r="BG54" s="137">
        <f t="shared" ca="1" si="13"/>
        <v>33844.425689636344</v>
      </c>
      <c r="BH54" s="140">
        <f t="shared" ca="1" si="14"/>
        <v>1990.8485699786063</v>
      </c>
      <c r="BI54" s="140"/>
      <c r="BJ54" s="140"/>
      <c r="DO54" s="23">
        <f t="shared" ca="1" si="15"/>
        <v>680.87021093268402</v>
      </c>
    </row>
    <row r="55" spans="1:119" x14ac:dyDescent="0.25">
      <c r="A55" s="68">
        <f t="shared" si="0"/>
        <v>32</v>
      </c>
      <c r="B55" s="68" t="str">
        <f t="shared" si="1"/>
        <v>amortização</v>
      </c>
      <c r="C55" s="156">
        <f t="shared" ca="1" si="7"/>
        <v>169.22212844818173</v>
      </c>
      <c r="D55" s="156">
        <f t="shared" ca="1" si="8"/>
        <v>1990.8485699786063</v>
      </c>
      <c r="E55" s="162">
        <f t="shared" ca="1" si="9"/>
        <v>31853.577119657737</v>
      </c>
      <c r="F55" s="156">
        <f t="shared" ca="1" si="2"/>
        <v>2160.0706984267881</v>
      </c>
      <c r="G55" s="171">
        <f t="shared" ca="1" si="10"/>
        <v>2160.0706984267881</v>
      </c>
      <c r="AA55" s="2">
        <f t="shared" si="18"/>
        <v>26</v>
      </c>
      <c r="AB55" s="8">
        <f t="shared" ca="1" si="20"/>
        <v>47020</v>
      </c>
      <c r="AC55" s="9">
        <f t="shared" ca="1" si="26"/>
        <v>36666.666666666686</v>
      </c>
      <c r="AD55" s="9">
        <f t="shared" si="16"/>
        <v>1666.6666666666667</v>
      </c>
      <c r="AE55" s="2">
        <f t="shared" ca="1" si="21"/>
        <v>30</v>
      </c>
      <c r="AF55" s="2">
        <f t="shared" ca="1" si="22"/>
        <v>780</v>
      </c>
      <c r="AG55" s="9">
        <f t="shared" ca="1" si="23"/>
        <v>49.88333333333334</v>
      </c>
      <c r="AH55" s="9">
        <f t="shared" ca="1" si="24"/>
        <v>8.3341666666666665</v>
      </c>
      <c r="AL55" s="23">
        <f t="shared" ca="1" si="4"/>
        <v>169.22212844818173</v>
      </c>
      <c r="AM55" s="23">
        <f t="shared" ca="1" si="28"/>
        <v>169.22212844818173</v>
      </c>
      <c r="AN55" s="23">
        <f t="shared" ca="1" si="5"/>
        <v>169.22212844818173</v>
      </c>
      <c r="AO55" s="23">
        <f ca="1">E53*((1+$C$23)^2-1)</f>
        <v>359.24862445263011</v>
      </c>
      <c r="AP55" s="23">
        <v>0</v>
      </c>
      <c r="AQ55" s="23">
        <v>0</v>
      </c>
      <c r="AR55" s="23">
        <v>0</v>
      </c>
      <c r="AU55" s="23">
        <f t="shared" si="12"/>
        <v>1666.6666666666667</v>
      </c>
      <c r="AV55" s="23">
        <f t="shared" si="6"/>
        <v>1666.6666666666667</v>
      </c>
      <c r="AW55" s="23">
        <f>$E$23/($B$17-$B$16)*2</f>
        <v>3333.3333333333335</v>
      </c>
      <c r="AX55" s="23">
        <v>0</v>
      </c>
      <c r="AY55" s="23">
        <v>0</v>
      </c>
      <c r="AZ55" s="23">
        <v>0</v>
      </c>
      <c r="BG55" s="137">
        <f t="shared" ca="1" si="13"/>
        <v>31853.577119657737</v>
      </c>
      <c r="BH55" s="140">
        <f t="shared" ca="1" si="14"/>
        <v>1990.8485699786063</v>
      </c>
      <c r="BI55" s="140"/>
      <c r="BJ55" s="140"/>
      <c r="DO55" s="23">
        <f t="shared" ca="1" si="15"/>
        <v>643.04408810309053</v>
      </c>
    </row>
    <row r="56" spans="1:119" x14ac:dyDescent="0.25">
      <c r="A56" s="68">
        <f t="shared" si="0"/>
        <v>33</v>
      </c>
      <c r="B56" s="68" t="str">
        <f t="shared" si="1"/>
        <v>amortização</v>
      </c>
      <c r="C56" s="156">
        <f t="shared" ca="1" si="7"/>
        <v>159.2678855982887</v>
      </c>
      <c r="D56" s="156">
        <f t="shared" ca="1" si="8"/>
        <v>1990.8485699786063</v>
      </c>
      <c r="E56" s="162">
        <f t="shared" ca="1" si="9"/>
        <v>29862.72854967913</v>
      </c>
      <c r="F56" s="156">
        <f t="shared" ca="1" si="2"/>
        <v>2150.1164555768951</v>
      </c>
      <c r="G56" s="171">
        <f t="shared" ca="1" si="10"/>
        <v>2150.1164555768951</v>
      </c>
      <c r="AA56" s="2">
        <f t="shared" si="18"/>
        <v>27</v>
      </c>
      <c r="AB56" s="8">
        <f t="shared" ca="1" si="20"/>
        <v>47050</v>
      </c>
      <c r="AC56" s="9">
        <f t="shared" ca="1" si="26"/>
        <v>35000.000000000022</v>
      </c>
      <c r="AD56" s="9">
        <f t="shared" si="16"/>
        <v>1666.6666666666667</v>
      </c>
      <c r="AE56" s="2">
        <f t="shared" ca="1" si="21"/>
        <v>30</v>
      </c>
      <c r="AF56" s="2">
        <f t="shared" ca="1" si="22"/>
        <v>810</v>
      </c>
      <c r="AG56" s="9">
        <f t="shared" ca="1" si="23"/>
        <v>49.88333333333334</v>
      </c>
      <c r="AH56" s="9">
        <f t="shared" ca="1" si="24"/>
        <v>8.3341666666666665</v>
      </c>
      <c r="AL56" s="23">
        <f t="shared" ca="1" si="4"/>
        <v>159.2678855982887</v>
      </c>
      <c r="AM56" s="23">
        <f t="shared" ca="1" si="28"/>
        <v>159.2678855982887</v>
      </c>
      <c r="AN56" s="23">
        <f t="shared" ca="1" si="5"/>
        <v>159.2678855982887</v>
      </c>
      <c r="AO56" s="23">
        <v>0</v>
      </c>
      <c r="AP56" s="23">
        <f ca="1">E53*((1+$C$23)^3-1)</f>
        <v>540.2212388729647</v>
      </c>
      <c r="AQ56" s="23">
        <v>0</v>
      </c>
      <c r="AR56" s="23">
        <v>0</v>
      </c>
      <c r="AU56" s="23">
        <f t="shared" si="12"/>
        <v>1666.6666666666667</v>
      </c>
      <c r="AV56" s="23">
        <f t="shared" si="6"/>
        <v>1666.6666666666667</v>
      </c>
      <c r="AW56" s="23">
        <v>0</v>
      </c>
      <c r="AX56" s="23">
        <f>$E$23/($B$17-$B$16)*3</f>
        <v>5000</v>
      </c>
      <c r="AY56" s="23">
        <v>0</v>
      </c>
      <c r="AZ56" s="23">
        <v>0</v>
      </c>
      <c r="BG56" s="137">
        <f t="shared" ca="1" si="13"/>
        <v>29862.72854967913</v>
      </c>
      <c r="BH56" s="140">
        <f t="shared" ca="1" si="14"/>
        <v>1990.8485699786063</v>
      </c>
      <c r="BI56" s="140"/>
      <c r="BJ56" s="140"/>
      <c r="DO56" s="23">
        <f t="shared" ca="1" si="15"/>
        <v>605.21796527349704</v>
      </c>
    </row>
    <row r="57" spans="1:119" x14ac:dyDescent="0.25">
      <c r="A57" s="68">
        <f t="shared" si="0"/>
        <v>34</v>
      </c>
      <c r="B57" s="68" t="str">
        <f t="shared" si="1"/>
        <v>amortização</v>
      </c>
      <c r="C57" s="156">
        <f t="shared" ca="1" si="7"/>
        <v>149.31364274839567</v>
      </c>
      <c r="D57" s="156">
        <f t="shared" ca="1" si="8"/>
        <v>1990.8485699786063</v>
      </c>
      <c r="E57" s="162">
        <f t="shared" ca="1" si="9"/>
        <v>27871.879979700523</v>
      </c>
      <c r="F57" s="156">
        <f t="shared" ca="1" si="2"/>
        <v>2140.162212727002</v>
      </c>
      <c r="G57" s="171">
        <f t="shared" ca="1" si="10"/>
        <v>2140.162212727002</v>
      </c>
      <c r="AA57" s="2">
        <f t="shared" si="18"/>
        <v>28</v>
      </c>
      <c r="AB57" s="8">
        <f t="shared" ca="1" si="20"/>
        <v>47080</v>
      </c>
      <c r="AC57" s="9">
        <f t="shared" ca="1" si="26"/>
        <v>33333.333333333358</v>
      </c>
      <c r="AD57" s="9">
        <f t="shared" si="16"/>
        <v>1666.6666666666667</v>
      </c>
      <c r="AE57" s="2">
        <f t="shared" ca="1" si="21"/>
        <v>30</v>
      </c>
      <c r="AF57" s="2">
        <f t="shared" ca="1" si="22"/>
        <v>840</v>
      </c>
      <c r="AG57" s="9">
        <f t="shared" ca="1" si="23"/>
        <v>49.88333333333334</v>
      </c>
      <c r="AH57" s="9">
        <f t="shared" ca="1" si="24"/>
        <v>8.3341666666666665</v>
      </c>
      <c r="AL57" s="23">
        <f t="shared" ca="1" si="4"/>
        <v>149.31364274839567</v>
      </c>
      <c r="AM57" s="23">
        <f t="shared" ca="1" si="28"/>
        <v>149.31364274839567</v>
      </c>
      <c r="AN57" s="23">
        <f t="shared" ca="1" si="5"/>
        <v>149.31364274839567</v>
      </c>
      <c r="AO57" s="23">
        <f ca="1">E55*((1+$C$23)^2-1)</f>
        <v>319.33211062456019</v>
      </c>
      <c r="AP57" s="23">
        <v>0</v>
      </c>
      <c r="AQ57" s="23">
        <v>0</v>
      </c>
      <c r="AR57" s="23">
        <v>0</v>
      </c>
      <c r="AU57" s="23">
        <f t="shared" si="12"/>
        <v>1666.6666666666667</v>
      </c>
      <c r="AV57" s="23">
        <f t="shared" si="6"/>
        <v>1666.6666666666667</v>
      </c>
      <c r="AW57" s="23">
        <f>$E$23/($B$17-$B$16)*2</f>
        <v>3333.3333333333335</v>
      </c>
      <c r="AX57" s="23">
        <v>0</v>
      </c>
      <c r="AY57" s="23">
        <v>0</v>
      </c>
      <c r="AZ57" s="23">
        <v>0</v>
      </c>
      <c r="BG57" s="137">
        <f t="shared" ca="1" si="13"/>
        <v>27871.879979700523</v>
      </c>
      <c r="BH57" s="140">
        <f t="shared" ca="1" si="14"/>
        <v>1990.8485699786063</v>
      </c>
      <c r="BI57" s="140"/>
      <c r="BJ57" s="140"/>
      <c r="DO57" s="23">
        <f t="shared" ca="1" si="15"/>
        <v>567.39184244390344</v>
      </c>
    </row>
    <row r="58" spans="1:119" x14ac:dyDescent="0.25">
      <c r="A58" s="68">
        <f t="shared" si="0"/>
        <v>35</v>
      </c>
      <c r="B58" s="68" t="str">
        <f t="shared" si="1"/>
        <v>amortização</v>
      </c>
      <c r="C58" s="156">
        <f t="shared" ca="1" si="7"/>
        <v>139.35939989850263</v>
      </c>
      <c r="D58" s="156">
        <f t="shared" ca="1" si="8"/>
        <v>1990.8485699786063</v>
      </c>
      <c r="E58" s="162">
        <f t="shared" ca="1" si="9"/>
        <v>25881.031409721916</v>
      </c>
      <c r="F58" s="156">
        <f t="shared" ca="1" si="2"/>
        <v>2130.207969877109</v>
      </c>
      <c r="G58" s="171">
        <f t="shared" ca="1" si="10"/>
        <v>2130.207969877109</v>
      </c>
      <c r="AA58" s="2">
        <f t="shared" si="18"/>
        <v>29</v>
      </c>
      <c r="AB58" s="8">
        <f t="shared" ca="1" si="20"/>
        <v>47110</v>
      </c>
      <c r="AC58" s="9">
        <f t="shared" ca="1" si="26"/>
        <v>31666.66666666669</v>
      </c>
      <c r="AD58" s="9">
        <f t="shared" si="16"/>
        <v>1666.6666666666667</v>
      </c>
      <c r="AE58" s="2">
        <f t="shared" ca="1" si="21"/>
        <v>30</v>
      </c>
      <c r="AF58" s="2">
        <f t="shared" ca="1" si="22"/>
        <v>870</v>
      </c>
      <c r="AG58" s="9">
        <f t="shared" ca="1" si="23"/>
        <v>49.88333333333334</v>
      </c>
      <c r="AH58" s="9">
        <f t="shared" ca="1" si="24"/>
        <v>8.3341666666666665</v>
      </c>
      <c r="AL58" s="23">
        <f t="shared" ca="1" si="4"/>
        <v>139.35939989850263</v>
      </c>
      <c r="AM58" s="23">
        <f t="shared" ca="1" si="28"/>
        <v>139.35939989850263</v>
      </c>
      <c r="AN58" s="23">
        <f t="shared" ca="1" si="5"/>
        <v>139.35939989850263</v>
      </c>
      <c r="AO58" s="23">
        <v>0</v>
      </c>
      <c r="AP58" s="23">
        <v>0</v>
      </c>
      <c r="AQ58" s="23">
        <v>0</v>
      </c>
      <c r="AR58" s="23">
        <v>0</v>
      </c>
      <c r="AU58" s="23">
        <f t="shared" si="12"/>
        <v>1666.6666666666667</v>
      </c>
      <c r="AV58" s="23">
        <f t="shared" si="6"/>
        <v>1666.6666666666667</v>
      </c>
      <c r="AW58" s="23">
        <v>0</v>
      </c>
      <c r="AX58" s="23">
        <v>0</v>
      </c>
      <c r="AY58" s="23">
        <v>0</v>
      </c>
      <c r="AZ58" s="23">
        <v>0</v>
      </c>
      <c r="BG58" s="137">
        <f t="shared" ca="1" si="13"/>
        <v>25881.031409721916</v>
      </c>
      <c r="BH58" s="140">
        <f t="shared" ca="1" si="14"/>
        <v>1990.8485699786063</v>
      </c>
      <c r="BI58" s="140"/>
      <c r="BJ58" s="140"/>
      <c r="DO58" s="23">
        <f t="shared" ca="1" si="15"/>
        <v>529.56571961430996</v>
      </c>
    </row>
    <row r="59" spans="1:119" x14ac:dyDescent="0.25">
      <c r="A59" s="68">
        <f t="shared" si="0"/>
        <v>36</v>
      </c>
      <c r="B59" s="68" t="str">
        <f t="shared" si="1"/>
        <v>amortização</v>
      </c>
      <c r="C59" s="156">
        <f t="shared" ca="1" si="7"/>
        <v>129.4051570486096</v>
      </c>
      <c r="D59" s="156">
        <f t="shared" ca="1" si="8"/>
        <v>1990.8485699786063</v>
      </c>
      <c r="E59" s="162">
        <f ca="1">IF($BG$21=TRUE,BG59,IF(F59="","",E58-D59))</f>
        <v>23890.182839743309</v>
      </c>
      <c r="F59" s="156">
        <f t="shared" ca="1" si="2"/>
        <v>2120.253727027216</v>
      </c>
      <c r="G59" s="171">
        <f t="shared" ca="1" si="10"/>
        <v>2120.253727027216</v>
      </c>
      <c r="AA59" s="2">
        <f t="shared" si="18"/>
        <v>30</v>
      </c>
      <c r="AB59" s="8">
        <f t="shared" ca="1" si="20"/>
        <v>47140</v>
      </c>
      <c r="AC59" s="9">
        <f t="shared" ca="1" si="26"/>
        <v>30000.000000000022</v>
      </c>
      <c r="AD59" s="9">
        <f t="shared" si="16"/>
        <v>1666.6666666666667</v>
      </c>
      <c r="AE59" s="2">
        <f t="shared" ca="1" si="21"/>
        <v>30</v>
      </c>
      <c r="AF59" s="2">
        <f t="shared" ca="1" si="22"/>
        <v>900</v>
      </c>
      <c r="AG59" s="9">
        <f t="shared" ca="1" si="23"/>
        <v>49.88333333333334</v>
      </c>
      <c r="AH59" s="9">
        <f t="shared" ca="1" si="24"/>
        <v>8.3341666666666665</v>
      </c>
      <c r="AL59" s="23">
        <f t="shared" ca="1" si="4"/>
        <v>129.4051570486096</v>
      </c>
      <c r="AM59" s="23">
        <f t="shared" ca="1" si="28"/>
        <v>129.4051570486096</v>
      </c>
      <c r="AN59" s="23">
        <f t="shared" ca="1" si="5"/>
        <v>129.4051570486096</v>
      </c>
      <c r="AO59" s="23">
        <f ca="1">E57*((1+$C$23)^2-1)</f>
        <v>279.41559679649021</v>
      </c>
      <c r="AP59" s="23">
        <f ca="1">E56*((1+$C$23)^3-1)</f>
        <v>450.18436572747066</v>
      </c>
      <c r="AQ59" s="23">
        <f t="shared" ref="AQ59" ca="1" si="29">E53*((1+$C$23)^6-1)</f>
        <v>1088.5863804495839</v>
      </c>
      <c r="AR59" s="23">
        <f ca="1">E47*((1+$C$23)^12-1)</f>
        <v>2946.9884051962713</v>
      </c>
      <c r="AU59" s="23">
        <f t="shared" si="12"/>
        <v>1666.6666666666667</v>
      </c>
      <c r="AV59" s="23">
        <f t="shared" si="6"/>
        <v>1666.6666666666667</v>
      </c>
      <c r="AW59" s="23">
        <f>$E$23/($B$17-$B$16)*2</f>
        <v>3333.3333333333335</v>
      </c>
      <c r="AX59" s="23">
        <f>$E$23/($B$17-$B$16)*3</f>
        <v>5000</v>
      </c>
      <c r="AY59" s="23">
        <f>$E$23/($B$17-$B$16)*6</f>
        <v>10000</v>
      </c>
      <c r="AZ59" s="23">
        <f>$E$23/($B$17-$B$16)*12</f>
        <v>20000</v>
      </c>
      <c r="BG59" s="137">
        <f t="shared" ca="1" si="13"/>
        <v>23890.182839743309</v>
      </c>
      <c r="BH59" s="140">
        <f t="shared" ca="1" si="14"/>
        <v>1990.8485699786063</v>
      </c>
      <c r="BI59" s="140"/>
      <c r="BJ59" s="140"/>
      <c r="DO59" s="23">
        <f t="shared" ca="1" si="15"/>
        <v>491.73959678471641</v>
      </c>
    </row>
    <row r="60" spans="1:119" x14ac:dyDescent="0.25">
      <c r="A60" s="68">
        <f t="shared" si="0"/>
        <v>37</v>
      </c>
      <c r="B60" s="68" t="str">
        <f t="shared" si="1"/>
        <v>amortização</v>
      </c>
      <c r="C60" s="156">
        <f t="shared" ca="1" si="7"/>
        <v>119.45091419871655</v>
      </c>
      <c r="D60" s="156">
        <f t="shared" ca="1" si="8"/>
        <v>1990.8485699786063</v>
      </c>
      <c r="E60" s="162">
        <f t="shared" ca="1" si="9"/>
        <v>21899.334269764702</v>
      </c>
      <c r="F60" s="156">
        <f t="shared" ca="1" si="2"/>
        <v>2110.2994841773229</v>
      </c>
      <c r="G60" s="171">
        <f t="shared" ca="1" si="10"/>
        <v>2110.2994841773229</v>
      </c>
      <c r="AA60" s="2">
        <f t="shared" si="18"/>
        <v>31</v>
      </c>
      <c r="AB60" s="8">
        <f t="shared" ca="1" si="20"/>
        <v>47170</v>
      </c>
      <c r="AC60" s="9">
        <f t="shared" ca="1" si="26"/>
        <v>28333.333333333354</v>
      </c>
      <c r="AD60" s="9">
        <f t="shared" si="16"/>
        <v>1666.6666666666667</v>
      </c>
      <c r="AE60" s="2">
        <f t="shared" ca="1" si="21"/>
        <v>30</v>
      </c>
      <c r="AF60" s="2">
        <f t="shared" ca="1" si="22"/>
        <v>930</v>
      </c>
      <c r="AG60" s="9">
        <f t="shared" ca="1" si="23"/>
        <v>49.88333333333334</v>
      </c>
      <c r="AH60" s="9">
        <f t="shared" ca="1" si="24"/>
        <v>8.3341666666666665</v>
      </c>
      <c r="AL60" s="23">
        <f t="shared" ca="1" si="4"/>
        <v>119.45091419871655</v>
      </c>
      <c r="AM60" s="23">
        <f t="shared" ca="1" si="28"/>
        <v>119.45091419871655</v>
      </c>
      <c r="AN60" s="23">
        <f t="shared" ca="1" si="5"/>
        <v>119.45091419871655</v>
      </c>
      <c r="AO60" s="23">
        <v>0</v>
      </c>
      <c r="AP60" s="23">
        <v>0</v>
      </c>
      <c r="AQ60" s="23">
        <v>0</v>
      </c>
      <c r="AR60" s="23">
        <v>0</v>
      </c>
      <c r="AU60" s="23">
        <f t="shared" si="12"/>
        <v>1666.6666666666667</v>
      </c>
      <c r="AV60" s="23">
        <f t="shared" si="6"/>
        <v>1666.6666666666667</v>
      </c>
      <c r="AW60" s="23">
        <v>0</v>
      </c>
      <c r="AX60" s="23">
        <v>0</v>
      </c>
      <c r="AY60" s="23">
        <v>0</v>
      </c>
      <c r="AZ60" s="23">
        <v>0</v>
      </c>
      <c r="BG60" s="137">
        <f t="shared" ca="1" si="13"/>
        <v>21899.334269764702</v>
      </c>
      <c r="BH60" s="140">
        <f t="shared" ca="1" si="14"/>
        <v>1990.8485699786063</v>
      </c>
      <c r="BI60" s="140"/>
      <c r="BJ60" s="140"/>
      <c r="DO60" s="23">
        <f t="shared" ca="1" si="15"/>
        <v>453.91347395512287</v>
      </c>
    </row>
    <row r="61" spans="1:119" x14ac:dyDescent="0.25">
      <c r="A61" s="68">
        <f t="shared" si="0"/>
        <v>38</v>
      </c>
      <c r="B61" s="68" t="str">
        <f t="shared" si="1"/>
        <v>amortização</v>
      </c>
      <c r="C61" s="156">
        <f t="shared" ca="1" si="7"/>
        <v>109.49667134882351</v>
      </c>
      <c r="D61" s="156">
        <f t="shared" ca="1" si="8"/>
        <v>1990.8485699786063</v>
      </c>
      <c r="E61" s="162">
        <f t="shared" ca="1" si="9"/>
        <v>19908.485699786095</v>
      </c>
      <c r="F61" s="156">
        <f t="shared" ca="1" si="2"/>
        <v>2100.3452413274299</v>
      </c>
      <c r="G61" s="171">
        <f t="shared" ca="1" si="10"/>
        <v>2100.3452413274299</v>
      </c>
      <c r="AA61" s="2">
        <f t="shared" si="18"/>
        <v>32</v>
      </c>
      <c r="AB61" s="8">
        <f t="shared" ca="1" si="20"/>
        <v>47200</v>
      </c>
      <c r="AC61" s="9">
        <f t="shared" ca="1" si="26"/>
        <v>26666.666666666686</v>
      </c>
      <c r="AD61" s="9">
        <f t="shared" si="16"/>
        <v>1666.6666666666667</v>
      </c>
      <c r="AE61" s="2">
        <f t="shared" ca="1" si="21"/>
        <v>30</v>
      </c>
      <c r="AF61" s="2">
        <f t="shared" ca="1" si="22"/>
        <v>960</v>
      </c>
      <c r="AG61" s="9">
        <f t="shared" ca="1" si="23"/>
        <v>49.88333333333334</v>
      </c>
      <c r="AH61" s="9">
        <f t="shared" ca="1" si="24"/>
        <v>8.3341666666666665</v>
      </c>
      <c r="AL61" s="23">
        <f t="shared" ca="1" si="4"/>
        <v>109.49667134882351</v>
      </c>
      <c r="AM61" s="23">
        <f t="shared" ca="1" si="28"/>
        <v>109.49667134882351</v>
      </c>
      <c r="AN61" s="23">
        <f t="shared" ca="1" si="5"/>
        <v>109.49667134882351</v>
      </c>
      <c r="AO61" s="23">
        <f ca="1">E59*((1+$C$23)^2-1)</f>
        <v>239.4990829684202</v>
      </c>
      <c r="AP61" s="23">
        <v>0</v>
      </c>
      <c r="AQ61" s="23">
        <v>0</v>
      </c>
      <c r="AR61" s="23">
        <v>0</v>
      </c>
      <c r="AU61" s="23">
        <f t="shared" si="12"/>
        <v>1666.6666666666667</v>
      </c>
      <c r="AV61" s="23">
        <f t="shared" si="6"/>
        <v>1666.6666666666667</v>
      </c>
      <c r="AW61" s="23">
        <f>$E$23/($B$17-$B$16)*2</f>
        <v>3333.3333333333335</v>
      </c>
      <c r="AX61" s="23">
        <v>0</v>
      </c>
      <c r="AY61" s="23">
        <v>0</v>
      </c>
      <c r="AZ61" s="23">
        <v>0</v>
      </c>
      <c r="BG61" s="137">
        <f t="shared" ca="1" si="13"/>
        <v>19908.485699786095</v>
      </c>
      <c r="BH61" s="140">
        <f t="shared" ca="1" si="14"/>
        <v>1990.8485699786063</v>
      </c>
      <c r="BI61" s="140"/>
      <c r="BJ61" s="140"/>
      <c r="DO61" s="23">
        <f t="shared" ca="1" si="15"/>
        <v>416.08735112552932</v>
      </c>
    </row>
    <row r="62" spans="1:119" x14ac:dyDescent="0.25">
      <c r="A62" s="68">
        <f t="shared" si="0"/>
        <v>39</v>
      </c>
      <c r="B62" s="68" t="str">
        <f t="shared" si="1"/>
        <v>amortização</v>
      </c>
      <c r="C62" s="156">
        <f t="shared" ca="1" si="7"/>
        <v>99.542428498930477</v>
      </c>
      <c r="D62" s="156">
        <f t="shared" ca="1" si="8"/>
        <v>1990.8485699786063</v>
      </c>
      <c r="E62" s="162">
        <f t="shared" ca="1" si="9"/>
        <v>17917.637129807488</v>
      </c>
      <c r="F62" s="156">
        <f t="shared" ca="1" si="2"/>
        <v>2090.3909984775369</v>
      </c>
      <c r="G62" s="171">
        <f t="shared" ca="1" si="10"/>
        <v>2090.3909984775369</v>
      </c>
      <c r="AA62" s="2">
        <f t="shared" si="18"/>
        <v>33</v>
      </c>
      <c r="AB62" s="8">
        <f t="shared" ca="1" si="20"/>
        <v>47230</v>
      </c>
      <c r="AC62" s="9">
        <f t="shared" ca="1" si="26"/>
        <v>25000.000000000018</v>
      </c>
      <c r="AD62" s="9">
        <f t="shared" si="16"/>
        <v>1666.6666666666667</v>
      </c>
      <c r="AE62" s="2">
        <f t="shared" ca="1" si="21"/>
        <v>30</v>
      </c>
      <c r="AF62" s="2">
        <f t="shared" ca="1" si="22"/>
        <v>990</v>
      </c>
      <c r="AG62" s="9">
        <f t="shared" ca="1" si="23"/>
        <v>49.88333333333334</v>
      </c>
      <c r="AH62" s="9">
        <f t="shared" ca="1" si="24"/>
        <v>8.3341666666666665</v>
      </c>
      <c r="AL62" s="23">
        <f t="shared" ca="1" si="4"/>
        <v>99.542428498930477</v>
      </c>
      <c r="AM62" s="23">
        <f t="shared" ca="1" si="28"/>
        <v>99.542428498930477</v>
      </c>
      <c r="AN62" s="23">
        <f t="shared" ca="1" si="5"/>
        <v>99.542428498930477</v>
      </c>
      <c r="AO62" s="23">
        <v>0</v>
      </c>
      <c r="AP62" s="23">
        <f ca="1">E59*((1+$C$23)^3-1)</f>
        <v>360.14749258197662</v>
      </c>
      <c r="AQ62" s="23">
        <v>0</v>
      </c>
      <c r="AR62" s="23">
        <v>0</v>
      </c>
      <c r="AU62" s="23">
        <f t="shared" si="12"/>
        <v>1666.6666666666667</v>
      </c>
      <c r="AV62" s="23">
        <f t="shared" si="6"/>
        <v>1666.6666666666667</v>
      </c>
      <c r="AW62" s="23">
        <v>0</v>
      </c>
      <c r="AX62" s="23">
        <f>$E$23/($B$17-$B$16)*3</f>
        <v>5000</v>
      </c>
      <c r="AY62" s="23">
        <v>0</v>
      </c>
      <c r="AZ62" s="23">
        <v>0</v>
      </c>
      <c r="BG62" s="137">
        <f t="shared" ca="1" si="13"/>
        <v>17917.637129807488</v>
      </c>
      <c r="BH62" s="140">
        <f t="shared" ca="1" si="14"/>
        <v>1990.8485699786063</v>
      </c>
      <c r="BI62" s="140"/>
      <c r="BJ62" s="140"/>
      <c r="DO62" s="23">
        <f t="shared" ca="1" si="15"/>
        <v>378.26122829593578</v>
      </c>
    </row>
    <row r="63" spans="1:119" x14ac:dyDescent="0.25">
      <c r="A63" s="68">
        <f t="shared" si="0"/>
        <v>40</v>
      </c>
      <c r="B63" s="68" t="str">
        <f t="shared" si="1"/>
        <v>amortização</v>
      </c>
      <c r="C63" s="156">
        <f t="shared" ca="1" si="7"/>
        <v>89.588185649037442</v>
      </c>
      <c r="D63" s="156">
        <f t="shared" ca="1" si="8"/>
        <v>1990.8485699786063</v>
      </c>
      <c r="E63" s="162">
        <f t="shared" ca="1" si="9"/>
        <v>15926.788559828881</v>
      </c>
      <c r="F63" s="156">
        <f t="shared" ca="1" si="2"/>
        <v>2080.4367556276438</v>
      </c>
      <c r="G63" s="171">
        <f t="shared" ca="1" si="10"/>
        <v>2080.4367556276438</v>
      </c>
      <c r="AA63" s="2">
        <f t="shared" si="18"/>
        <v>34</v>
      </c>
      <c r="AB63" s="8">
        <f t="shared" ca="1" si="20"/>
        <v>47260</v>
      </c>
      <c r="AC63" s="9">
        <f t="shared" ca="1" si="26"/>
        <v>23333.33333333335</v>
      </c>
      <c r="AD63" s="9">
        <f t="shared" si="16"/>
        <v>1666.6666666666667</v>
      </c>
      <c r="AE63" s="2">
        <f t="shared" ca="1" si="21"/>
        <v>30</v>
      </c>
      <c r="AF63" s="2">
        <f t="shared" ca="1" si="22"/>
        <v>1020</v>
      </c>
      <c r="AG63" s="9">
        <f t="shared" ca="1" si="23"/>
        <v>49.88333333333334</v>
      </c>
      <c r="AH63" s="9">
        <f t="shared" ca="1" si="24"/>
        <v>8.3341666666666665</v>
      </c>
      <c r="AL63" s="23">
        <f t="shared" ca="1" si="4"/>
        <v>89.588185649037442</v>
      </c>
      <c r="AM63" s="23">
        <f t="shared" ca="1" si="28"/>
        <v>89.588185649037442</v>
      </c>
      <c r="AN63" s="23">
        <f t="shared" ca="1" si="5"/>
        <v>89.588185649037442</v>
      </c>
      <c r="AO63" s="23">
        <f ca="1">E61*((1+$C$23)^2-1)</f>
        <v>199.58256914035019</v>
      </c>
      <c r="AP63" s="23">
        <v>0</v>
      </c>
      <c r="AQ63" s="23">
        <v>0</v>
      </c>
      <c r="AR63" s="23">
        <v>0</v>
      </c>
      <c r="AU63" s="23">
        <f t="shared" si="12"/>
        <v>1666.6666666666667</v>
      </c>
      <c r="AV63" s="23">
        <f t="shared" si="6"/>
        <v>1666.6666666666667</v>
      </c>
      <c r="AW63" s="23">
        <f>$E$23/($B$17-$B$16)*2</f>
        <v>3333.3333333333335</v>
      </c>
      <c r="AX63" s="23">
        <v>0</v>
      </c>
      <c r="AY63" s="23">
        <v>0</v>
      </c>
      <c r="AZ63" s="23">
        <v>0</v>
      </c>
      <c r="BG63" s="137">
        <f t="shared" ca="1" si="13"/>
        <v>15926.788559828881</v>
      </c>
      <c r="BH63" s="140">
        <f t="shared" ca="1" si="14"/>
        <v>1990.8485699786063</v>
      </c>
      <c r="BI63" s="140"/>
      <c r="BJ63" s="140"/>
      <c r="DO63" s="23">
        <f t="shared" ca="1" si="15"/>
        <v>340.43510546634229</v>
      </c>
    </row>
    <row r="64" spans="1:119" x14ac:dyDescent="0.25">
      <c r="A64" s="68">
        <f t="shared" si="0"/>
        <v>41</v>
      </c>
      <c r="B64" s="68" t="str">
        <f t="shared" si="1"/>
        <v>amortização</v>
      </c>
      <c r="C64" s="156">
        <f t="shared" ca="1" si="7"/>
        <v>79.633942799144407</v>
      </c>
      <c r="D64" s="156">
        <f t="shared" ca="1" si="8"/>
        <v>1990.8485699786063</v>
      </c>
      <c r="E64" s="162">
        <f t="shared" ca="1" si="9"/>
        <v>13935.939989850274</v>
      </c>
      <c r="F64" s="156">
        <f t="shared" ca="1" si="2"/>
        <v>2070.4825127777508</v>
      </c>
      <c r="G64" s="171">
        <f t="shared" ca="1" si="10"/>
        <v>2070.4825127777508</v>
      </c>
      <c r="AA64" s="2">
        <f t="shared" si="18"/>
        <v>35</v>
      </c>
      <c r="AB64" s="8">
        <f t="shared" ca="1" si="20"/>
        <v>47290</v>
      </c>
      <c r="AC64" s="9">
        <f t="shared" ca="1" si="26"/>
        <v>21666.666666666682</v>
      </c>
      <c r="AD64" s="9">
        <f t="shared" si="16"/>
        <v>1666.6666666666667</v>
      </c>
      <c r="AE64" s="2">
        <f t="shared" ca="1" si="21"/>
        <v>30</v>
      </c>
      <c r="AF64" s="2">
        <f t="shared" ca="1" si="22"/>
        <v>1050</v>
      </c>
      <c r="AG64" s="9">
        <f t="shared" ca="1" si="23"/>
        <v>49.88333333333334</v>
      </c>
      <c r="AH64" s="9">
        <f t="shared" ca="1" si="24"/>
        <v>8.3341666666666665</v>
      </c>
      <c r="AL64" s="23">
        <f t="shared" ca="1" si="4"/>
        <v>79.633942799144407</v>
      </c>
      <c r="AM64" s="23">
        <f t="shared" ca="1" si="28"/>
        <v>79.633942799144407</v>
      </c>
      <c r="AN64" s="23">
        <f t="shared" ca="1" si="5"/>
        <v>79.633942799144407</v>
      </c>
      <c r="AO64" s="23">
        <v>0</v>
      </c>
      <c r="AP64" s="23">
        <v>0</v>
      </c>
      <c r="AQ64" s="23">
        <v>0</v>
      </c>
      <c r="AR64" s="23">
        <v>0</v>
      </c>
      <c r="AU64" s="23">
        <f t="shared" si="12"/>
        <v>1666.6666666666667</v>
      </c>
      <c r="AV64" s="23">
        <f t="shared" si="6"/>
        <v>1666.6666666666667</v>
      </c>
      <c r="AW64" s="23">
        <v>0</v>
      </c>
      <c r="AX64" s="23">
        <v>0</v>
      </c>
      <c r="AY64" s="23">
        <v>0</v>
      </c>
      <c r="AZ64" s="23">
        <v>0</v>
      </c>
      <c r="BG64" s="137">
        <f t="shared" ca="1" si="13"/>
        <v>13935.939989850274</v>
      </c>
      <c r="BH64" s="140">
        <f t="shared" ca="1" si="14"/>
        <v>1990.8485699786063</v>
      </c>
      <c r="BI64" s="140"/>
      <c r="BJ64" s="140"/>
      <c r="DO64" s="23">
        <f t="shared" ca="1" si="15"/>
        <v>302.60898263674875</v>
      </c>
    </row>
    <row r="65" spans="1:119" x14ac:dyDescent="0.25">
      <c r="A65" s="68">
        <f t="shared" si="0"/>
        <v>42</v>
      </c>
      <c r="B65" s="68" t="str">
        <f t="shared" si="1"/>
        <v>amortização</v>
      </c>
      <c r="C65" s="156">
        <f t="shared" ca="1" si="7"/>
        <v>69.679699949251372</v>
      </c>
      <c r="D65" s="156">
        <f t="shared" ca="1" si="8"/>
        <v>1990.8485699786063</v>
      </c>
      <c r="E65" s="162">
        <f t="shared" ca="1" si="9"/>
        <v>11945.091419871667</v>
      </c>
      <c r="F65" s="156">
        <f t="shared" ca="1" si="2"/>
        <v>2060.5282699278578</v>
      </c>
      <c r="G65" s="171">
        <f t="shared" ca="1" si="10"/>
        <v>2060.5282699278578</v>
      </c>
      <c r="AA65" s="2">
        <f t="shared" si="18"/>
        <v>36</v>
      </c>
      <c r="AB65" s="8">
        <f t="shared" ca="1" si="20"/>
        <v>47320</v>
      </c>
      <c r="AC65" s="9">
        <f t="shared" ca="1" si="26"/>
        <v>20000.000000000015</v>
      </c>
      <c r="AD65" s="9">
        <f t="shared" si="16"/>
        <v>1666.6666666666667</v>
      </c>
      <c r="AE65" s="2">
        <f t="shared" ca="1" si="21"/>
        <v>30</v>
      </c>
      <c r="AF65" s="2">
        <f t="shared" ca="1" si="22"/>
        <v>1080</v>
      </c>
      <c r="AG65" s="9">
        <f t="shared" ca="1" si="23"/>
        <v>49.88333333333334</v>
      </c>
      <c r="AH65" s="9">
        <f t="shared" ca="1" si="24"/>
        <v>8.3341666666666665</v>
      </c>
      <c r="AL65" s="23">
        <f t="shared" ca="1" si="4"/>
        <v>69.679699949251372</v>
      </c>
      <c r="AM65" s="23">
        <f t="shared" ca="1" si="28"/>
        <v>69.679699949251372</v>
      </c>
      <c r="AN65" s="23">
        <f t="shared" ca="1" si="5"/>
        <v>69.679699949251372</v>
      </c>
      <c r="AO65" s="23">
        <f ca="1">E63*((1+$C$23)^2-1)</f>
        <v>159.66605531228021</v>
      </c>
      <c r="AP65" s="23">
        <f ca="1">E62*((1+$C$23)^3-1)</f>
        <v>270.11061943648258</v>
      </c>
      <c r="AQ65" s="23">
        <f t="shared" ref="AQ65" ca="1" si="30">E59*((1+$C$23)^6-1)</f>
        <v>725.72425363305626</v>
      </c>
      <c r="AR65" s="23">
        <v>0</v>
      </c>
      <c r="AU65" s="23">
        <f t="shared" si="12"/>
        <v>1666.6666666666667</v>
      </c>
      <c r="AV65" s="23">
        <f t="shared" si="6"/>
        <v>1666.6666666666667</v>
      </c>
      <c r="AW65" s="23">
        <f>$E$23/($B$17-$B$16)*2</f>
        <v>3333.3333333333335</v>
      </c>
      <c r="AX65" s="23">
        <f>$E$23/($B$17-$B$16)*3</f>
        <v>5000</v>
      </c>
      <c r="AY65" s="23">
        <f>$E$23/($B$17-$B$16)*6</f>
        <v>10000</v>
      </c>
      <c r="AZ65" s="23">
        <v>0</v>
      </c>
      <c r="BG65" s="137">
        <f t="shared" ca="1" si="13"/>
        <v>11945.091419871667</v>
      </c>
      <c r="BH65" s="140">
        <f t="shared" ca="1" si="14"/>
        <v>1990.8485699786063</v>
      </c>
      <c r="BI65" s="140"/>
      <c r="BJ65" s="140"/>
      <c r="DO65" s="23">
        <f t="shared" ca="1" si="15"/>
        <v>264.78285980715521</v>
      </c>
    </row>
    <row r="66" spans="1:119" x14ac:dyDescent="0.25">
      <c r="A66" s="68">
        <f t="shared" si="0"/>
        <v>43</v>
      </c>
      <c r="B66" s="68" t="str">
        <f t="shared" si="1"/>
        <v>amortização</v>
      </c>
      <c r="C66" s="156">
        <f t="shared" ca="1" si="7"/>
        <v>59.725457099358337</v>
      </c>
      <c r="D66" s="156">
        <f t="shared" ca="1" si="8"/>
        <v>1990.8485699786063</v>
      </c>
      <c r="E66" s="162">
        <f t="shared" ca="1" si="9"/>
        <v>9954.2428498930603</v>
      </c>
      <c r="F66" s="156">
        <f t="shared" ca="1" si="2"/>
        <v>2050.5740270779647</v>
      </c>
      <c r="G66" s="171">
        <f t="shared" ca="1" si="10"/>
        <v>2050.5740270779647</v>
      </c>
      <c r="AA66" s="2">
        <f t="shared" si="18"/>
        <v>37</v>
      </c>
      <c r="AB66" s="8">
        <f t="shared" ca="1" si="20"/>
        <v>47350</v>
      </c>
      <c r="AC66" s="9">
        <f t="shared" ca="1" si="26"/>
        <v>18333.333333333347</v>
      </c>
      <c r="AD66" s="9">
        <f t="shared" si="16"/>
        <v>1666.6666666666667</v>
      </c>
      <c r="AE66" s="2">
        <f t="shared" ca="1" si="21"/>
        <v>30</v>
      </c>
      <c r="AF66" s="2">
        <f t="shared" ca="1" si="22"/>
        <v>1110</v>
      </c>
      <c r="AG66" s="9">
        <f t="shared" ca="1" si="23"/>
        <v>49.88333333333334</v>
      </c>
      <c r="AH66" s="9">
        <f t="shared" ca="1" si="24"/>
        <v>8.3341666666666665</v>
      </c>
      <c r="AL66" s="23">
        <f t="shared" ca="1" si="4"/>
        <v>59.725457099358337</v>
      </c>
      <c r="AM66" s="23">
        <f t="shared" ca="1" si="28"/>
        <v>59.725457099358337</v>
      </c>
      <c r="AN66" s="23">
        <f t="shared" ca="1" si="5"/>
        <v>59.725457099358337</v>
      </c>
      <c r="AO66" s="23">
        <v>0</v>
      </c>
      <c r="AP66" s="23">
        <v>0</v>
      </c>
      <c r="AQ66" s="23">
        <v>0</v>
      </c>
      <c r="AR66" s="23">
        <v>0</v>
      </c>
      <c r="AU66" s="23">
        <f t="shared" si="12"/>
        <v>1666.6666666666667</v>
      </c>
      <c r="AV66" s="23">
        <f t="shared" si="6"/>
        <v>1666.6666666666667</v>
      </c>
      <c r="AW66" s="23">
        <v>0</v>
      </c>
      <c r="AX66" s="23">
        <v>0</v>
      </c>
      <c r="AY66" s="23">
        <v>0</v>
      </c>
      <c r="AZ66" s="23">
        <v>0</v>
      </c>
      <c r="BG66" s="137">
        <f t="shared" ca="1" si="13"/>
        <v>9954.2428498930603</v>
      </c>
      <c r="BH66" s="140">
        <f t="shared" ca="1" si="14"/>
        <v>1990.8485699786063</v>
      </c>
      <c r="BI66" s="140"/>
      <c r="BJ66" s="140"/>
      <c r="DO66" s="23">
        <f t="shared" ca="1" si="15"/>
        <v>226.95673697756166</v>
      </c>
    </row>
    <row r="67" spans="1:119" x14ac:dyDescent="0.25">
      <c r="A67" s="68">
        <f t="shared" si="0"/>
        <v>44</v>
      </c>
      <c r="B67" s="68" t="str">
        <f t="shared" si="1"/>
        <v>amortização</v>
      </c>
      <c r="C67" s="156">
        <f t="shared" ca="1" si="7"/>
        <v>49.771214249465302</v>
      </c>
      <c r="D67" s="156">
        <f t="shared" ca="1" si="8"/>
        <v>1990.8485699786063</v>
      </c>
      <c r="E67" s="162">
        <f t="shared" ca="1" si="9"/>
        <v>7963.3942799144543</v>
      </c>
      <c r="F67" s="156">
        <f t="shared" ca="1" si="2"/>
        <v>2040.6197842280717</v>
      </c>
      <c r="G67" s="171">
        <f t="shared" ca="1" si="10"/>
        <v>2040.6197842280717</v>
      </c>
      <c r="AA67" s="2">
        <f t="shared" si="18"/>
        <v>38</v>
      </c>
      <c r="AB67" s="8">
        <f t="shared" ca="1" si="20"/>
        <v>47380</v>
      </c>
      <c r="AC67" s="9">
        <f t="shared" ca="1" si="26"/>
        <v>16666.666666666679</v>
      </c>
      <c r="AD67" s="9">
        <f t="shared" si="16"/>
        <v>1666.6666666666667</v>
      </c>
      <c r="AE67" s="2">
        <f t="shared" ca="1" si="21"/>
        <v>30</v>
      </c>
      <c r="AF67" s="2">
        <f t="shared" ca="1" si="22"/>
        <v>1140</v>
      </c>
      <c r="AG67" s="9">
        <f t="shared" ca="1" si="23"/>
        <v>49.88333333333334</v>
      </c>
      <c r="AH67" s="9">
        <f t="shared" ca="1" si="24"/>
        <v>8.3341666666666665</v>
      </c>
      <c r="AL67" s="23">
        <f t="shared" ca="1" si="4"/>
        <v>49.771214249465302</v>
      </c>
      <c r="AM67" s="23">
        <f t="shared" ca="1" si="28"/>
        <v>49.771214249465302</v>
      </c>
      <c r="AN67" s="23">
        <f t="shared" ca="1" si="5"/>
        <v>49.771214249465302</v>
      </c>
      <c r="AO67" s="23">
        <f ca="1">E65*((1+$C$23)^2-1)</f>
        <v>119.74954148421023</v>
      </c>
      <c r="AP67" s="23">
        <v>0</v>
      </c>
      <c r="AQ67" s="23">
        <v>0</v>
      </c>
      <c r="AR67" s="23">
        <v>0</v>
      </c>
      <c r="AU67" s="23">
        <f t="shared" si="12"/>
        <v>1666.6666666666667</v>
      </c>
      <c r="AV67" s="23">
        <f t="shared" si="6"/>
        <v>1666.6666666666667</v>
      </c>
      <c r="AW67" s="23">
        <f>$E$23/($B$17-$B$16)*2</f>
        <v>3333.3333333333335</v>
      </c>
      <c r="AX67" s="23">
        <v>0</v>
      </c>
      <c r="AY67" s="23">
        <v>0</v>
      </c>
      <c r="AZ67" s="23">
        <v>0</v>
      </c>
      <c r="BG67" s="137">
        <f t="shared" ca="1" si="13"/>
        <v>7963.3942799144543</v>
      </c>
      <c r="BH67" s="140">
        <f t="shared" ca="1" si="14"/>
        <v>1990.8485699786063</v>
      </c>
      <c r="BI67" s="140"/>
      <c r="BJ67" s="140"/>
      <c r="DO67" s="23">
        <f t="shared" ca="1" si="15"/>
        <v>189.13061414796815</v>
      </c>
    </row>
    <row r="68" spans="1:119" x14ac:dyDescent="0.25">
      <c r="A68" s="68">
        <f t="shared" si="0"/>
        <v>45</v>
      </c>
      <c r="B68" s="68" t="str">
        <f t="shared" si="1"/>
        <v>amortização</v>
      </c>
      <c r="C68" s="156">
        <f t="shared" ca="1" si="7"/>
        <v>39.816971399572274</v>
      </c>
      <c r="D68" s="156">
        <f t="shared" ca="1" si="8"/>
        <v>1990.8485699786063</v>
      </c>
      <c r="E68" s="162">
        <f t="shared" ca="1" si="9"/>
        <v>5972.5457099358482</v>
      </c>
      <c r="F68" s="156">
        <f t="shared" ca="1" si="2"/>
        <v>2030.6655413781787</v>
      </c>
      <c r="G68" s="171">
        <f t="shared" ca="1" si="10"/>
        <v>2030.6655413781787</v>
      </c>
      <c r="AA68" s="2">
        <f t="shared" si="18"/>
        <v>39</v>
      </c>
      <c r="AB68" s="8">
        <f t="shared" ca="1" si="20"/>
        <v>47410</v>
      </c>
      <c r="AC68" s="9">
        <f t="shared" ca="1" si="26"/>
        <v>15000.000000000013</v>
      </c>
      <c r="AD68" s="9">
        <f t="shared" si="16"/>
        <v>1666.6666666666667</v>
      </c>
      <c r="AE68" s="2">
        <f t="shared" ca="1" si="21"/>
        <v>30</v>
      </c>
      <c r="AF68" s="2">
        <f t="shared" ca="1" si="22"/>
        <v>1170</v>
      </c>
      <c r="AG68" s="9">
        <f t="shared" ca="1" si="23"/>
        <v>49.88333333333334</v>
      </c>
      <c r="AH68" s="9">
        <f t="shared" ca="1" si="24"/>
        <v>8.3341666666666665</v>
      </c>
      <c r="AL68" s="23">
        <f t="shared" ca="1" si="4"/>
        <v>39.816971399572274</v>
      </c>
      <c r="AM68" s="23">
        <f t="shared" ca="1" si="28"/>
        <v>39.816971399572274</v>
      </c>
      <c r="AN68" s="23">
        <f t="shared" ca="1" si="5"/>
        <v>39.816971399572274</v>
      </c>
      <c r="AO68" s="23">
        <v>0</v>
      </c>
      <c r="AP68" s="23">
        <f ca="1">E65*((1+$C$23)^3-1)</f>
        <v>180.07374629098851</v>
      </c>
      <c r="AQ68" s="23">
        <v>0</v>
      </c>
      <c r="AR68" s="23">
        <v>0</v>
      </c>
      <c r="AU68" s="23">
        <f t="shared" si="12"/>
        <v>1666.6666666666667</v>
      </c>
      <c r="AV68" s="23">
        <f t="shared" si="6"/>
        <v>1666.6666666666667</v>
      </c>
      <c r="AW68" s="23">
        <v>0</v>
      </c>
      <c r="AX68" s="23">
        <f>$E$23/($B$17-$B$16)*3</f>
        <v>5000</v>
      </c>
      <c r="AY68" s="23">
        <v>0</v>
      </c>
      <c r="AZ68" s="23">
        <v>0</v>
      </c>
      <c r="BG68" s="137">
        <f t="shared" ca="1" si="13"/>
        <v>5972.5457099358482</v>
      </c>
      <c r="BH68" s="140">
        <f t="shared" ca="1" si="14"/>
        <v>1990.8485699786063</v>
      </c>
      <c r="BI68" s="140"/>
      <c r="BJ68" s="140"/>
      <c r="DO68" s="23">
        <f t="shared" ca="1" si="15"/>
        <v>151.30449131837463</v>
      </c>
    </row>
    <row r="69" spans="1:119" x14ac:dyDescent="0.25">
      <c r="A69" s="68">
        <f t="shared" si="0"/>
        <v>46</v>
      </c>
      <c r="B69" s="68" t="str">
        <f t="shared" si="1"/>
        <v>amortização</v>
      </c>
      <c r="C69" s="156">
        <f t="shared" ca="1" si="7"/>
        <v>29.862728549679243</v>
      </c>
      <c r="D69" s="156">
        <f t="shared" ca="1" si="8"/>
        <v>1990.8485699786063</v>
      </c>
      <c r="E69" s="162">
        <f t="shared" ca="1" si="9"/>
        <v>3981.6971399572421</v>
      </c>
      <c r="F69" s="156">
        <f t="shared" ca="1" si="2"/>
        <v>2020.7112985282856</v>
      </c>
      <c r="G69" s="171">
        <f t="shared" ca="1" si="10"/>
        <v>2020.7112985282856</v>
      </c>
      <c r="AA69" s="2">
        <f t="shared" si="18"/>
        <v>40</v>
      </c>
      <c r="AB69" s="8">
        <f t="shared" ca="1" si="20"/>
        <v>47440</v>
      </c>
      <c r="AC69" s="9">
        <f t="shared" ca="1" si="26"/>
        <v>13333.333333333347</v>
      </c>
      <c r="AD69" s="9">
        <f t="shared" si="16"/>
        <v>1666.6666666666667</v>
      </c>
      <c r="AE69" s="2">
        <f t="shared" ca="1" si="21"/>
        <v>30</v>
      </c>
      <c r="AF69" s="2">
        <f t="shared" ca="1" si="22"/>
        <v>1200</v>
      </c>
      <c r="AG69" s="9">
        <f t="shared" ca="1" si="23"/>
        <v>49.88333333333334</v>
      </c>
      <c r="AH69" s="9">
        <f t="shared" ca="1" si="24"/>
        <v>8.3341666666666665</v>
      </c>
      <c r="AL69" s="23">
        <f t="shared" ca="1" si="4"/>
        <v>29.862728549679243</v>
      </c>
      <c r="AM69" s="23">
        <f t="shared" ca="1" si="28"/>
        <v>29.862728549679243</v>
      </c>
      <c r="AN69" s="23">
        <f t="shared" ca="1" si="5"/>
        <v>29.862728549679243</v>
      </c>
      <c r="AO69" s="23">
        <f ca="1">E67*((1+$C$23)^2-1)</f>
        <v>79.833027656140246</v>
      </c>
      <c r="AP69" s="23">
        <v>0</v>
      </c>
      <c r="AQ69" s="23">
        <v>0</v>
      </c>
      <c r="AR69" s="23">
        <v>0</v>
      </c>
      <c r="AU69" s="23">
        <f t="shared" si="12"/>
        <v>1666.6666666666667</v>
      </c>
      <c r="AV69" s="23">
        <f t="shared" si="6"/>
        <v>1666.6666666666667</v>
      </c>
      <c r="AW69" s="23">
        <f>$E$23/($B$17-$B$16)*2</f>
        <v>3333.3333333333335</v>
      </c>
      <c r="AX69" s="23">
        <v>0</v>
      </c>
      <c r="AY69" s="23">
        <v>0</v>
      </c>
      <c r="AZ69" s="23">
        <v>0</v>
      </c>
      <c r="BG69" s="137">
        <f t="shared" ca="1" si="13"/>
        <v>3981.6971399572421</v>
      </c>
      <c r="BH69" s="140">
        <f t="shared" ca="1" si="14"/>
        <v>1990.8485699786063</v>
      </c>
      <c r="BI69" s="140"/>
      <c r="BJ69" s="140"/>
      <c r="DO69" s="23">
        <f t="shared" ca="1" si="15"/>
        <v>113.47836848878111</v>
      </c>
    </row>
    <row r="70" spans="1:119" x14ac:dyDescent="0.25">
      <c r="A70" s="68">
        <f t="shared" si="0"/>
        <v>47</v>
      </c>
      <c r="B70" s="68" t="str">
        <f t="shared" si="1"/>
        <v>amortização</v>
      </c>
      <c r="C70" s="156">
        <f t="shared" ca="1" si="7"/>
        <v>19.908485699786212</v>
      </c>
      <c r="D70" s="156">
        <f t="shared" ca="1" si="8"/>
        <v>1990.8485699786063</v>
      </c>
      <c r="E70" s="162">
        <f t="shared" ca="1" si="9"/>
        <v>1990.8485699786359</v>
      </c>
      <c r="F70" s="156">
        <f t="shared" ca="1" si="2"/>
        <v>2010.7570556783926</v>
      </c>
      <c r="G70" s="171">
        <f t="shared" ca="1" si="10"/>
        <v>2010.7570556783926</v>
      </c>
      <c r="AA70" s="2">
        <f t="shared" si="18"/>
        <v>41</v>
      </c>
      <c r="AB70" s="8">
        <f t="shared" ca="1" si="20"/>
        <v>47470</v>
      </c>
      <c r="AC70" s="9">
        <f t="shared" ca="1" si="26"/>
        <v>11666.666666666681</v>
      </c>
      <c r="AD70" s="9">
        <f t="shared" si="16"/>
        <v>1666.6666666666667</v>
      </c>
      <c r="AE70" s="2">
        <f t="shared" ca="1" si="21"/>
        <v>30</v>
      </c>
      <c r="AF70" s="2">
        <f t="shared" ca="1" si="22"/>
        <v>1230</v>
      </c>
      <c r="AG70" s="9">
        <f t="shared" ca="1" si="23"/>
        <v>49.88333333333334</v>
      </c>
      <c r="AH70" s="9">
        <f t="shared" ca="1" si="24"/>
        <v>8.3341666666666665</v>
      </c>
      <c r="AL70" s="23">
        <f t="shared" ca="1" si="4"/>
        <v>19.908485699786212</v>
      </c>
      <c r="AM70" s="23">
        <f t="shared" ca="1" si="28"/>
        <v>19.908485699786212</v>
      </c>
      <c r="AN70" s="23">
        <f t="shared" ca="1" si="5"/>
        <v>19.908485699786212</v>
      </c>
      <c r="AO70" s="23">
        <v>0</v>
      </c>
      <c r="AP70" s="23">
        <v>0</v>
      </c>
      <c r="AQ70" s="23">
        <v>0</v>
      </c>
      <c r="AR70" s="23">
        <v>0</v>
      </c>
      <c r="AU70" s="23">
        <f t="shared" si="12"/>
        <v>1666.6666666666667</v>
      </c>
      <c r="AV70" s="23">
        <f t="shared" si="6"/>
        <v>1666.6666666666667</v>
      </c>
      <c r="AW70" s="23">
        <v>0</v>
      </c>
      <c r="AX70" s="23">
        <v>0</v>
      </c>
      <c r="AY70" s="23">
        <v>0</v>
      </c>
      <c r="AZ70" s="23">
        <v>0</v>
      </c>
      <c r="BG70" s="137">
        <f t="shared" ca="1" si="13"/>
        <v>1990.8485699786359</v>
      </c>
      <c r="BH70" s="140">
        <f t="shared" ca="1" si="14"/>
        <v>1990.8485699786063</v>
      </c>
      <c r="BI70" s="140"/>
      <c r="BJ70" s="140"/>
      <c r="DO70" s="23">
        <f t="shared" ca="1" si="15"/>
        <v>75.652245659187599</v>
      </c>
    </row>
    <row r="71" spans="1:119" x14ac:dyDescent="0.25">
      <c r="A71" s="68">
        <f t="shared" si="0"/>
        <v>48</v>
      </c>
      <c r="B71" s="68" t="str">
        <f t="shared" si="1"/>
        <v>amortização</v>
      </c>
      <c r="C71" s="156">
        <f t="shared" ca="1" si="7"/>
        <v>9.9542428498931788</v>
      </c>
      <c r="D71" s="156">
        <f t="shared" ca="1" si="8"/>
        <v>1990.8485699786063</v>
      </c>
      <c r="E71" s="162">
        <f t="shared" ca="1" si="9"/>
        <v>2.9558577807620168E-11</v>
      </c>
      <c r="F71" s="156">
        <f t="shared" ca="1" si="2"/>
        <v>2000.8028128284996</v>
      </c>
      <c r="G71" s="171">
        <f t="shared" ca="1" si="10"/>
        <v>2000.8028128284996</v>
      </c>
      <c r="AA71" s="2">
        <f t="shared" si="18"/>
        <v>42</v>
      </c>
      <c r="AB71" s="8">
        <f t="shared" ca="1" si="20"/>
        <v>47500</v>
      </c>
      <c r="AC71" s="9">
        <f t="shared" ca="1" si="26"/>
        <v>10000.000000000015</v>
      </c>
      <c r="AD71" s="9">
        <f t="shared" si="16"/>
        <v>1666.6666666666667</v>
      </c>
      <c r="AE71" s="2">
        <f t="shared" ca="1" si="21"/>
        <v>30</v>
      </c>
      <c r="AF71" s="2">
        <f t="shared" ca="1" si="22"/>
        <v>1260</v>
      </c>
      <c r="AG71" s="9">
        <f t="shared" ca="1" si="23"/>
        <v>49.88333333333334</v>
      </c>
      <c r="AH71" s="9">
        <f t="shared" ca="1" si="24"/>
        <v>8.3341666666666665</v>
      </c>
      <c r="AL71" s="23">
        <f t="shared" ca="1" si="4"/>
        <v>9.9542428498931788</v>
      </c>
      <c r="AM71" s="23">
        <f t="shared" ca="1" si="28"/>
        <v>9.9542428498931788</v>
      </c>
      <c r="AN71" s="23">
        <f t="shared" ca="1" si="5"/>
        <v>9.9542428498931788</v>
      </c>
      <c r="AO71" s="23">
        <f ca="1">E69*((1+$C$23)^2-1)</f>
        <v>39.916513828070272</v>
      </c>
      <c r="AP71" s="23">
        <f ca="1">E68*((1+$C$23)^3-1)</f>
        <v>90.036873145494468</v>
      </c>
      <c r="AQ71" s="23">
        <f ca="1">E65*((1+$C$23)^6-1)</f>
        <v>362.86212681652853</v>
      </c>
      <c r="AR71" s="23">
        <f ca="1">E59*((1+$C$23)^12-1)</f>
        <v>1473.494202598137</v>
      </c>
      <c r="AU71" s="23">
        <f t="shared" si="12"/>
        <v>1666.6666666666667</v>
      </c>
      <c r="AV71" s="23">
        <f t="shared" si="6"/>
        <v>1666.6666666666667</v>
      </c>
      <c r="AW71" s="23">
        <f>$E$23/($B$17-$B$16)*2</f>
        <v>3333.3333333333335</v>
      </c>
      <c r="AX71" s="23">
        <f>$E$23/($B$17-$B$16)*3</f>
        <v>5000</v>
      </c>
      <c r="AY71" s="23">
        <f>$E$23/($B$17-$B$16)*6</f>
        <v>10000</v>
      </c>
      <c r="AZ71" s="23">
        <f>$E$23/($B$17-$B$16)*12</f>
        <v>20000</v>
      </c>
      <c r="BG71" s="137">
        <f t="shared" ca="1" si="13"/>
        <v>2.9558577807620168E-11</v>
      </c>
      <c r="BH71" s="140">
        <f t="shared" ca="1" si="14"/>
        <v>1990.8485699786063</v>
      </c>
      <c r="BI71" s="140"/>
      <c r="BJ71" s="140"/>
      <c r="DO71" s="23">
        <f t="shared" ca="1" si="15"/>
        <v>37.826122829594077</v>
      </c>
    </row>
    <row r="72" spans="1:119" x14ac:dyDescent="0.25">
      <c r="A72" s="68" t="str">
        <f t="shared" ref="A72:A83" si="31">IF(A71&lt;B$17,A71+1,"")</f>
        <v/>
      </c>
      <c r="B72" s="68" t="str">
        <f t="shared" ref="B72:B83" si="32">IF(A72="","",IF(A72&lt;=B$16,"carência","amortização"))</f>
        <v/>
      </c>
      <c r="C72" s="156">
        <f ca="1">IF($BG$21=TRUE,BG71*$C$23,IF(B72="","",IF($AN$18=TRUE,AL72,AM72)))</f>
        <v>1.4779288903810084E-13</v>
      </c>
      <c r="D72" s="156">
        <f>IF($BG$21=TRUE,BH72,IF(C72="","",IF(A72&lt;=B$16,0,AU72)))</f>
        <v>0</v>
      </c>
      <c r="E72" s="162">
        <f ca="1">IF($BG$21=TRUE,BG72,IF(F72="","",E71-D72))</f>
        <v>2.9558577807620168E-11</v>
      </c>
      <c r="F72" s="156">
        <f ca="1">IF(D72="","",D72+C72)</f>
        <v>1.4779288903810084E-13</v>
      </c>
      <c r="G72" s="171">
        <f ca="1">IF(AND($BG$21=TRUE,A72&lt;=$B$16),0,IF(E72="","",D72+C72))</f>
        <v>1.4779288903810084E-13</v>
      </c>
      <c r="AL72" s="23">
        <f t="shared" ref="AL72:AL90" ca="1" si="33">IF(A72&lt;=$B$16,AM72,E71*$C$23)</f>
        <v>1.4779288903810084E-13</v>
      </c>
      <c r="AM72" s="23">
        <f t="shared" ref="AM72:AM90" ca="1" si="34">IF($AN$17=1,AN72,IF($AN$17=2,AO72,IF($AN$17=3,AP72,IF($AN$17=4,AQ72,IF($AN$17=5,AR72)))))</f>
        <v>1.4779288903810084E-13</v>
      </c>
      <c r="AN72" s="23">
        <f t="shared" ref="AN72:AN90" ca="1" si="35">E71*$C$23</f>
        <v>1.4779288903810084E-13</v>
      </c>
      <c r="AU72" s="23">
        <f t="shared" ref="AU72:AU88" si="36">IF($AV$17=1,AV72,IF($AV$17=2,AW72,IF($AV$17=3,AX72,IF($AV$17=4,AY72,IF($AV$17=5,AZ72)))))</f>
        <v>1666.6666666666667</v>
      </c>
      <c r="AV72" s="23">
        <f t="shared" si="6"/>
        <v>1666.6666666666667</v>
      </c>
      <c r="AW72" s="23">
        <v>0</v>
      </c>
      <c r="AX72" s="23">
        <v>0</v>
      </c>
      <c r="AY72" s="23">
        <v>0</v>
      </c>
      <c r="AZ72" s="23">
        <v>0</v>
      </c>
      <c r="BG72" s="137">
        <f t="shared" ref="BG72:BG93" ca="1" si="37">IF(A72&lt;=$B$16,BG71*(1+$C$23),BG71-BH72)</f>
        <v>2.9558577807620168E-11</v>
      </c>
      <c r="BH72" s="140">
        <f t="shared" ref="BH72:BH93" si="38">IF(AND(A72&gt;$B$16,A72&lt;=$B$17),$BH$23/($B$17-$B$16),0)</f>
        <v>0</v>
      </c>
      <c r="DO72" s="23">
        <f t="shared" ca="1" si="15"/>
        <v>5.6161297834478313E-13</v>
      </c>
    </row>
    <row r="73" spans="1:119" x14ac:dyDescent="0.25">
      <c r="A73" s="68" t="str">
        <f t="shared" si="31"/>
        <v/>
      </c>
      <c r="B73" s="68" t="str">
        <f t="shared" si="32"/>
        <v/>
      </c>
      <c r="C73" s="156">
        <f t="shared" ref="C73:C95" ca="1" si="39">IF($BG$21=TRUE,BG72*$C$23,IF(B73="","",IF($AN$18=TRUE,AL73,AM73)))</f>
        <v>1.4779288903810084E-13</v>
      </c>
      <c r="D73" s="156">
        <f t="shared" ref="D73:D95" si="40">IF($BG$21=TRUE,BH73,IF(C73="","",IF(A73&lt;=B$16,0,AU73)))</f>
        <v>0</v>
      </c>
      <c r="E73" s="162">
        <f t="shared" ref="E73:E95" ca="1" si="41">IF($BG$21=TRUE,BG73,IF(F73="","",E72-D73))</f>
        <v>2.9558577807620168E-11</v>
      </c>
      <c r="F73" s="156">
        <f t="shared" ref="F73:F95" ca="1" si="42">IF(D73="","",D73+C73)</f>
        <v>1.4779288903810084E-13</v>
      </c>
      <c r="G73" s="171">
        <f t="shared" ref="G73:G95" ca="1" si="43">IF(AND($BG$21=TRUE,A73&lt;=$B$16),0,IF(E73="","",D73+C73))</f>
        <v>1.4779288903810084E-13</v>
      </c>
      <c r="AL73" s="23">
        <f t="shared" ca="1" si="33"/>
        <v>1.4779288903810084E-13</v>
      </c>
      <c r="AM73" s="23">
        <f t="shared" ca="1" si="34"/>
        <v>1.4779288903810084E-13</v>
      </c>
      <c r="AN73" s="23">
        <f t="shared" ca="1" si="35"/>
        <v>1.4779288903810084E-13</v>
      </c>
      <c r="AU73" s="23">
        <f t="shared" si="36"/>
        <v>1666.6666666666667</v>
      </c>
      <c r="AV73" s="23">
        <f t="shared" si="6"/>
        <v>1666.6666666666667</v>
      </c>
      <c r="AW73" s="23">
        <f t="shared" ref="AW73:AW87" si="44">$E$23/($B$17-$B$16)*2</f>
        <v>3333.3333333333335</v>
      </c>
      <c r="AX73" s="23">
        <v>0</v>
      </c>
      <c r="AY73" s="23">
        <v>0</v>
      </c>
      <c r="AZ73" s="23">
        <v>0</v>
      </c>
      <c r="BG73" s="137">
        <f t="shared" ca="1" si="37"/>
        <v>2.9558577807620168E-11</v>
      </c>
      <c r="BH73" s="140">
        <f t="shared" si="38"/>
        <v>0</v>
      </c>
      <c r="DO73" s="23">
        <f t="shared" ca="1" si="15"/>
        <v>5.6161297834478313E-13</v>
      </c>
    </row>
    <row r="74" spans="1:119" x14ac:dyDescent="0.25">
      <c r="A74" s="68" t="str">
        <f t="shared" si="31"/>
        <v/>
      </c>
      <c r="B74" s="68" t="str">
        <f t="shared" si="32"/>
        <v/>
      </c>
      <c r="C74" s="156">
        <f t="shared" ca="1" si="39"/>
        <v>1.4779288903810084E-13</v>
      </c>
      <c r="D74" s="156">
        <f t="shared" si="40"/>
        <v>0</v>
      </c>
      <c r="E74" s="162">
        <f t="shared" ca="1" si="41"/>
        <v>2.9558577807620168E-11</v>
      </c>
      <c r="F74" s="156">
        <f t="shared" ca="1" si="42"/>
        <v>1.4779288903810084E-13</v>
      </c>
      <c r="G74" s="171">
        <f t="shared" ca="1" si="43"/>
        <v>1.4779288903810084E-13</v>
      </c>
      <c r="AL74" s="23">
        <f t="shared" ca="1" si="33"/>
        <v>1.4779288903810084E-13</v>
      </c>
      <c r="AM74" s="23">
        <f t="shared" ca="1" si="34"/>
        <v>1.4779288903810084E-13</v>
      </c>
      <c r="AN74" s="23">
        <f t="shared" ca="1" si="35"/>
        <v>1.4779288903810084E-13</v>
      </c>
      <c r="AU74" s="23">
        <f t="shared" si="36"/>
        <v>1666.6666666666667</v>
      </c>
      <c r="AV74" s="23">
        <f t="shared" si="6"/>
        <v>1666.6666666666667</v>
      </c>
      <c r="AW74" s="23">
        <v>0</v>
      </c>
      <c r="AX74" s="23">
        <f t="shared" ref="AX74:AX86" si="45">$E$23/($B$17-$B$16)*3</f>
        <v>5000</v>
      </c>
      <c r="AY74" s="23">
        <v>0</v>
      </c>
      <c r="AZ74" s="23">
        <v>0</v>
      </c>
      <c r="BG74" s="137">
        <f t="shared" ca="1" si="37"/>
        <v>2.9558577807620168E-11</v>
      </c>
      <c r="BH74" s="140">
        <f t="shared" si="38"/>
        <v>0</v>
      </c>
      <c r="DO74" s="23">
        <f t="shared" ca="1" si="15"/>
        <v>5.6161297834478313E-13</v>
      </c>
    </row>
    <row r="75" spans="1:119" x14ac:dyDescent="0.25">
      <c r="A75" s="68" t="str">
        <f t="shared" si="31"/>
        <v/>
      </c>
      <c r="B75" s="68" t="str">
        <f t="shared" si="32"/>
        <v/>
      </c>
      <c r="C75" s="156">
        <f t="shared" ca="1" si="39"/>
        <v>1.4779288903810084E-13</v>
      </c>
      <c r="D75" s="156">
        <f t="shared" si="40"/>
        <v>0</v>
      </c>
      <c r="E75" s="162">
        <f t="shared" ca="1" si="41"/>
        <v>2.9558577807620168E-11</v>
      </c>
      <c r="F75" s="156">
        <f t="shared" ca="1" si="42"/>
        <v>1.4779288903810084E-13</v>
      </c>
      <c r="G75" s="171">
        <f t="shared" ca="1" si="43"/>
        <v>1.4779288903810084E-13</v>
      </c>
      <c r="AL75" s="23">
        <f t="shared" ca="1" si="33"/>
        <v>1.4779288903810084E-13</v>
      </c>
      <c r="AM75" s="23">
        <f t="shared" ca="1" si="34"/>
        <v>1.4779288903810084E-13</v>
      </c>
      <c r="AN75" s="23">
        <f t="shared" ca="1" si="35"/>
        <v>1.4779288903810084E-13</v>
      </c>
      <c r="AU75" s="23">
        <f t="shared" si="36"/>
        <v>1666.6666666666667</v>
      </c>
      <c r="AV75" s="23">
        <f t="shared" si="6"/>
        <v>1666.6666666666667</v>
      </c>
      <c r="AW75" s="23">
        <f t="shared" si="44"/>
        <v>3333.3333333333335</v>
      </c>
      <c r="AX75" s="23">
        <v>0</v>
      </c>
      <c r="AY75" s="23">
        <v>0</v>
      </c>
      <c r="AZ75" s="23">
        <v>0</v>
      </c>
      <c r="BG75" s="137">
        <f t="shared" ca="1" si="37"/>
        <v>2.9558577807620168E-11</v>
      </c>
      <c r="BH75" s="140">
        <f t="shared" si="38"/>
        <v>0</v>
      </c>
      <c r="DO75" s="23">
        <f t="shared" ca="1" si="15"/>
        <v>5.6161297834478313E-13</v>
      </c>
    </row>
    <row r="76" spans="1:119" x14ac:dyDescent="0.25">
      <c r="A76" s="68" t="str">
        <f t="shared" si="31"/>
        <v/>
      </c>
      <c r="B76" s="68" t="str">
        <f t="shared" si="32"/>
        <v/>
      </c>
      <c r="C76" s="156">
        <f t="shared" ca="1" si="39"/>
        <v>1.4779288903810084E-13</v>
      </c>
      <c r="D76" s="156">
        <f t="shared" si="40"/>
        <v>0</v>
      </c>
      <c r="E76" s="162">
        <f t="shared" ca="1" si="41"/>
        <v>2.9558577807620168E-11</v>
      </c>
      <c r="F76" s="156">
        <f t="shared" ca="1" si="42"/>
        <v>1.4779288903810084E-13</v>
      </c>
      <c r="G76" s="171">
        <f t="shared" ca="1" si="43"/>
        <v>1.4779288903810084E-13</v>
      </c>
      <c r="AL76" s="23">
        <f t="shared" ca="1" si="33"/>
        <v>1.4779288903810084E-13</v>
      </c>
      <c r="AM76" s="23">
        <f t="shared" ca="1" si="34"/>
        <v>1.4779288903810084E-13</v>
      </c>
      <c r="AN76" s="23">
        <f t="shared" ca="1" si="35"/>
        <v>1.4779288903810084E-13</v>
      </c>
      <c r="AU76" s="23">
        <f t="shared" si="36"/>
        <v>1666.6666666666667</v>
      </c>
      <c r="AV76" s="23">
        <f t="shared" si="6"/>
        <v>1666.6666666666667</v>
      </c>
      <c r="AW76" s="23">
        <v>0</v>
      </c>
      <c r="AX76" s="23">
        <v>0</v>
      </c>
      <c r="AY76" s="23">
        <v>0</v>
      </c>
      <c r="AZ76" s="23">
        <v>0</v>
      </c>
      <c r="BG76" s="137">
        <f t="shared" ca="1" si="37"/>
        <v>2.9558577807620168E-11</v>
      </c>
      <c r="BH76" s="140">
        <f t="shared" si="38"/>
        <v>0</v>
      </c>
      <c r="DO76" s="23">
        <f t="shared" ca="1" si="15"/>
        <v>5.6161297834478313E-13</v>
      </c>
    </row>
    <row r="77" spans="1:119" x14ac:dyDescent="0.25">
      <c r="A77" s="68" t="str">
        <f t="shared" si="31"/>
        <v/>
      </c>
      <c r="B77" s="68" t="str">
        <f t="shared" si="32"/>
        <v/>
      </c>
      <c r="C77" s="156">
        <f t="shared" ca="1" si="39"/>
        <v>1.4779288903810084E-13</v>
      </c>
      <c r="D77" s="156">
        <f t="shared" si="40"/>
        <v>0</v>
      </c>
      <c r="E77" s="162">
        <f t="shared" ca="1" si="41"/>
        <v>2.9558577807620168E-11</v>
      </c>
      <c r="F77" s="156">
        <f t="shared" ca="1" si="42"/>
        <v>1.4779288903810084E-13</v>
      </c>
      <c r="G77" s="171">
        <f t="shared" ca="1" si="43"/>
        <v>1.4779288903810084E-13</v>
      </c>
      <c r="AL77" s="23">
        <f t="shared" ca="1" si="33"/>
        <v>1.4779288903810084E-13</v>
      </c>
      <c r="AM77" s="23">
        <f t="shared" ca="1" si="34"/>
        <v>1.4779288903810084E-13</v>
      </c>
      <c r="AN77" s="23">
        <f t="shared" ca="1" si="35"/>
        <v>1.4779288903810084E-13</v>
      </c>
      <c r="AU77" s="23">
        <f t="shared" si="36"/>
        <v>1666.6666666666667</v>
      </c>
      <c r="AV77" s="23">
        <f t="shared" si="6"/>
        <v>1666.6666666666667</v>
      </c>
      <c r="AW77" s="23">
        <f t="shared" si="44"/>
        <v>3333.3333333333335</v>
      </c>
      <c r="AX77" s="23">
        <f t="shared" si="45"/>
        <v>5000</v>
      </c>
      <c r="AY77" s="23">
        <f t="shared" ref="AY77:AY83" si="46">$E$23/($B$17-$B$16)*6</f>
        <v>10000</v>
      </c>
      <c r="AZ77" s="23">
        <v>0</v>
      </c>
      <c r="BG77" s="137">
        <f t="shared" ca="1" si="37"/>
        <v>2.9558577807620168E-11</v>
      </c>
      <c r="BH77" s="140">
        <f t="shared" si="38"/>
        <v>0</v>
      </c>
      <c r="DO77" s="23">
        <f t="shared" ca="1" si="15"/>
        <v>5.6161297834478313E-13</v>
      </c>
    </row>
    <row r="78" spans="1:119" x14ac:dyDescent="0.25">
      <c r="A78" s="68" t="str">
        <f t="shared" si="31"/>
        <v/>
      </c>
      <c r="B78" s="68" t="str">
        <f t="shared" si="32"/>
        <v/>
      </c>
      <c r="C78" s="156">
        <f t="shared" ca="1" si="39"/>
        <v>1.4779288903810084E-13</v>
      </c>
      <c r="D78" s="156">
        <f t="shared" si="40"/>
        <v>0</v>
      </c>
      <c r="E78" s="162">
        <f t="shared" ca="1" si="41"/>
        <v>2.9558577807620168E-11</v>
      </c>
      <c r="F78" s="156">
        <f t="shared" ca="1" si="42"/>
        <v>1.4779288903810084E-13</v>
      </c>
      <c r="G78" s="171">
        <f t="shared" ca="1" si="43"/>
        <v>1.4779288903810084E-13</v>
      </c>
      <c r="AL78" s="23">
        <f t="shared" ca="1" si="33"/>
        <v>1.4779288903810084E-13</v>
      </c>
      <c r="AM78" s="23">
        <f t="shared" ca="1" si="34"/>
        <v>1.4779288903810084E-13</v>
      </c>
      <c r="AN78" s="23">
        <f t="shared" ca="1" si="35"/>
        <v>1.4779288903810084E-13</v>
      </c>
      <c r="AU78" s="23">
        <f t="shared" si="36"/>
        <v>1666.6666666666667</v>
      </c>
      <c r="AV78" s="23">
        <f t="shared" si="6"/>
        <v>1666.6666666666667</v>
      </c>
      <c r="AW78" s="23">
        <v>0</v>
      </c>
      <c r="AX78" s="23">
        <v>0</v>
      </c>
      <c r="AY78" s="23">
        <v>0</v>
      </c>
      <c r="AZ78" s="23">
        <v>0</v>
      </c>
      <c r="BG78" s="137">
        <f t="shared" ca="1" si="37"/>
        <v>2.9558577807620168E-11</v>
      </c>
      <c r="BH78" s="140">
        <f t="shared" si="38"/>
        <v>0</v>
      </c>
      <c r="DO78" s="23">
        <f t="shared" ca="1" si="15"/>
        <v>5.6161297834478313E-13</v>
      </c>
    </row>
    <row r="79" spans="1:119" x14ac:dyDescent="0.25">
      <c r="A79" s="68" t="str">
        <f t="shared" si="31"/>
        <v/>
      </c>
      <c r="B79" s="68" t="str">
        <f t="shared" si="32"/>
        <v/>
      </c>
      <c r="C79" s="156">
        <f t="shared" ca="1" si="39"/>
        <v>1.4779288903810084E-13</v>
      </c>
      <c r="D79" s="156">
        <f t="shared" si="40"/>
        <v>0</v>
      </c>
      <c r="E79" s="162">
        <f t="shared" ca="1" si="41"/>
        <v>2.9558577807620168E-11</v>
      </c>
      <c r="F79" s="156">
        <f t="shared" ca="1" si="42"/>
        <v>1.4779288903810084E-13</v>
      </c>
      <c r="G79" s="171">
        <f t="shared" ca="1" si="43"/>
        <v>1.4779288903810084E-13</v>
      </c>
      <c r="AL79" s="23">
        <f t="shared" ca="1" si="33"/>
        <v>1.4779288903810084E-13</v>
      </c>
      <c r="AM79" s="23">
        <f t="shared" ca="1" si="34"/>
        <v>1.4779288903810084E-13</v>
      </c>
      <c r="AN79" s="23">
        <f t="shared" ca="1" si="35"/>
        <v>1.4779288903810084E-13</v>
      </c>
      <c r="AU79" s="23">
        <f t="shared" si="36"/>
        <v>1666.6666666666667</v>
      </c>
      <c r="AV79" s="23">
        <f t="shared" si="6"/>
        <v>1666.6666666666667</v>
      </c>
      <c r="AW79" s="23">
        <f t="shared" si="44"/>
        <v>3333.3333333333335</v>
      </c>
      <c r="AX79" s="23">
        <v>0</v>
      </c>
      <c r="AY79" s="23">
        <v>0</v>
      </c>
      <c r="AZ79" s="23">
        <v>0</v>
      </c>
      <c r="BG79" s="137">
        <f t="shared" ca="1" si="37"/>
        <v>2.9558577807620168E-11</v>
      </c>
      <c r="BH79" s="140">
        <f t="shared" si="38"/>
        <v>0</v>
      </c>
      <c r="DO79" s="23">
        <f t="shared" ca="1" si="15"/>
        <v>5.6161297834478313E-13</v>
      </c>
    </row>
    <row r="80" spans="1:119" x14ac:dyDescent="0.25">
      <c r="A80" s="68" t="str">
        <f t="shared" si="31"/>
        <v/>
      </c>
      <c r="B80" s="68" t="str">
        <f t="shared" si="32"/>
        <v/>
      </c>
      <c r="C80" s="156">
        <f t="shared" ca="1" si="39"/>
        <v>1.4779288903810084E-13</v>
      </c>
      <c r="D80" s="156">
        <f t="shared" si="40"/>
        <v>0</v>
      </c>
      <c r="E80" s="162">
        <f t="shared" ca="1" si="41"/>
        <v>2.9558577807620168E-11</v>
      </c>
      <c r="F80" s="156">
        <f t="shared" ca="1" si="42"/>
        <v>1.4779288903810084E-13</v>
      </c>
      <c r="G80" s="171">
        <f t="shared" ca="1" si="43"/>
        <v>1.4779288903810084E-13</v>
      </c>
      <c r="AL80" s="23">
        <f t="shared" ca="1" si="33"/>
        <v>1.4779288903810084E-13</v>
      </c>
      <c r="AM80" s="23">
        <f t="shared" ca="1" si="34"/>
        <v>1.4779288903810084E-13</v>
      </c>
      <c r="AN80" s="23">
        <f t="shared" ca="1" si="35"/>
        <v>1.4779288903810084E-13</v>
      </c>
      <c r="AU80" s="23">
        <f t="shared" si="36"/>
        <v>1666.6666666666667</v>
      </c>
      <c r="AV80" s="23">
        <f t="shared" si="6"/>
        <v>1666.6666666666667</v>
      </c>
      <c r="AW80" s="23">
        <v>0</v>
      </c>
      <c r="AX80" s="23">
        <f t="shared" si="45"/>
        <v>5000</v>
      </c>
      <c r="AY80" s="23">
        <v>0</v>
      </c>
      <c r="AZ80" s="23">
        <v>0</v>
      </c>
      <c r="BG80" s="137">
        <f t="shared" ca="1" si="37"/>
        <v>2.9558577807620168E-11</v>
      </c>
      <c r="BH80" s="140">
        <f t="shared" si="38"/>
        <v>0</v>
      </c>
      <c r="DO80" s="23">
        <f t="shared" ca="1" si="15"/>
        <v>5.6161297834478313E-13</v>
      </c>
    </row>
    <row r="81" spans="1:119" x14ac:dyDescent="0.25">
      <c r="A81" s="68" t="str">
        <f t="shared" si="31"/>
        <v/>
      </c>
      <c r="B81" s="68" t="str">
        <f t="shared" si="32"/>
        <v/>
      </c>
      <c r="C81" s="156">
        <f t="shared" ca="1" si="39"/>
        <v>1.4779288903810084E-13</v>
      </c>
      <c r="D81" s="156">
        <f t="shared" si="40"/>
        <v>0</v>
      </c>
      <c r="E81" s="162">
        <f t="shared" ca="1" si="41"/>
        <v>2.9558577807620168E-11</v>
      </c>
      <c r="F81" s="156">
        <f t="shared" ca="1" si="42"/>
        <v>1.4779288903810084E-13</v>
      </c>
      <c r="G81" s="171">
        <f t="shared" ca="1" si="43"/>
        <v>1.4779288903810084E-13</v>
      </c>
      <c r="AL81" s="23">
        <f t="shared" ca="1" si="33"/>
        <v>1.4779288903810084E-13</v>
      </c>
      <c r="AM81" s="23">
        <f t="shared" ca="1" si="34"/>
        <v>1.4779288903810084E-13</v>
      </c>
      <c r="AN81" s="23">
        <f t="shared" ca="1" si="35"/>
        <v>1.4779288903810084E-13</v>
      </c>
      <c r="AU81" s="23">
        <f t="shared" si="36"/>
        <v>1666.6666666666667</v>
      </c>
      <c r="AV81" s="23">
        <f t="shared" si="6"/>
        <v>1666.6666666666667</v>
      </c>
      <c r="AW81" s="23">
        <f t="shared" si="44"/>
        <v>3333.3333333333335</v>
      </c>
      <c r="AX81" s="23">
        <v>0</v>
      </c>
      <c r="AY81" s="23">
        <v>0</v>
      </c>
      <c r="AZ81" s="23">
        <v>0</v>
      </c>
      <c r="BG81" s="137">
        <f t="shared" ca="1" si="37"/>
        <v>2.9558577807620168E-11</v>
      </c>
      <c r="BH81" s="140">
        <f t="shared" si="38"/>
        <v>0</v>
      </c>
      <c r="DO81" s="23">
        <f t="shared" ca="1" si="15"/>
        <v>5.6161297834478313E-13</v>
      </c>
    </row>
    <row r="82" spans="1:119" x14ac:dyDescent="0.25">
      <c r="A82" s="68" t="str">
        <f t="shared" si="31"/>
        <v/>
      </c>
      <c r="B82" s="68" t="str">
        <f t="shared" si="32"/>
        <v/>
      </c>
      <c r="C82" s="156">
        <f t="shared" ca="1" si="39"/>
        <v>1.4779288903810084E-13</v>
      </c>
      <c r="D82" s="156">
        <f t="shared" si="40"/>
        <v>0</v>
      </c>
      <c r="E82" s="162">
        <f t="shared" ca="1" si="41"/>
        <v>2.9558577807620168E-11</v>
      </c>
      <c r="F82" s="156">
        <f t="shared" ca="1" si="42"/>
        <v>1.4779288903810084E-13</v>
      </c>
      <c r="G82" s="171">
        <f t="shared" ca="1" si="43"/>
        <v>1.4779288903810084E-13</v>
      </c>
      <c r="AL82" s="23">
        <f t="shared" ca="1" si="33"/>
        <v>1.4779288903810084E-13</v>
      </c>
      <c r="AM82" s="23">
        <f t="shared" ca="1" si="34"/>
        <v>1.4779288903810084E-13</v>
      </c>
      <c r="AN82" s="23">
        <f t="shared" ca="1" si="35"/>
        <v>1.4779288903810084E-13</v>
      </c>
      <c r="AU82" s="23">
        <f t="shared" si="36"/>
        <v>1666.6666666666667</v>
      </c>
      <c r="AV82" s="23">
        <f t="shared" si="6"/>
        <v>1666.6666666666667</v>
      </c>
      <c r="AW82" s="23">
        <v>0</v>
      </c>
      <c r="AX82" s="23">
        <v>0</v>
      </c>
      <c r="AY82" s="23">
        <v>0</v>
      </c>
      <c r="AZ82" s="23">
        <v>0</v>
      </c>
      <c r="BG82" s="137">
        <f t="shared" ca="1" si="37"/>
        <v>2.9558577807620168E-11</v>
      </c>
      <c r="BH82" s="140">
        <f t="shared" si="38"/>
        <v>0</v>
      </c>
      <c r="DO82" s="23">
        <f t="shared" ca="1" si="15"/>
        <v>5.6161297834478313E-13</v>
      </c>
    </row>
    <row r="83" spans="1:119" x14ac:dyDescent="0.25">
      <c r="A83" s="68" t="str">
        <f t="shared" si="31"/>
        <v/>
      </c>
      <c r="B83" s="68" t="str">
        <f t="shared" si="32"/>
        <v/>
      </c>
      <c r="C83" s="156">
        <f t="shared" ca="1" si="39"/>
        <v>1.4779288903810084E-13</v>
      </c>
      <c r="D83" s="156">
        <f t="shared" si="40"/>
        <v>0</v>
      </c>
      <c r="E83" s="162">
        <f t="shared" ca="1" si="41"/>
        <v>2.9558577807620168E-11</v>
      </c>
      <c r="F83" s="156">
        <f t="shared" ca="1" si="42"/>
        <v>1.4779288903810084E-13</v>
      </c>
      <c r="G83" s="171">
        <f t="shared" ca="1" si="43"/>
        <v>1.4779288903810084E-13</v>
      </c>
      <c r="AL83" s="23">
        <f t="shared" ca="1" si="33"/>
        <v>1.4779288903810084E-13</v>
      </c>
      <c r="AM83" s="23">
        <f t="shared" ca="1" si="34"/>
        <v>1.4779288903810084E-13</v>
      </c>
      <c r="AN83" s="23">
        <f t="shared" ca="1" si="35"/>
        <v>1.4779288903810084E-13</v>
      </c>
      <c r="AU83" s="23">
        <f t="shared" si="36"/>
        <v>1666.6666666666667</v>
      </c>
      <c r="AV83" s="23">
        <f t="shared" si="6"/>
        <v>1666.6666666666667</v>
      </c>
      <c r="AW83" s="23">
        <f t="shared" si="44"/>
        <v>3333.3333333333335</v>
      </c>
      <c r="AX83" s="23">
        <f t="shared" si="45"/>
        <v>5000</v>
      </c>
      <c r="AY83" s="23">
        <f t="shared" si="46"/>
        <v>10000</v>
      </c>
      <c r="AZ83" s="23">
        <f t="shared" ref="AZ83" si="47">$E$23/($B$17-$B$16)*12</f>
        <v>20000</v>
      </c>
      <c r="BG83" s="137">
        <f t="shared" ca="1" si="37"/>
        <v>2.9558577807620168E-11</v>
      </c>
      <c r="BH83" s="140">
        <f t="shared" si="38"/>
        <v>0</v>
      </c>
      <c r="DO83" s="23">
        <f t="shared" ca="1" si="15"/>
        <v>5.6161297834478313E-13</v>
      </c>
    </row>
    <row r="84" spans="1:119" x14ac:dyDescent="0.25">
      <c r="A84" s="68" t="str">
        <f t="shared" ref="A84:A95" si="48">IF(A83&lt;B$17,A83+1,"")</f>
        <v/>
      </c>
      <c r="B84" s="68" t="str">
        <f t="shared" ref="B84:B95" si="49">IF(A84="","",IF(A84&lt;=B$16,"carência","amortização"))</f>
        <v/>
      </c>
      <c r="C84" s="156">
        <f t="shared" ca="1" si="39"/>
        <v>1.4779288903810084E-13</v>
      </c>
      <c r="D84" s="156">
        <f t="shared" si="40"/>
        <v>0</v>
      </c>
      <c r="E84" s="162">
        <f t="shared" ca="1" si="41"/>
        <v>2.9558577807620168E-11</v>
      </c>
      <c r="F84" s="156">
        <f t="shared" ca="1" si="42"/>
        <v>1.4779288903810084E-13</v>
      </c>
      <c r="G84" s="171">
        <f t="shared" ca="1" si="43"/>
        <v>1.4779288903810084E-13</v>
      </c>
      <c r="AL84" s="23">
        <f t="shared" ca="1" si="33"/>
        <v>1.4779288903810084E-13</v>
      </c>
      <c r="AM84" s="23">
        <f t="shared" ca="1" si="34"/>
        <v>1.4779288903810084E-13</v>
      </c>
      <c r="AN84" s="23">
        <f t="shared" ca="1" si="35"/>
        <v>1.4779288903810084E-13</v>
      </c>
      <c r="AU84" s="23">
        <f t="shared" si="36"/>
        <v>1666.6666666666667</v>
      </c>
      <c r="AV84" s="23">
        <f t="shared" si="6"/>
        <v>1666.6666666666667</v>
      </c>
      <c r="AW84" s="23">
        <v>0</v>
      </c>
      <c r="AX84" s="23">
        <v>0</v>
      </c>
      <c r="AY84" s="23">
        <v>0</v>
      </c>
      <c r="AZ84" s="23">
        <v>0</v>
      </c>
      <c r="BG84" s="137">
        <f t="shared" ca="1" si="37"/>
        <v>2.9558577807620168E-11</v>
      </c>
      <c r="BH84" s="140">
        <f t="shared" si="38"/>
        <v>0</v>
      </c>
    </row>
    <row r="85" spans="1:119" x14ac:dyDescent="0.25">
      <c r="A85" s="68" t="str">
        <f t="shared" si="48"/>
        <v/>
      </c>
      <c r="B85" s="68" t="str">
        <f t="shared" si="49"/>
        <v/>
      </c>
      <c r="C85" s="156">
        <f t="shared" ca="1" si="39"/>
        <v>1.4779288903810084E-13</v>
      </c>
      <c r="D85" s="156">
        <f t="shared" si="40"/>
        <v>0</v>
      </c>
      <c r="E85" s="162">
        <f t="shared" ca="1" si="41"/>
        <v>2.9558577807620168E-11</v>
      </c>
      <c r="F85" s="156">
        <f t="shared" ca="1" si="42"/>
        <v>1.4779288903810084E-13</v>
      </c>
      <c r="G85" s="171">
        <f t="shared" ca="1" si="43"/>
        <v>1.4779288903810084E-13</v>
      </c>
      <c r="AL85" s="23">
        <f t="shared" ca="1" si="33"/>
        <v>1.4779288903810084E-13</v>
      </c>
      <c r="AM85" s="23">
        <f t="shared" ca="1" si="34"/>
        <v>1.4779288903810084E-13</v>
      </c>
      <c r="AN85" s="23">
        <f t="shared" ca="1" si="35"/>
        <v>1.4779288903810084E-13</v>
      </c>
      <c r="AU85" s="23">
        <f t="shared" si="36"/>
        <v>1666.6666666666667</v>
      </c>
      <c r="AV85" s="23">
        <f t="shared" si="6"/>
        <v>1666.6666666666667</v>
      </c>
      <c r="AW85" s="23">
        <f t="shared" si="44"/>
        <v>3333.3333333333335</v>
      </c>
      <c r="AX85" s="23">
        <v>0</v>
      </c>
      <c r="AY85" s="23">
        <v>0</v>
      </c>
      <c r="AZ85" s="23">
        <v>0</v>
      </c>
      <c r="BG85" s="137">
        <f t="shared" ca="1" si="37"/>
        <v>2.9558577807620168E-11</v>
      </c>
      <c r="BH85" s="140">
        <f t="shared" si="38"/>
        <v>0</v>
      </c>
    </row>
    <row r="86" spans="1:119" x14ac:dyDescent="0.25">
      <c r="A86" s="68" t="str">
        <f t="shared" si="48"/>
        <v/>
      </c>
      <c r="B86" s="68" t="str">
        <f t="shared" si="49"/>
        <v/>
      </c>
      <c r="C86" s="156">
        <f t="shared" ca="1" si="39"/>
        <v>1.4779288903810084E-13</v>
      </c>
      <c r="D86" s="156">
        <f t="shared" si="40"/>
        <v>0</v>
      </c>
      <c r="E86" s="162">
        <f t="shared" ca="1" si="41"/>
        <v>2.9558577807620168E-11</v>
      </c>
      <c r="F86" s="156">
        <f t="shared" ca="1" si="42"/>
        <v>1.4779288903810084E-13</v>
      </c>
      <c r="G86" s="171">
        <f t="shared" ca="1" si="43"/>
        <v>1.4779288903810084E-13</v>
      </c>
      <c r="AL86" s="23">
        <f t="shared" ca="1" si="33"/>
        <v>1.4779288903810084E-13</v>
      </c>
      <c r="AM86" s="23">
        <f t="shared" ca="1" si="34"/>
        <v>1.4779288903810084E-13</v>
      </c>
      <c r="AN86" s="23">
        <f t="shared" ca="1" si="35"/>
        <v>1.4779288903810084E-13</v>
      </c>
      <c r="AU86" s="23">
        <f t="shared" si="36"/>
        <v>1666.6666666666667</v>
      </c>
      <c r="AV86" s="23">
        <f t="shared" si="6"/>
        <v>1666.6666666666667</v>
      </c>
      <c r="AW86" s="23">
        <v>0</v>
      </c>
      <c r="AX86" s="23">
        <f t="shared" si="45"/>
        <v>5000</v>
      </c>
      <c r="AY86" s="23">
        <v>0</v>
      </c>
      <c r="AZ86" s="23">
        <v>0</v>
      </c>
      <c r="BG86" s="137">
        <f t="shared" ca="1" si="37"/>
        <v>2.9558577807620168E-11</v>
      </c>
      <c r="BH86" s="140">
        <f t="shared" si="38"/>
        <v>0</v>
      </c>
    </row>
    <row r="87" spans="1:119" x14ac:dyDescent="0.25">
      <c r="A87" s="68" t="str">
        <f t="shared" si="48"/>
        <v/>
      </c>
      <c r="B87" s="68" t="str">
        <f t="shared" si="49"/>
        <v/>
      </c>
      <c r="C87" s="156">
        <f t="shared" ca="1" si="39"/>
        <v>1.4779288903810084E-13</v>
      </c>
      <c r="D87" s="156">
        <f t="shared" si="40"/>
        <v>0</v>
      </c>
      <c r="E87" s="162">
        <f t="shared" ca="1" si="41"/>
        <v>2.9558577807620168E-11</v>
      </c>
      <c r="F87" s="156">
        <f t="shared" ca="1" si="42"/>
        <v>1.4779288903810084E-13</v>
      </c>
      <c r="G87" s="171">
        <f t="shared" ca="1" si="43"/>
        <v>1.4779288903810084E-13</v>
      </c>
      <c r="AL87" s="23">
        <f t="shared" ca="1" si="33"/>
        <v>1.4779288903810084E-13</v>
      </c>
      <c r="AM87" s="23">
        <f t="shared" ca="1" si="34"/>
        <v>1.4779288903810084E-13</v>
      </c>
      <c r="AN87" s="23">
        <f t="shared" ca="1" si="35"/>
        <v>1.4779288903810084E-13</v>
      </c>
      <c r="AU87" s="23">
        <f t="shared" si="36"/>
        <v>1666.6666666666667</v>
      </c>
      <c r="AV87" s="23">
        <f t="shared" si="6"/>
        <v>1666.6666666666667</v>
      </c>
      <c r="AW87" s="23">
        <f t="shared" si="44"/>
        <v>3333.3333333333335</v>
      </c>
      <c r="AX87" s="23">
        <v>0</v>
      </c>
      <c r="AY87" s="23">
        <v>0</v>
      </c>
      <c r="AZ87" s="23">
        <v>0</v>
      </c>
      <c r="BG87" s="137">
        <f t="shared" ca="1" si="37"/>
        <v>2.9558577807620168E-11</v>
      </c>
      <c r="BH87" s="140">
        <f t="shared" si="38"/>
        <v>0</v>
      </c>
    </row>
    <row r="88" spans="1:119" x14ac:dyDescent="0.25">
      <c r="A88" s="68" t="str">
        <f t="shared" si="48"/>
        <v/>
      </c>
      <c r="B88" s="68" t="str">
        <f t="shared" si="49"/>
        <v/>
      </c>
      <c r="C88" s="156">
        <f t="shared" ca="1" si="39"/>
        <v>1.4779288903810084E-13</v>
      </c>
      <c r="D88" s="156">
        <f t="shared" si="40"/>
        <v>0</v>
      </c>
      <c r="E88" s="162">
        <f t="shared" ca="1" si="41"/>
        <v>2.9558577807620168E-11</v>
      </c>
      <c r="F88" s="156">
        <f t="shared" ca="1" si="42"/>
        <v>1.4779288903810084E-13</v>
      </c>
      <c r="G88" s="171">
        <f t="shared" ca="1" si="43"/>
        <v>1.4779288903810084E-13</v>
      </c>
      <c r="AL88" s="23">
        <f t="shared" ca="1" si="33"/>
        <v>1.4779288903810084E-13</v>
      </c>
      <c r="AM88" s="23">
        <f t="shared" ca="1" si="34"/>
        <v>1.4779288903810084E-13</v>
      </c>
      <c r="AN88" s="23">
        <f t="shared" ca="1" si="35"/>
        <v>1.4779288903810084E-13</v>
      </c>
      <c r="AU88" s="23">
        <f t="shared" si="36"/>
        <v>1666.6666666666667</v>
      </c>
      <c r="AV88" s="23">
        <f t="shared" ref="AV88" si="50">$E$23/($B$17-$B$16)</f>
        <v>1666.6666666666667</v>
      </c>
      <c r="AW88" s="23">
        <v>0</v>
      </c>
      <c r="AX88" s="23">
        <v>0</v>
      </c>
      <c r="AY88" s="23">
        <v>0</v>
      </c>
      <c r="AZ88" s="23">
        <v>0</v>
      </c>
      <c r="BG88" s="137">
        <f t="shared" ca="1" si="37"/>
        <v>2.9558577807620168E-11</v>
      </c>
      <c r="BH88" s="140">
        <f t="shared" si="38"/>
        <v>0</v>
      </c>
    </row>
    <row r="89" spans="1:119" x14ac:dyDescent="0.25">
      <c r="A89" s="68" t="str">
        <f t="shared" si="48"/>
        <v/>
      </c>
      <c r="B89" s="68" t="str">
        <f t="shared" si="49"/>
        <v/>
      </c>
      <c r="C89" s="156">
        <f t="shared" ca="1" si="39"/>
        <v>1.4779288903810084E-13</v>
      </c>
      <c r="D89" s="156">
        <f t="shared" si="40"/>
        <v>0</v>
      </c>
      <c r="E89" s="162">
        <f t="shared" ca="1" si="41"/>
        <v>2.9558577807620168E-11</v>
      </c>
      <c r="F89" s="156">
        <f t="shared" ca="1" si="42"/>
        <v>1.4779288903810084E-13</v>
      </c>
      <c r="G89" s="171">
        <f t="shared" ca="1" si="43"/>
        <v>1.4779288903810084E-13</v>
      </c>
      <c r="AL89" s="23">
        <f t="shared" ca="1" si="33"/>
        <v>1.4779288903810084E-13</v>
      </c>
      <c r="AM89" s="23">
        <f t="shared" ca="1" si="34"/>
        <v>1.4779288903810084E-13</v>
      </c>
      <c r="AN89" s="23">
        <f t="shared" ca="1" si="35"/>
        <v>1.4779288903810084E-13</v>
      </c>
      <c r="AZ89" s="23">
        <v>0</v>
      </c>
      <c r="BG89" s="137">
        <f t="shared" ca="1" si="37"/>
        <v>2.9558577807620168E-11</v>
      </c>
      <c r="BH89" s="140">
        <f t="shared" si="38"/>
        <v>0</v>
      </c>
    </row>
    <row r="90" spans="1:119" x14ac:dyDescent="0.25">
      <c r="A90" s="68" t="str">
        <f t="shared" si="48"/>
        <v/>
      </c>
      <c r="B90" s="68" t="str">
        <f t="shared" si="49"/>
        <v/>
      </c>
      <c r="C90" s="156">
        <f t="shared" ca="1" si="39"/>
        <v>1.4779288903810084E-13</v>
      </c>
      <c r="D90" s="156">
        <f t="shared" si="40"/>
        <v>0</v>
      </c>
      <c r="E90" s="162">
        <f t="shared" ca="1" si="41"/>
        <v>2.9558577807620168E-11</v>
      </c>
      <c r="F90" s="156">
        <f t="shared" ca="1" si="42"/>
        <v>1.4779288903810084E-13</v>
      </c>
      <c r="G90" s="171">
        <f t="shared" ca="1" si="43"/>
        <v>1.4779288903810084E-13</v>
      </c>
      <c r="AL90" s="23">
        <f t="shared" ca="1" si="33"/>
        <v>1.4779288903810084E-13</v>
      </c>
      <c r="AM90" s="23">
        <f t="shared" ca="1" si="34"/>
        <v>1.4779288903810084E-13</v>
      </c>
      <c r="AN90" s="23">
        <f t="shared" ca="1" si="35"/>
        <v>1.4779288903810084E-13</v>
      </c>
      <c r="AZ90" s="23">
        <v>0</v>
      </c>
      <c r="BG90" s="137">
        <f t="shared" ca="1" si="37"/>
        <v>2.9558577807620168E-11</v>
      </c>
      <c r="BH90" s="140">
        <f t="shared" si="38"/>
        <v>0</v>
      </c>
    </row>
    <row r="91" spans="1:119" x14ac:dyDescent="0.25">
      <c r="A91" s="68" t="str">
        <f t="shared" si="48"/>
        <v/>
      </c>
      <c r="B91" s="68" t="str">
        <f t="shared" si="49"/>
        <v/>
      </c>
      <c r="C91" s="156">
        <f t="shared" ca="1" si="39"/>
        <v>1.4779288903810084E-13</v>
      </c>
      <c r="D91" s="156">
        <f t="shared" si="40"/>
        <v>0</v>
      </c>
      <c r="E91" s="162">
        <f t="shared" ca="1" si="41"/>
        <v>2.9558577807620168E-11</v>
      </c>
      <c r="F91" s="156">
        <f t="shared" ca="1" si="42"/>
        <v>1.4779288903810084E-13</v>
      </c>
      <c r="G91" s="171">
        <f t="shared" ca="1" si="43"/>
        <v>1.4779288903810084E-13</v>
      </c>
      <c r="AZ91" s="23">
        <v>0</v>
      </c>
      <c r="BG91" s="137">
        <f t="shared" ca="1" si="37"/>
        <v>2.9558577807620168E-11</v>
      </c>
      <c r="BH91" s="140">
        <f t="shared" si="38"/>
        <v>0</v>
      </c>
    </row>
    <row r="92" spans="1:119" x14ac:dyDescent="0.25">
      <c r="A92" s="68" t="str">
        <f t="shared" si="48"/>
        <v/>
      </c>
      <c r="B92" s="68" t="str">
        <f t="shared" si="49"/>
        <v/>
      </c>
      <c r="C92" s="156">
        <f t="shared" ca="1" si="39"/>
        <v>1.4779288903810084E-13</v>
      </c>
      <c r="D92" s="156">
        <f t="shared" si="40"/>
        <v>0</v>
      </c>
      <c r="E92" s="162">
        <f t="shared" ca="1" si="41"/>
        <v>2.9558577807620168E-11</v>
      </c>
      <c r="F92" s="156">
        <f t="shared" ca="1" si="42"/>
        <v>1.4779288903810084E-13</v>
      </c>
      <c r="G92" s="171">
        <f t="shared" ca="1" si="43"/>
        <v>1.4779288903810084E-13</v>
      </c>
      <c r="AZ92" s="23">
        <v>0</v>
      </c>
      <c r="BG92" s="137">
        <f t="shared" ca="1" si="37"/>
        <v>2.9558577807620168E-11</v>
      </c>
      <c r="BH92" s="140">
        <f t="shared" si="38"/>
        <v>0</v>
      </c>
    </row>
    <row r="93" spans="1:119" x14ac:dyDescent="0.25">
      <c r="A93" s="68" t="str">
        <f t="shared" si="48"/>
        <v/>
      </c>
      <c r="B93" s="68" t="str">
        <f t="shared" si="49"/>
        <v/>
      </c>
      <c r="C93" s="156">
        <f t="shared" ca="1" si="39"/>
        <v>1.4779288903810084E-13</v>
      </c>
      <c r="D93" s="156">
        <f t="shared" si="40"/>
        <v>0</v>
      </c>
      <c r="E93" s="162">
        <f t="shared" ca="1" si="41"/>
        <v>2.9558577807620168E-11</v>
      </c>
      <c r="F93" s="156">
        <f t="shared" ca="1" si="42"/>
        <v>1.4779288903810084E-13</v>
      </c>
      <c r="G93" s="171">
        <f t="shared" ca="1" si="43"/>
        <v>1.4779288903810084E-13</v>
      </c>
      <c r="AZ93" s="23">
        <v>0</v>
      </c>
      <c r="BG93" s="137">
        <f t="shared" ca="1" si="37"/>
        <v>2.9558577807620168E-11</v>
      </c>
      <c r="BH93" s="140">
        <f t="shared" si="38"/>
        <v>0</v>
      </c>
    </row>
    <row r="94" spans="1:119" x14ac:dyDescent="0.25">
      <c r="A94" s="68" t="str">
        <f t="shared" si="48"/>
        <v/>
      </c>
      <c r="B94" s="68" t="str">
        <f t="shared" si="49"/>
        <v/>
      </c>
      <c r="C94" s="156">
        <f t="shared" ca="1" si="39"/>
        <v>1.4779288903810084E-13</v>
      </c>
      <c r="D94" s="156">
        <f t="shared" si="40"/>
        <v>0</v>
      </c>
      <c r="E94" s="162">
        <f t="shared" si="41"/>
        <v>0</v>
      </c>
      <c r="F94" s="156">
        <f t="shared" ca="1" si="42"/>
        <v>1.4779288903810084E-13</v>
      </c>
      <c r="G94" s="171">
        <f t="shared" ca="1" si="43"/>
        <v>1.4779288903810084E-13</v>
      </c>
      <c r="AZ94" s="23">
        <v>0</v>
      </c>
    </row>
    <row r="95" spans="1:119" x14ac:dyDescent="0.25">
      <c r="A95" s="68" t="str">
        <f t="shared" si="48"/>
        <v/>
      </c>
      <c r="B95" s="68" t="str">
        <f t="shared" si="49"/>
        <v/>
      </c>
      <c r="C95" s="156">
        <f t="shared" si="39"/>
        <v>0</v>
      </c>
      <c r="D95" s="156">
        <f t="shared" si="40"/>
        <v>0</v>
      </c>
      <c r="E95" s="162">
        <f t="shared" si="41"/>
        <v>0</v>
      </c>
      <c r="F95" s="156">
        <f t="shared" si="42"/>
        <v>0</v>
      </c>
      <c r="G95" s="171">
        <f t="shared" si="43"/>
        <v>0</v>
      </c>
    </row>
    <row r="96" spans="1:119" x14ac:dyDescent="0.25">
      <c r="C96" s="172"/>
      <c r="D96" s="172"/>
      <c r="E96" s="172"/>
      <c r="F96" s="172"/>
      <c r="G96" s="172"/>
    </row>
    <row r="97" spans="3:7" x14ac:dyDescent="0.25">
      <c r="C97" s="172"/>
      <c r="D97" s="172"/>
      <c r="E97" s="172"/>
      <c r="F97" s="172"/>
      <c r="G97" s="172"/>
    </row>
    <row r="98" spans="3:7" x14ac:dyDescent="0.25">
      <c r="C98" s="172"/>
      <c r="D98" s="172"/>
      <c r="E98" s="172"/>
      <c r="F98" s="172"/>
      <c r="G98" s="172"/>
    </row>
    <row r="99" spans="3:7" x14ac:dyDescent="0.25">
      <c r="C99" s="172"/>
      <c r="D99" s="172"/>
      <c r="E99" s="172"/>
      <c r="F99" s="172"/>
      <c r="G99" s="172"/>
    </row>
  </sheetData>
  <sheetProtection algorithmName="SHA-512" hashValue="VCgwHNXwvp9aQppQ7gPEX6T/Yz7EgXfFf+fACsUMrtirCK0upZa+NMqPBfxk7zUvBkCF7i76lGjb/+my5ZmccA==" saltValue="P73rNkXWp7o2QwiQqPKbIA==" spinCount="100000" sheet="1" objects="1" scenarios="1"/>
  <protectedRanges>
    <protectedRange password="C474" sqref="D19" name="Intervalo1"/>
  </protectedRanges>
  <mergeCells count="9">
    <mergeCell ref="E21:E22"/>
    <mergeCell ref="AB21:AG23"/>
    <mergeCell ref="A22:B22"/>
    <mergeCell ref="A1:G1"/>
    <mergeCell ref="A2:G2"/>
    <mergeCell ref="A3:G3"/>
    <mergeCell ref="A14:G14"/>
    <mergeCell ref="A18:G18"/>
    <mergeCell ref="A20:G20"/>
  </mergeCells>
  <conditionalFormatting sqref="A23:G95">
    <cfRule type="notContainsBlanks" dxfId="3" priority="2" stopIfTrue="1">
      <formula>LEN(TRIM(A23))&gt;0</formula>
    </cfRule>
  </conditionalFormatting>
  <conditionalFormatting sqref="A24:AI24 A26:G26 A28:G28 A30:G30 A32:G32 A34:G34 A36:G36 A38:G38 A40:G40 A42:G42 A44:G44 A46:G46 A48:G48 A50:G50 A52:G52 A54:G54 A56:G56 A58:G58 A60:G60 A62:G62 A64:G64 A66:G66 A68:G68 A70:G70 A72:G72 A74:G74 A76:G76 A78:G78 A80:G80 A82:G82 A84:G84 A86:G86 A88:G88 A90:G90 A92:G92 A94:G94">
    <cfRule type="notContainsBlanks" dxfId="2" priority="1">
      <formula>LEN(TRIM(A24))&gt;0</formula>
    </cfRule>
  </conditionalFormatting>
  <conditionalFormatting sqref="F19">
    <cfRule type="expression" dxfId="1" priority="31">
      <formula>$J$21=FALSE</formula>
    </cfRule>
  </conditionalFormatting>
  <conditionalFormatting sqref="H24:AI24">
    <cfRule type="notContainsBlanks" dxfId="0" priority="33" stopIfTrue="1">
      <formula>LEN(TRIM(H24))&gt;0</formula>
    </cfRule>
  </conditionalFormatting>
  <dataValidations count="2">
    <dataValidation type="decimal" allowBlank="1" showInputMessage="1" showErrorMessage="1" errorTitle="atenção!" error="A garantia do FAMPE deve variar de 20% a 80%." sqref="F19" xr:uid="{696FB091-F27D-4BC4-AC39-7D9D0E2E3E4A}">
      <formula1>0.2</formula1>
      <formula2>0.8</formula2>
    </dataValidation>
    <dataValidation type="custom" allowBlank="1" showInputMessage="1" showErrorMessage="1" sqref="B16:B17" xr:uid="{443231F9-A740-418C-BB84-AD9B18CC675B}">
      <formula1>AL21=TRUE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9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Drop Down 1">
              <controlPr locked="0" defaultSize="0" autoLine="0" autoPict="0">
                <anchor moveWithCells="1">
                  <from>
                    <xdr:col>0</xdr:col>
                    <xdr:colOff>847725</xdr:colOff>
                    <xdr:row>2</xdr:row>
                    <xdr:rowOff>333375</xdr:rowOff>
                  </from>
                  <to>
                    <xdr:col>4</xdr:col>
                    <xdr:colOff>704850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5" name="Drop Down 3">
              <controlPr defaultSize="0" autoLine="0" autoPict="0">
                <anchor moveWithCells="1">
                  <from>
                    <xdr:col>6</xdr:col>
                    <xdr:colOff>19050</xdr:colOff>
                    <xdr:row>16</xdr:row>
                    <xdr:rowOff>228600</xdr:rowOff>
                  </from>
                  <to>
                    <xdr:col>6</xdr:col>
                    <xdr:colOff>1047750</xdr:colOff>
                    <xdr:row>16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6" name="Check Box 4">
              <controlPr defaultSize="0" autoFill="0" autoLine="0" autoPict="0">
                <anchor moveWithCells="1">
                  <from>
                    <xdr:col>4</xdr:col>
                    <xdr:colOff>47625</xdr:colOff>
                    <xdr:row>18</xdr:row>
                    <xdr:rowOff>114300</xdr:rowOff>
                  </from>
                  <to>
                    <xdr:col>119</xdr:col>
                    <xdr:colOff>9525</xdr:colOff>
                    <xdr:row>18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7" name="Drop Down 5">
              <controlPr defaultSize="0" autoLine="0" autoPict="0">
                <anchor moveWithCells="1">
                  <from>
                    <xdr:col>4</xdr:col>
                    <xdr:colOff>114300</xdr:colOff>
                    <xdr:row>16</xdr:row>
                    <xdr:rowOff>209550</xdr:rowOff>
                  </from>
                  <to>
                    <xdr:col>4</xdr:col>
                    <xdr:colOff>1133475</xdr:colOff>
                    <xdr:row>16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6" r:id="rId8" name="Drop Down 6">
              <controlPr defaultSize="0" autoLine="0" autoPict="0">
                <anchor moveWithCells="1">
                  <from>
                    <xdr:col>4</xdr:col>
                    <xdr:colOff>228600</xdr:colOff>
                    <xdr:row>14</xdr:row>
                    <xdr:rowOff>47625</xdr:rowOff>
                  </from>
                  <to>
                    <xdr:col>6</xdr:col>
                    <xdr:colOff>38100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9" name="Drop Down 2">
              <controlPr locked="0" defaultSize="0" autoLine="0" autoPict="0">
                <anchor moveWithCells="1">
                  <from>
                    <xdr:col>6</xdr:col>
                    <xdr:colOff>76200</xdr:colOff>
                    <xdr:row>14</xdr:row>
                    <xdr:rowOff>47625</xdr:rowOff>
                  </from>
                  <to>
                    <xdr:col>6</xdr:col>
                    <xdr:colOff>1047750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0" r:id="rId10" name="Drop Down 10">
              <controlPr defaultSize="0" autoLine="0" autoPict="0">
                <anchor moveWithCells="1">
                  <from>
                    <xdr:col>6</xdr:col>
                    <xdr:colOff>95250</xdr:colOff>
                    <xdr:row>15</xdr:row>
                    <xdr:rowOff>38100</xdr:rowOff>
                  </from>
                  <to>
                    <xdr:col>6</xdr:col>
                    <xdr:colOff>1076325</xdr:colOff>
                    <xdr:row>15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0380-0FED-4CC4-8AE2-F6A41355A07A}">
  <sheetPr codeName="Planilha7"/>
  <dimension ref="B1:I68"/>
  <sheetViews>
    <sheetView showGridLines="0" zoomScaleNormal="100" workbookViewId="0">
      <selection activeCell="C68" sqref="C68"/>
    </sheetView>
  </sheetViews>
  <sheetFormatPr defaultRowHeight="18.75" x14ac:dyDescent="0.3"/>
  <cols>
    <col min="1" max="1" width="22.28515625" style="97" customWidth="1"/>
    <col min="2" max="2" width="54" style="97" customWidth="1"/>
    <col min="3" max="3" width="13" style="108" customWidth="1"/>
    <col min="4" max="4" width="10.28515625" style="108" customWidth="1"/>
    <col min="5" max="5" width="13.140625" style="108" customWidth="1"/>
    <col min="6" max="6" width="14.28515625" style="108" customWidth="1"/>
    <col min="7" max="7" width="15.85546875" style="98" customWidth="1"/>
    <col min="8" max="8" width="13.7109375" style="98" bestFit="1" customWidth="1"/>
    <col min="9" max="9" width="18.28515625" style="98" customWidth="1"/>
    <col min="10" max="16384" width="9.140625" style="97"/>
  </cols>
  <sheetData>
    <row r="1" spans="2:9" x14ac:dyDescent="0.3">
      <c r="G1" s="99"/>
      <c r="I1" s="97"/>
    </row>
    <row r="2" spans="2:9" x14ac:dyDescent="0.3">
      <c r="B2" s="277" t="s">
        <v>194</v>
      </c>
      <c r="C2" s="277"/>
      <c r="D2" s="277"/>
      <c r="E2" s="277"/>
      <c r="F2" s="277"/>
      <c r="G2" s="277"/>
      <c r="H2" s="277"/>
      <c r="I2" s="277"/>
    </row>
    <row r="4" spans="2:9" ht="37.5" hidden="1" x14ac:dyDescent="0.3">
      <c r="B4" s="100" t="s">
        <v>100</v>
      </c>
      <c r="C4" s="275" t="s">
        <v>101</v>
      </c>
      <c r="D4" s="276"/>
      <c r="E4" s="275" t="s">
        <v>102</v>
      </c>
      <c r="F4" s="276"/>
      <c r="G4" s="101" t="s">
        <v>103</v>
      </c>
      <c r="H4" s="101" t="s">
        <v>104</v>
      </c>
      <c r="I4" s="101" t="s">
        <v>105</v>
      </c>
    </row>
    <row r="5" spans="2:9" hidden="1" x14ac:dyDescent="0.3">
      <c r="B5" s="102" t="s">
        <v>19</v>
      </c>
      <c r="C5" s="273">
        <v>2.3951442892062056E-2</v>
      </c>
      <c r="D5" s="274"/>
      <c r="E5" s="273">
        <f>C5*0.77</f>
        <v>1.8442611026887785E-2</v>
      </c>
      <c r="F5" s="274"/>
      <c r="G5" s="101">
        <v>24</v>
      </c>
      <c r="H5" s="101">
        <v>3</v>
      </c>
      <c r="I5" s="113">
        <v>300000</v>
      </c>
    </row>
    <row r="6" spans="2:9" hidden="1" x14ac:dyDescent="0.3">
      <c r="B6" s="102" t="s">
        <v>107</v>
      </c>
      <c r="C6" s="273">
        <v>2.1838080283938927E-2</v>
      </c>
      <c r="D6" s="274"/>
      <c r="E6" s="273">
        <f>C6*0.77</f>
        <v>1.6815321818632975E-2</v>
      </c>
      <c r="F6" s="274"/>
      <c r="G6" s="101">
        <v>36</v>
      </c>
      <c r="H6" s="101">
        <v>3</v>
      </c>
      <c r="I6" s="113">
        <v>300000</v>
      </c>
    </row>
    <row r="7" spans="2:9" hidden="1" x14ac:dyDescent="0.3">
      <c r="B7" s="102" t="s">
        <v>20</v>
      </c>
      <c r="C7" s="273">
        <v>2.2542534486646639E-2</v>
      </c>
      <c r="D7" s="274"/>
      <c r="E7" s="273">
        <f>C7*0.77</f>
        <v>1.7357751554717912E-2</v>
      </c>
      <c r="F7" s="274"/>
      <c r="G7" s="101">
        <v>24</v>
      </c>
      <c r="H7" s="101">
        <v>3</v>
      </c>
      <c r="I7" s="113">
        <v>300000</v>
      </c>
    </row>
    <row r="8" spans="2:9" hidden="1" x14ac:dyDescent="0.3">
      <c r="B8" s="102" t="s">
        <v>109</v>
      </c>
      <c r="C8" s="273">
        <v>2.1309739631908152E-2</v>
      </c>
      <c r="D8" s="274"/>
      <c r="E8" s="273">
        <f>C8*0.77</f>
        <v>1.6408499516569277E-2</v>
      </c>
      <c r="F8" s="274"/>
      <c r="G8" s="101">
        <v>36</v>
      </c>
      <c r="H8" s="101">
        <v>3</v>
      </c>
      <c r="I8" s="113">
        <v>300000</v>
      </c>
    </row>
    <row r="9" spans="2:9" hidden="1" x14ac:dyDescent="0.3">
      <c r="B9" s="102" t="s">
        <v>21</v>
      </c>
      <c r="C9" s="273">
        <v>2.1309739631908152E-2</v>
      </c>
      <c r="D9" s="274"/>
      <c r="E9" s="273">
        <f>C9*0.77</f>
        <v>1.6408499516569277E-2</v>
      </c>
      <c r="F9" s="274"/>
      <c r="G9" s="101">
        <v>36</v>
      </c>
      <c r="H9" s="101">
        <v>3</v>
      </c>
      <c r="I9" s="113">
        <v>300000</v>
      </c>
    </row>
    <row r="10" spans="2:9" hidden="1" x14ac:dyDescent="0.3">
      <c r="B10" s="103"/>
      <c r="C10" s="111"/>
      <c r="D10" s="111"/>
      <c r="E10" s="111"/>
      <c r="F10" s="111"/>
      <c r="G10" s="104"/>
      <c r="H10" s="104"/>
      <c r="I10" s="104"/>
    </row>
    <row r="11" spans="2:9" ht="37.5" hidden="1" x14ac:dyDescent="0.3">
      <c r="B11" s="100" t="s">
        <v>110</v>
      </c>
      <c r="C11" s="275" t="s">
        <v>101</v>
      </c>
      <c r="D11" s="276"/>
      <c r="E11" s="275" t="s">
        <v>102</v>
      </c>
      <c r="F11" s="276"/>
      <c r="G11" s="101" t="s">
        <v>103</v>
      </c>
      <c r="H11" s="101" t="s">
        <v>104</v>
      </c>
      <c r="I11" s="101" t="s">
        <v>105</v>
      </c>
    </row>
    <row r="12" spans="2:9" hidden="1" x14ac:dyDescent="0.3">
      <c r="B12" s="102" t="s">
        <v>24</v>
      </c>
      <c r="C12" s="273">
        <v>2.0770391882960065E-2</v>
      </c>
      <c r="D12" s="274"/>
      <c r="E12" s="273">
        <f t="shared" ref="E12:E17" si="0">C12*0.77</f>
        <v>1.5993201749879251E-2</v>
      </c>
      <c r="F12" s="274"/>
      <c r="G12" s="101">
        <v>60</v>
      </c>
      <c r="H12" s="101">
        <v>12</v>
      </c>
      <c r="I12" s="113">
        <v>400000</v>
      </c>
    </row>
    <row r="13" spans="2:9" hidden="1" x14ac:dyDescent="0.3">
      <c r="B13" s="102" t="s">
        <v>23</v>
      </c>
      <c r="C13" s="273">
        <v>1.9834788644988891E-2</v>
      </c>
      <c r="D13" s="274"/>
      <c r="E13" s="273">
        <f t="shared" si="0"/>
        <v>1.5272787256641447E-2</v>
      </c>
      <c r="F13" s="274"/>
      <c r="G13" s="101">
        <v>60</v>
      </c>
      <c r="H13" s="101">
        <v>12</v>
      </c>
      <c r="I13" s="113">
        <v>400000</v>
      </c>
    </row>
    <row r="14" spans="2:9" hidden="1" x14ac:dyDescent="0.3">
      <c r="B14" s="102" t="s">
        <v>69</v>
      </c>
      <c r="C14" s="273">
        <v>1.9273426702206185E-2</v>
      </c>
      <c r="D14" s="274"/>
      <c r="E14" s="273">
        <f t="shared" si="0"/>
        <v>1.4840538560698764E-2</v>
      </c>
      <c r="F14" s="274"/>
      <c r="G14" s="101">
        <v>60</v>
      </c>
      <c r="H14" s="101">
        <v>12</v>
      </c>
      <c r="I14" s="113">
        <v>400000</v>
      </c>
    </row>
    <row r="15" spans="2:9" hidden="1" x14ac:dyDescent="0.3">
      <c r="B15" s="102" t="s">
        <v>113</v>
      </c>
      <c r="C15" s="273">
        <v>1.8337823464235011E-2</v>
      </c>
      <c r="D15" s="274"/>
      <c r="E15" s="273">
        <f t="shared" si="0"/>
        <v>1.4120124067460958E-2</v>
      </c>
      <c r="F15" s="274"/>
      <c r="G15" s="101">
        <v>60</v>
      </c>
      <c r="H15" s="101">
        <v>12</v>
      </c>
      <c r="I15" s="113">
        <v>400000</v>
      </c>
    </row>
    <row r="16" spans="2:9" hidden="1" x14ac:dyDescent="0.3">
      <c r="B16" s="102" t="s">
        <v>125</v>
      </c>
      <c r="C16" s="273">
        <v>1.8337823464235011E-2</v>
      </c>
      <c r="D16" s="274"/>
      <c r="E16" s="273">
        <f t="shared" si="0"/>
        <v>1.4120124067460958E-2</v>
      </c>
      <c r="F16" s="274"/>
      <c r="G16" s="101">
        <v>60</v>
      </c>
      <c r="H16" s="101">
        <v>6</v>
      </c>
      <c r="I16" s="113">
        <v>400000</v>
      </c>
    </row>
    <row r="17" spans="2:9" hidden="1" x14ac:dyDescent="0.3">
      <c r="B17" s="102" t="s">
        <v>126</v>
      </c>
      <c r="C17" s="273">
        <v>1.8337823464235011E-2</v>
      </c>
      <c r="D17" s="274"/>
      <c r="E17" s="273">
        <f t="shared" si="0"/>
        <v>1.4120124067460958E-2</v>
      </c>
      <c r="F17" s="274"/>
      <c r="G17" s="101">
        <v>60</v>
      </c>
      <c r="H17" s="101">
        <v>6</v>
      </c>
      <c r="I17" s="113">
        <v>400000</v>
      </c>
    </row>
    <row r="18" spans="2:9" hidden="1" x14ac:dyDescent="0.3">
      <c r="B18" s="103"/>
      <c r="C18" s="111"/>
      <c r="D18" s="111"/>
      <c r="E18" s="111"/>
      <c r="F18" s="111"/>
      <c r="G18" s="104"/>
      <c r="H18" s="104"/>
      <c r="I18" s="104"/>
    </row>
    <row r="19" spans="2:9" ht="37.5" hidden="1" x14ac:dyDescent="0.3">
      <c r="B19" s="100" t="s">
        <v>114</v>
      </c>
      <c r="C19" s="275" t="s">
        <v>101</v>
      </c>
      <c r="D19" s="276"/>
      <c r="E19" s="275" t="s">
        <v>102</v>
      </c>
      <c r="F19" s="276"/>
      <c r="G19" s="101" t="s">
        <v>103</v>
      </c>
      <c r="H19" s="101" t="s">
        <v>104</v>
      </c>
      <c r="I19" s="101" t="s">
        <v>105</v>
      </c>
    </row>
    <row r="20" spans="2:9" hidden="1" x14ac:dyDescent="0.3">
      <c r="B20" s="102" t="s">
        <v>115</v>
      </c>
      <c r="C20" s="273">
        <v>1.9800000000000002E-2</v>
      </c>
      <c r="D20" s="274"/>
      <c r="E20" s="273">
        <v>1.5299999999999999E-2</v>
      </c>
      <c r="F20" s="274"/>
      <c r="G20" s="101">
        <v>60</v>
      </c>
      <c r="H20" s="101">
        <v>3</v>
      </c>
      <c r="I20" s="113">
        <v>90000</v>
      </c>
    </row>
    <row r="21" spans="2:9" hidden="1" x14ac:dyDescent="0.3">
      <c r="B21" s="102" t="s">
        <v>116</v>
      </c>
      <c r="C21" s="273">
        <v>2.1899999999999999E-2</v>
      </c>
      <c r="D21" s="274"/>
      <c r="E21" s="273">
        <v>1.5900000000000001E-2</v>
      </c>
      <c r="F21" s="274"/>
      <c r="G21" s="101">
        <v>60</v>
      </c>
      <c r="H21" s="101">
        <v>3</v>
      </c>
      <c r="I21" s="113">
        <v>90000</v>
      </c>
    </row>
    <row r="22" spans="2:9" hidden="1" x14ac:dyDescent="0.3">
      <c r="B22" s="102" t="s">
        <v>117</v>
      </c>
      <c r="C22" s="273">
        <v>2.1899999999999999E-2</v>
      </c>
      <c r="D22" s="274"/>
      <c r="E22" s="273">
        <v>1.5900000000000001E-2</v>
      </c>
      <c r="F22" s="274"/>
      <c r="G22" s="101">
        <v>60</v>
      </c>
      <c r="H22" s="101">
        <v>3</v>
      </c>
      <c r="I22" s="113">
        <v>14000</v>
      </c>
    </row>
    <row r="23" spans="2:9" hidden="1" x14ac:dyDescent="0.3">
      <c r="B23" s="102" t="s">
        <v>118</v>
      </c>
      <c r="C23" s="273">
        <v>2.1899999999999999E-2</v>
      </c>
      <c r="D23" s="274"/>
      <c r="E23" s="273">
        <v>1.5900000000000001E-2</v>
      </c>
      <c r="F23" s="274"/>
      <c r="G23" s="101">
        <v>60</v>
      </c>
      <c r="H23" s="101">
        <v>3</v>
      </c>
      <c r="I23" s="113">
        <v>150000</v>
      </c>
    </row>
    <row r="24" spans="2:9" hidden="1" x14ac:dyDescent="0.3">
      <c r="B24" s="102" t="s">
        <v>119</v>
      </c>
      <c r="C24" s="273">
        <v>2.1899999999999999E-2</v>
      </c>
      <c r="D24" s="274"/>
      <c r="E24" s="273">
        <v>1.5900000000000001E-2</v>
      </c>
      <c r="F24" s="274"/>
      <c r="G24" s="101">
        <v>60</v>
      </c>
      <c r="H24" s="101">
        <v>3</v>
      </c>
      <c r="I24" s="113">
        <v>40000</v>
      </c>
    </row>
    <row r="25" spans="2:9" hidden="1" x14ac:dyDescent="0.3">
      <c r="B25" s="103"/>
      <c r="C25" s="111"/>
      <c r="D25" s="111"/>
      <c r="E25" s="111"/>
      <c r="F25" s="111"/>
      <c r="G25" s="104"/>
      <c r="H25" s="104"/>
      <c r="I25" s="104"/>
    </row>
    <row r="26" spans="2:9" ht="37.5" hidden="1" x14ac:dyDescent="0.3">
      <c r="B26" s="100" t="s">
        <v>120</v>
      </c>
      <c r="C26" s="275" t="s">
        <v>101</v>
      </c>
      <c r="D26" s="276"/>
      <c r="E26" s="275" t="s">
        <v>102</v>
      </c>
      <c r="F26" s="276"/>
      <c r="G26" s="101" t="s">
        <v>103</v>
      </c>
      <c r="H26" s="101" t="s">
        <v>104</v>
      </c>
      <c r="I26" s="101" t="s">
        <v>105</v>
      </c>
    </row>
    <row r="27" spans="2:9" ht="37.5" hidden="1" x14ac:dyDescent="0.3">
      <c r="B27" s="106" t="s">
        <v>121</v>
      </c>
      <c r="C27" s="273">
        <v>2.218485176470588E-2</v>
      </c>
      <c r="D27" s="274"/>
      <c r="E27" s="273">
        <f>C27*0.77</f>
        <v>1.7082335858823527E-2</v>
      </c>
      <c r="F27" s="274"/>
      <c r="G27" s="101" t="s">
        <v>108</v>
      </c>
      <c r="H27" s="101" t="s">
        <v>106</v>
      </c>
      <c r="I27" s="113">
        <v>300000</v>
      </c>
    </row>
    <row r="28" spans="2:9" hidden="1" x14ac:dyDescent="0.3">
      <c r="B28" s="103"/>
      <c r="C28" s="112"/>
      <c r="D28" s="112"/>
      <c r="E28" s="112"/>
      <c r="F28" s="112"/>
      <c r="G28" s="107"/>
    </row>
    <row r="29" spans="2:9" ht="37.5" hidden="1" x14ac:dyDescent="0.3">
      <c r="B29" s="100" t="s">
        <v>122</v>
      </c>
      <c r="C29" s="275" t="s">
        <v>101</v>
      </c>
      <c r="D29" s="276"/>
      <c r="E29" s="275" t="s">
        <v>102</v>
      </c>
      <c r="F29" s="276"/>
      <c r="G29" s="101" t="s">
        <v>103</v>
      </c>
      <c r="H29" s="101" t="s">
        <v>104</v>
      </c>
      <c r="I29" s="101" t="s">
        <v>105</v>
      </c>
    </row>
    <row r="30" spans="2:9" ht="37.5" hidden="1" x14ac:dyDescent="0.3">
      <c r="B30" s="106" t="s">
        <v>121</v>
      </c>
      <c r="C30" s="273">
        <v>1.8587317661027326E-2</v>
      </c>
      <c r="D30" s="274"/>
      <c r="E30" s="273">
        <f>C30*0.77</f>
        <v>1.4312234598991041E-2</v>
      </c>
      <c r="F30" s="274"/>
      <c r="G30" s="101" t="s">
        <v>111</v>
      </c>
      <c r="H30" s="101" t="s">
        <v>112</v>
      </c>
      <c r="I30" s="113">
        <v>400000</v>
      </c>
    </row>
    <row r="31" spans="2:9" hidden="1" x14ac:dyDescent="0.3">
      <c r="H31" s="97"/>
      <c r="I31" s="97"/>
    </row>
    <row r="32" spans="2:9" ht="37.5" hidden="1" x14ac:dyDescent="0.3">
      <c r="B32" s="100" t="s">
        <v>123</v>
      </c>
      <c r="C32" s="275" t="s">
        <v>101</v>
      </c>
      <c r="D32" s="276"/>
      <c r="E32" s="275" t="s">
        <v>102</v>
      </c>
      <c r="F32" s="276"/>
      <c r="G32" s="101" t="s">
        <v>103</v>
      </c>
      <c r="H32" s="101" t="s">
        <v>104</v>
      </c>
      <c r="I32" s="101" t="s">
        <v>105</v>
      </c>
    </row>
    <row r="33" spans="2:9" ht="37.5" hidden="1" x14ac:dyDescent="0.3">
      <c r="B33" s="102" t="s">
        <v>73</v>
      </c>
      <c r="C33" s="283">
        <v>1.9157123700000001E-2</v>
      </c>
      <c r="D33" s="284"/>
      <c r="E33" s="283">
        <v>1.58999841E-2</v>
      </c>
      <c r="F33" s="284"/>
      <c r="G33" s="101" t="s">
        <v>108</v>
      </c>
      <c r="H33" s="101" t="s">
        <v>112</v>
      </c>
      <c r="I33" s="113">
        <v>21000</v>
      </c>
    </row>
    <row r="34" spans="2:9" ht="37.5" hidden="1" x14ac:dyDescent="0.3">
      <c r="B34" s="102" t="s">
        <v>124</v>
      </c>
      <c r="C34" s="285"/>
      <c r="D34" s="286"/>
      <c r="E34" s="285"/>
      <c r="F34" s="286"/>
      <c r="G34" s="101" t="s">
        <v>108</v>
      </c>
      <c r="H34" s="101" t="s">
        <v>106</v>
      </c>
      <c r="I34" s="113">
        <v>21000</v>
      </c>
    </row>
    <row r="35" spans="2:9" hidden="1" x14ac:dyDescent="0.3">
      <c r="H35" s="97"/>
      <c r="I35" s="97"/>
    </row>
    <row r="36" spans="2:9" ht="37.5" hidden="1" x14ac:dyDescent="0.3">
      <c r="B36" s="100" t="s">
        <v>127</v>
      </c>
      <c r="C36" s="275" t="s">
        <v>128</v>
      </c>
      <c r="D36" s="276"/>
      <c r="E36" s="275" t="s">
        <v>129</v>
      </c>
      <c r="F36" s="276"/>
      <c r="G36" s="101" t="s">
        <v>103</v>
      </c>
      <c r="H36" s="101" t="s">
        <v>104</v>
      </c>
      <c r="I36" s="101" t="s">
        <v>105</v>
      </c>
    </row>
    <row r="37" spans="2:9" ht="37.5" hidden="1" x14ac:dyDescent="0.3">
      <c r="B37" s="102" t="s">
        <v>61</v>
      </c>
      <c r="C37" s="273">
        <v>2.5000000000000001E-2</v>
      </c>
      <c r="D37" s="274"/>
      <c r="E37" s="273">
        <v>0.13750000000000001</v>
      </c>
      <c r="F37" s="274"/>
      <c r="G37" s="101">
        <v>48</v>
      </c>
      <c r="H37" s="101">
        <v>12</v>
      </c>
      <c r="I37" s="113">
        <v>8000</v>
      </c>
    </row>
    <row r="38" spans="2:9" hidden="1" x14ac:dyDescent="0.3">
      <c r="B38" s="102" t="s">
        <v>62</v>
      </c>
      <c r="C38" s="273">
        <v>0.05</v>
      </c>
      <c r="D38" s="274"/>
      <c r="E38" s="273">
        <v>0.13750000000000001</v>
      </c>
      <c r="F38" s="274"/>
      <c r="G38" s="101">
        <v>60</v>
      </c>
      <c r="H38" s="101">
        <v>12</v>
      </c>
      <c r="I38" s="113">
        <v>400000</v>
      </c>
    </row>
    <row r="39" spans="2:9" hidden="1" x14ac:dyDescent="0.3">
      <c r="B39" s="102" t="s">
        <v>27</v>
      </c>
      <c r="C39" s="273">
        <v>0.05</v>
      </c>
      <c r="D39" s="274"/>
      <c r="E39" s="273">
        <v>0.13750000000000001</v>
      </c>
      <c r="F39" s="274"/>
      <c r="G39" s="101">
        <v>60</v>
      </c>
      <c r="H39" s="101">
        <v>12</v>
      </c>
      <c r="I39" s="113">
        <v>1000000</v>
      </c>
    </row>
    <row r="40" spans="2:9" hidden="1" x14ac:dyDescent="0.3">
      <c r="B40" s="102" t="s">
        <v>28</v>
      </c>
      <c r="C40" s="273">
        <v>0.05</v>
      </c>
      <c r="D40" s="274"/>
      <c r="E40" s="273">
        <v>0.13750000000000001</v>
      </c>
      <c r="F40" s="274"/>
      <c r="G40" s="101">
        <v>240</v>
      </c>
      <c r="H40" s="101">
        <v>60</v>
      </c>
      <c r="I40" s="113">
        <v>2000000</v>
      </c>
    </row>
    <row r="41" spans="2:9" hidden="1" x14ac:dyDescent="0.3"/>
    <row r="42" spans="2:9" ht="37.5" hidden="1" x14ac:dyDescent="0.3">
      <c r="B42" s="100" t="s">
        <v>185</v>
      </c>
      <c r="C42" s="275" t="s">
        <v>128</v>
      </c>
      <c r="D42" s="276"/>
      <c r="E42" s="275" t="s">
        <v>132</v>
      </c>
      <c r="F42" s="276"/>
      <c r="G42" s="101" t="s">
        <v>103</v>
      </c>
      <c r="H42" s="101" t="s">
        <v>104</v>
      </c>
      <c r="I42" s="101" t="s">
        <v>105</v>
      </c>
    </row>
    <row r="43" spans="2:9" hidden="1" x14ac:dyDescent="0.3">
      <c r="B43" s="102" t="s">
        <v>77</v>
      </c>
      <c r="C43" s="273">
        <v>4.2000000000000003E-2</v>
      </c>
      <c r="D43" s="274"/>
      <c r="E43" s="273">
        <v>1.1900000000000001E-2</v>
      </c>
      <c r="F43" s="274"/>
      <c r="G43" s="101">
        <v>96</v>
      </c>
      <c r="H43" s="101">
        <v>24</v>
      </c>
      <c r="I43" s="113">
        <v>2000000</v>
      </c>
    </row>
    <row r="44" spans="2:9" hidden="1" x14ac:dyDescent="0.3">
      <c r="B44" s="102" t="s">
        <v>78</v>
      </c>
      <c r="C44" s="273">
        <v>4.2000000000000003E-2</v>
      </c>
      <c r="D44" s="274"/>
      <c r="E44" s="273">
        <v>1.1900000000000001E-2</v>
      </c>
      <c r="F44" s="274"/>
      <c r="G44" s="101">
        <v>48</v>
      </c>
      <c r="H44" s="101">
        <v>12</v>
      </c>
      <c r="I44" s="113">
        <v>2000000</v>
      </c>
    </row>
    <row r="45" spans="2:9" hidden="1" x14ac:dyDescent="0.3">
      <c r="B45" s="102" t="s">
        <v>79</v>
      </c>
      <c r="C45" s="273">
        <v>7.0000000000000007E-2</v>
      </c>
      <c r="D45" s="274"/>
      <c r="E45" s="273">
        <v>1.1900000000000001E-2</v>
      </c>
      <c r="F45" s="274"/>
      <c r="G45" s="101">
        <v>120</v>
      </c>
      <c r="H45" s="101">
        <v>24</v>
      </c>
      <c r="I45" s="113">
        <v>2000000</v>
      </c>
    </row>
    <row r="46" spans="2:9" ht="37.5" hidden="1" x14ac:dyDescent="0.3">
      <c r="B46" s="100" t="s">
        <v>186</v>
      </c>
      <c r="C46" s="275" t="s">
        <v>128</v>
      </c>
      <c r="D46" s="276"/>
      <c r="E46" s="275" t="s">
        <v>132</v>
      </c>
      <c r="F46" s="276"/>
      <c r="G46" s="101" t="s">
        <v>103</v>
      </c>
      <c r="H46" s="101" t="s">
        <v>104</v>
      </c>
      <c r="I46" s="101" t="s">
        <v>105</v>
      </c>
    </row>
    <row r="47" spans="2:9" hidden="1" x14ac:dyDescent="0.3">
      <c r="B47" s="102" t="s">
        <v>77</v>
      </c>
      <c r="C47" s="273">
        <v>5.5E-2</v>
      </c>
      <c r="D47" s="274"/>
      <c r="E47" s="273">
        <v>1.1900000000000001E-2</v>
      </c>
      <c r="F47" s="274"/>
      <c r="G47" s="101">
        <v>96</v>
      </c>
      <c r="H47" s="101">
        <v>24</v>
      </c>
      <c r="I47" s="113">
        <v>2000000</v>
      </c>
    </row>
    <row r="48" spans="2:9" hidden="1" x14ac:dyDescent="0.3">
      <c r="B48" s="102" t="s">
        <v>78</v>
      </c>
      <c r="C48" s="273">
        <v>5.5E-2</v>
      </c>
      <c r="D48" s="274"/>
      <c r="E48" s="273">
        <v>1.1900000000000001E-2</v>
      </c>
      <c r="F48" s="274"/>
      <c r="G48" s="101">
        <v>48</v>
      </c>
      <c r="H48" s="101">
        <v>12</v>
      </c>
      <c r="I48" s="113">
        <v>2000000</v>
      </c>
    </row>
    <row r="49" spans="2:9" hidden="1" x14ac:dyDescent="0.3">
      <c r="B49" s="102" t="s">
        <v>79</v>
      </c>
      <c r="C49" s="273">
        <v>7.0000000000000007E-2</v>
      </c>
      <c r="D49" s="274"/>
      <c r="E49" s="273">
        <v>1.1900000000000001E-2</v>
      </c>
      <c r="F49" s="274"/>
      <c r="G49" s="101">
        <v>120</v>
      </c>
      <c r="H49" s="101">
        <v>24</v>
      </c>
      <c r="I49" s="113">
        <v>2000000</v>
      </c>
    </row>
    <row r="50" spans="2:9" hidden="1" x14ac:dyDescent="0.3"/>
    <row r="51" spans="2:9" s="105" customFormat="1" ht="53.25" customHeight="1" x14ac:dyDescent="0.25">
      <c r="B51" s="281" t="s">
        <v>130</v>
      </c>
      <c r="C51" s="280" t="s">
        <v>133</v>
      </c>
      <c r="D51" s="280"/>
      <c r="E51" s="280" t="s">
        <v>134</v>
      </c>
      <c r="F51" s="280"/>
      <c r="G51" s="278" t="s">
        <v>103</v>
      </c>
      <c r="H51" s="278" t="s">
        <v>104</v>
      </c>
      <c r="I51" s="278" t="s">
        <v>105</v>
      </c>
    </row>
    <row r="52" spans="2:9" ht="56.25" x14ac:dyDescent="0.3">
      <c r="B52" s="282"/>
      <c r="C52" s="109" t="s">
        <v>128</v>
      </c>
      <c r="D52" s="109" t="s">
        <v>102</v>
      </c>
      <c r="E52" s="109" t="s">
        <v>128</v>
      </c>
      <c r="F52" s="109" t="s">
        <v>102</v>
      </c>
      <c r="G52" s="279"/>
      <c r="H52" s="279"/>
      <c r="I52" s="279"/>
    </row>
    <row r="53" spans="2:9" x14ac:dyDescent="0.3">
      <c r="B53" s="102" t="s">
        <v>95</v>
      </c>
      <c r="C53" s="110">
        <v>8.8992000000000002E-2</v>
      </c>
      <c r="D53" s="110">
        <v>8.2918000000000006E-2</v>
      </c>
      <c r="E53" s="110">
        <v>9.7989999999999994E-2</v>
      </c>
      <c r="F53" s="110">
        <v>9.0566999999999995E-2</v>
      </c>
      <c r="G53" s="101">
        <v>36</v>
      </c>
      <c r="H53" s="101">
        <v>3</v>
      </c>
      <c r="I53" s="113">
        <v>27000</v>
      </c>
    </row>
    <row r="54" spans="2:9" x14ac:dyDescent="0.3">
      <c r="B54" s="102" t="s">
        <v>195</v>
      </c>
      <c r="C54" s="110">
        <v>8.8992000000000002E-2</v>
      </c>
      <c r="D54" s="110">
        <v>8.2918000000000006E-2</v>
      </c>
      <c r="E54" s="110">
        <v>0.12770000000000001</v>
      </c>
      <c r="F54" s="110">
        <v>0.1174</v>
      </c>
      <c r="G54" s="101">
        <v>144</v>
      </c>
      <c r="H54" s="101">
        <v>36</v>
      </c>
      <c r="I54" s="113">
        <v>2000000</v>
      </c>
    </row>
    <row r="55" spans="2:9" x14ac:dyDescent="0.3">
      <c r="B55" s="102" t="s">
        <v>196</v>
      </c>
      <c r="C55" s="110">
        <v>0.106346</v>
      </c>
      <c r="D55" s="110">
        <v>9.7669000000000006E-2</v>
      </c>
      <c r="E55" s="110">
        <v>0.1192</v>
      </c>
      <c r="F55" s="110">
        <v>0.108696</v>
      </c>
      <c r="G55" s="101">
        <v>144</v>
      </c>
      <c r="H55" s="101">
        <v>36</v>
      </c>
      <c r="I55" s="113">
        <v>2000000</v>
      </c>
    </row>
    <row r="56" spans="2:9" hidden="1" x14ac:dyDescent="0.3">
      <c r="B56" s="102" t="s">
        <v>136</v>
      </c>
      <c r="C56" s="110">
        <v>0</v>
      </c>
      <c r="D56" s="110">
        <v>0</v>
      </c>
      <c r="E56" s="110">
        <v>0</v>
      </c>
      <c r="F56" s="110">
        <v>0</v>
      </c>
      <c r="G56" s="101">
        <v>24</v>
      </c>
      <c r="H56" s="101">
        <v>6</v>
      </c>
      <c r="I56" s="113">
        <v>2000000</v>
      </c>
    </row>
    <row r="57" spans="2:9" hidden="1" x14ac:dyDescent="0.3">
      <c r="B57" s="102" t="s">
        <v>96</v>
      </c>
      <c r="C57" s="110">
        <v>0</v>
      </c>
      <c r="D57" s="110">
        <v>0</v>
      </c>
      <c r="E57" s="110">
        <v>0</v>
      </c>
      <c r="F57" s="110">
        <v>0</v>
      </c>
      <c r="G57" s="101">
        <v>36</v>
      </c>
      <c r="H57" s="101">
        <v>3</v>
      </c>
      <c r="I57" s="113">
        <v>21000</v>
      </c>
    </row>
    <row r="58" spans="2:9" hidden="1" x14ac:dyDescent="0.3">
      <c r="B58" s="102" t="s">
        <v>97</v>
      </c>
      <c r="C58" s="110">
        <v>0</v>
      </c>
      <c r="D58" s="110">
        <v>0</v>
      </c>
      <c r="E58" s="110">
        <v>0</v>
      </c>
      <c r="F58" s="110">
        <v>0</v>
      </c>
      <c r="G58" s="101">
        <v>18</v>
      </c>
      <c r="H58" s="101">
        <v>3</v>
      </c>
      <c r="I58" s="113">
        <v>7000</v>
      </c>
    </row>
    <row r="59" spans="2:9" hidden="1" x14ac:dyDescent="0.3">
      <c r="B59" s="102" t="s">
        <v>94</v>
      </c>
      <c r="C59" s="110">
        <v>0</v>
      </c>
      <c r="D59" s="110">
        <v>0</v>
      </c>
      <c r="E59" s="110">
        <v>0</v>
      </c>
      <c r="F59" s="110">
        <v>0</v>
      </c>
      <c r="G59" s="101">
        <v>96</v>
      </c>
      <c r="H59" s="101">
        <v>6</v>
      </c>
      <c r="I59" s="113">
        <v>100000</v>
      </c>
    </row>
    <row r="60" spans="2:9" x14ac:dyDescent="0.3">
      <c r="C60" s="97"/>
      <c r="D60" s="97"/>
      <c r="E60" s="97"/>
      <c r="F60" s="97"/>
      <c r="G60" s="97"/>
      <c r="H60" s="97"/>
      <c r="I60" s="97"/>
    </row>
    <row r="61" spans="2:9" hidden="1" x14ac:dyDescent="0.3">
      <c r="B61" s="102" t="s">
        <v>137</v>
      </c>
      <c r="C61" s="110">
        <v>9.0499999999999997E-2</v>
      </c>
      <c r="D61" s="110">
        <v>8.5599999999999996E-2</v>
      </c>
      <c r="E61" s="110"/>
      <c r="F61" s="110"/>
      <c r="G61" s="101">
        <v>144</v>
      </c>
      <c r="H61" s="101">
        <v>36</v>
      </c>
      <c r="I61" s="113">
        <v>2000000</v>
      </c>
    </row>
    <row r="62" spans="2:9" hidden="1" x14ac:dyDescent="0.3">
      <c r="B62" s="102" t="s">
        <v>138</v>
      </c>
      <c r="C62" s="110">
        <v>7.46E-2</v>
      </c>
      <c r="D62" s="110">
        <v>7.22E-2</v>
      </c>
      <c r="E62" s="110"/>
      <c r="F62" s="110"/>
      <c r="G62" s="101">
        <v>240</v>
      </c>
      <c r="H62" s="101">
        <v>120</v>
      </c>
      <c r="I62" s="113">
        <v>2000000</v>
      </c>
    </row>
    <row r="65" spans="3:3" x14ac:dyDescent="0.3">
      <c r="C65" s="215">
        <f>C54-D54</f>
        <v>6.0739999999999961E-3</v>
      </c>
    </row>
    <row r="66" spans="3:3" x14ac:dyDescent="0.3">
      <c r="C66" s="215">
        <f>C55-D55</f>
        <v>8.6769999999999903E-3</v>
      </c>
    </row>
    <row r="67" spans="3:3" x14ac:dyDescent="0.3">
      <c r="C67" s="215">
        <f>AVERAGE(C65:C66)</f>
        <v>7.3754999999999932E-3</v>
      </c>
    </row>
    <row r="68" spans="3:3" x14ac:dyDescent="0.3">
      <c r="C68" s="215">
        <f>C67-0.0025</f>
        <v>4.8754999999999927E-3</v>
      </c>
    </row>
  </sheetData>
  <mergeCells count="83">
    <mergeCell ref="C43:D43"/>
    <mergeCell ref="C44:D44"/>
    <mergeCell ref="C45:D45"/>
    <mergeCell ref="E42:F42"/>
    <mergeCell ref="E43:F43"/>
    <mergeCell ref="E44:F44"/>
    <mergeCell ref="E45:F45"/>
    <mergeCell ref="C36:D36"/>
    <mergeCell ref="E36:F36"/>
    <mergeCell ref="C37:D37"/>
    <mergeCell ref="C38:D38"/>
    <mergeCell ref="C39:D39"/>
    <mergeCell ref="C40:D40"/>
    <mergeCell ref="E37:F37"/>
    <mergeCell ref="E38:F38"/>
    <mergeCell ref="E39:F39"/>
    <mergeCell ref="E40:F40"/>
    <mergeCell ref="C30:D30"/>
    <mergeCell ref="E30:F30"/>
    <mergeCell ref="C33:D34"/>
    <mergeCell ref="C32:D32"/>
    <mergeCell ref="E32:F32"/>
    <mergeCell ref="E33:F34"/>
    <mergeCell ref="C26:D26"/>
    <mergeCell ref="C27:D27"/>
    <mergeCell ref="E26:F26"/>
    <mergeCell ref="E27:F27"/>
    <mergeCell ref="C29:D29"/>
    <mergeCell ref="E29:F29"/>
    <mergeCell ref="C22:D22"/>
    <mergeCell ref="C23:D23"/>
    <mergeCell ref="C24:D24"/>
    <mergeCell ref="E19:F19"/>
    <mergeCell ref="E20:F20"/>
    <mergeCell ref="E21:F21"/>
    <mergeCell ref="E22:F22"/>
    <mergeCell ref="E23:F23"/>
    <mergeCell ref="E24:F24"/>
    <mergeCell ref="C17:D17"/>
    <mergeCell ref="E11:F11"/>
    <mergeCell ref="E12:F12"/>
    <mergeCell ref="E13:F13"/>
    <mergeCell ref="E14:F14"/>
    <mergeCell ref="E15:F15"/>
    <mergeCell ref="E16:F16"/>
    <mergeCell ref="E17:F17"/>
    <mergeCell ref="C11:D11"/>
    <mergeCell ref="C12:D12"/>
    <mergeCell ref="C13:D13"/>
    <mergeCell ref="C14:D14"/>
    <mergeCell ref="C15:D15"/>
    <mergeCell ref="C16:D16"/>
    <mergeCell ref="C8:D8"/>
    <mergeCell ref="C9:D9"/>
    <mergeCell ref="E4:F4"/>
    <mergeCell ref="E5:F5"/>
    <mergeCell ref="E6:F6"/>
    <mergeCell ref="E7:F7"/>
    <mergeCell ref="E8:F8"/>
    <mergeCell ref="B2:I2"/>
    <mergeCell ref="I51:I52"/>
    <mergeCell ref="C42:D42"/>
    <mergeCell ref="C19:D19"/>
    <mergeCell ref="C20:D20"/>
    <mergeCell ref="C21:D21"/>
    <mergeCell ref="C51:D51"/>
    <mergeCell ref="E51:F51"/>
    <mergeCell ref="B51:B52"/>
    <mergeCell ref="G51:G52"/>
    <mergeCell ref="H51:H52"/>
    <mergeCell ref="E9:F9"/>
    <mergeCell ref="C4:D4"/>
    <mergeCell ref="C5:D5"/>
    <mergeCell ref="C6:D6"/>
    <mergeCell ref="C7:D7"/>
    <mergeCell ref="C49:D49"/>
    <mergeCell ref="E49:F49"/>
    <mergeCell ref="C46:D46"/>
    <mergeCell ref="E46:F46"/>
    <mergeCell ref="C47:D47"/>
    <mergeCell ref="E47:F47"/>
    <mergeCell ref="C48:D48"/>
    <mergeCell ref="E48:F4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10</vt:i4>
      </vt:variant>
    </vt:vector>
  </HeadingPairs>
  <TitlesOfParts>
    <vt:vector size="22" baseType="lpstr">
      <vt:lpstr>Linhas Investimento</vt:lpstr>
      <vt:lpstr>Linhas Giro Puro</vt:lpstr>
      <vt:lpstr>Fator K - FGI</vt:lpstr>
      <vt:lpstr>Mais Crédito</vt:lpstr>
      <vt:lpstr>Mais Crédito (2)</vt:lpstr>
      <vt:lpstr>Linhas Transportes</vt:lpstr>
      <vt:lpstr>Linhas Fungetur</vt:lpstr>
      <vt:lpstr>Linhas FINEP</vt:lpstr>
      <vt:lpstr>FCO Empresarial</vt:lpstr>
      <vt:lpstr>FCO Rural</vt:lpstr>
      <vt:lpstr>Produtor Empreendedor</vt:lpstr>
      <vt:lpstr>Tabela de Encargos</vt:lpstr>
      <vt:lpstr>'FCO Empresarial'!Area_de_impressao</vt:lpstr>
      <vt:lpstr>'FCO Rural'!Area_de_impressao</vt:lpstr>
      <vt:lpstr>'Linhas FINEP'!Area_de_impressao</vt:lpstr>
      <vt:lpstr>'Linhas Fungetur'!Area_de_impressao</vt:lpstr>
      <vt:lpstr>'Linhas Giro Puro'!Area_de_impressao</vt:lpstr>
      <vt:lpstr>'Linhas Investimento'!Area_de_impressao</vt:lpstr>
      <vt:lpstr>'Linhas Transportes'!Area_de_impressao</vt:lpstr>
      <vt:lpstr>'Mais Crédito'!Area_de_impressao</vt:lpstr>
      <vt:lpstr>'Mais Crédito (2)'!Area_de_impressao</vt:lpstr>
      <vt:lpstr>'Produtor Empreendedor'!Area_de_impressao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Rocha Gomes</dc:creator>
  <cp:lastModifiedBy>Paulo Cesar Paiva</cp:lastModifiedBy>
  <cp:lastPrinted>2025-02-18T18:02:12Z</cp:lastPrinted>
  <dcterms:created xsi:type="dcterms:W3CDTF">2021-01-25T10:47:38Z</dcterms:created>
  <dcterms:modified xsi:type="dcterms:W3CDTF">2026-08-06T18:07:25Z</dcterms:modified>
</cp:coreProperties>
</file>